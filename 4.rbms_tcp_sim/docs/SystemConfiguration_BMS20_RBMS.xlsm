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Jenkins\workspace\ASW_FW_CodeGen@2\ASW_FW_CodeGen\BMS20_RBMS_cfg6_MU10W190\BMS20_RBMS\"/>
    </mc:Choice>
  </mc:AlternateContent>
  <bookViews>
    <workbookView xWindow="3315" yWindow="3420" windowWidth="35085" windowHeight="16920" activeTab="1"/>
  </bookViews>
  <sheets>
    <sheet name="History" sheetId="5" r:id="rId1"/>
    <sheet name="SystemParameter" sheetId="8" r:id="rId2"/>
    <sheet name="FaultList" sheetId="7" r:id="rId3"/>
    <sheet name="Fault Category" sheetId="11" r:id="rId4"/>
  </sheets>
  <functionGroups builtInGroupCount="18"/>
  <definedNames>
    <definedName name="_xlnm._FilterDatabase" localSheetId="2" hidden="1">FaultList!$A$1:$L$161</definedName>
  </definedNames>
  <calcPr calcId="162913"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5" i="8" l="1"/>
  <c r="C54" i="8"/>
  <c r="C82" i="8"/>
  <c r="C65" i="8"/>
  <c r="C50" i="8"/>
  <c r="C58" i="8"/>
  <c r="C73" i="8"/>
  <c r="C62" i="8"/>
  <c r="C49" i="8"/>
  <c r="C74" i="8" s="1"/>
  <c r="C69" i="8"/>
  <c r="C51" i="8"/>
  <c r="C52" i="8" s="1"/>
  <c r="C67" i="8"/>
  <c r="C70" i="8" s="1"/>
  <c r="C57" i="8"/>
  <c r="C68" i="8"/>
  <c r="C66" i="8"/>
  <c r="C60" i="8"/>
  <c r="C64" i="8"/>
  <c r="C63" i="8"/>
  <c r="C83" i="8"/>
  <c r="C53" i="8"/>
  <c r="C81" i="8"/>
  <c r="C61" i="8"/>
  <c r="C80" i="8"/>
  <c r="C59" i="8"/>
  <c r="C75" i="8" s="1"/>
  <c r="C56" i="8"/>
  <c r="C84" i="8"/>
  <c r="C71" i="8"/>
  <c r="C72" i="8" s="1"/>
  <c r="C78" i="8"/>
  <c r="C76" i="8"/>
  <c r="C77" i="8"/>
  <c r="C79" i="8"/>
</calcChain>
</file>

<file path=xl/comments1.xml><?xml version="1.0" encoding="utf-8"?>
<comments xmlns="http://schemas.openxmlformats.org/spreadsheetml/2006/main">
  <authors>
    <author>tc={253D7F5C-EDE9-4949-855B-9C41C95C1826}</author>
  </authors>
  <commentList>
    <comment ref="H1" authorId="0" shapeId="0">
      <text>
        <r>
          <rPr>
            <sz val="11"/>
            <color theme="1"/>
            <rFont val="等线"/>
            <family val="2"/>
            <scheme val="minor"/>
          </rPr>
          <t>[线程批注]
你的Excel版本可读取此线程批注; 但如果在更新版本的Excel中打开文件，则对批注所作的任何改动都将被删除。了解详细信息: https://go.microsoft.com/fwlink/?linkid=870924
注释:
    (0:Disable, 1:Enable)</t>
        </r>
      </text>
    </comment>
  </commentList>
</comments>
</file>

<file path=xl/sharedStrings.xml><?xml version="1.0" encoding="utf-8"?>
<sst xmlns="http://schemas.openxmlformats.org/spreadsheetml/2006/main" count="3123" uniqueCount="1592">
  <si>
    <t>CustomStorageClass</t>
    <phoneticPr fontId="2" type="noConversion"/>
  </si>
  <si>
    <t>DefinitionFile</t>
    <phoneticPr fontId="2" type="noConversion"/>
  </si>
  <si>
    <t>DataType</t>
    <phoneticPr fontId="2" type="noConversion"/>
  </si>
  <si>
    <t>Dimensions</t>
    <phoneticPr fontId="2" type="noConversion"/>
  </si>
  <si>
    <t>DocUnits</t>
    <phoneticPr fontId="2" type="noConversion"/>
  </si>
  <si>
    <t>-</t>
    <phoneticPr fontId="2" type="noConversion"/>
  </si>
  <si>
    <t>[]</t>
  </si>
  <si>
    <t>Actual total cell number</t>
  </si>
  <si>
    <t>The capability of max cell number</t>
  </si>
  <si>
    <t>Custom</t>
  </si>
  <si>
    <t>Nbr</t>
  </si>
  <si>
    <t>SystemDefine</t>
  </si>
  <si>
    <t>-</t>
  </si>
  <si>
    <t>int32</t>
  </si>
  <si>
    <t>The capability of max module temperature number</t>
  </si>
  <si>
    <t>[1]</t>
    <phoneticPr fontId="2" type="noConversion"/>
  </si>
  <si>
    <t>High voltage branch</t>
  </si>
  <si>
    <t>The capability of max high voltage branch number</t>
  </si>
  <si>
    <t>Actual AFE number</t>
  </si>
  <si>
    <t>The capability of max AFE number</t>
  </si>
  <si>
    <t>Actual module number</t>
  </si>
  <si>
    <t>The capability of max module number</t>
  </si>
  <si>
    <t>Cell voltage sampling number max for every AFE</t>
  </si>
  <si>
    <t>GPIO temperature sensor number max for every AFE(cover module temperature and balancing temperature)</t>
  </si>
  <si>
    <t>DAISY_CHAIN_NUMBER</t>
  </si>
  <si>
    <t>Daisy-chain number</t>
  </si>
  <si>
    <t>Number of cell parallel within a module</t>
  </si>
  <si>
    <t>FAULT_TOTAL_NUMBER</t>
  </si>
  <si>
    <t>[200]</t>
  </si>
  <si>
    <t>System total fault number</t>
  </si>
  <si>
    <t>[0]</t>
    <phoneticPr fontId="2" type="noConversion"/>
  </si>
  <si>
    <t>Power and current degrate based on SOC</t>
    <phoneticPr fontId="2" type="noConversion"/>
  </si>
  <si>
    <t>HIL test enable/disable define flag</t>
  </si>
  <si>
    <t>uint8</t>
  </si>
  <si>
    <t>[1 DAISY_CHAIN_NUMBER]</t>
  </si>
  <si>
    <t>AFE number at every actual used Daisy-chain</t>
  </si>
  <si>
    <t>Cell voltage sampling number for every AFE</t>
  </si>
  <si>
    <t>Cell voltage sampling number at every actual used AFE</t>
  </si>
  <si>
    <t>Module temperature number at every actual used AFE</t>
  </si>
  <si>
    <t>Actual total cell number for real 1500v system</t>
  </si>
  <si>
    <t>NA</t>
    <phoneticPr fontId="2" type="noConversion"/>
  </si>
  <si>
    <t>Yes</t>
  </si>
  <si>
    <t>[1 1]</t>
    <phoneticPr fontId="2" type="noConversion"/>
  </si>
  <si>
    <t>[10]</t>
    <phoneticPr fontId="2" type="noConversion"/>
  </si>
  <si>
    <t>[100]</t>
    <phoneticPr fontId="2" type="noConversion"/>
  </si>
  <si>
    <t>Cell voltage sampling AFE type 2 every dimension element means whether or not have cell voltage sampling at this channel</t>
  </si>
  <si>
    <t>RACK_AFE_NUMBER_MAX</t>
    <phoneticPr fontId="2" type="noConversion"/>
  </si>
  <si>
    <t>[20]</t>
    <phoneticPr fontId="2" type="noConversion"/>
  </si>
  <si>
    <t>TOTAL_SERIES_CELL_NUMBER_PER_RACK_MAX_REAL</t>
    <phoneticPr fontId="2" type="noConversion"/>
  </si>
  <si>
    <t>TOTAL_BRANCH_NUMBER_MAX</t>
    <phoneticPr fontId="2" type="noConversion"/>
  </si>
  <si>
    <t>[4]</t>
    <phoneticPr fontId="2" type="noConversion"/>
  </si>
  <si>
    <t>Name</t>
    <phoneticPr fontId="2" type="noConversion"/>
  </si>
  <si>
    <t>[32]</t>
    <phoneticPr fontId="2" type="noConversion"/>
  </si>
  <si>
    <t>BMS.Parameter</t>
    <phoneticPr fontId="2" type="noConversion"/>
  </si>
  <si>
    <t>[0]</t>
  </si>
  <si>
    <t>[1]</t>
  </si>
  <si>
    <t>PackageAttribute</t>
    <phoneticPr fontId="2" type="noConversion"/>
  </si>
  <si>
    <t>Value</t>
    <phoneticPr fontId="2" type="noConversion"/>
  </si>
  <si>
    <t>StorageClass</t>
    <phoneticPr fontId="2" type="noConversion"/>
  </si>
  <si>
    <t>MemorySection</t>
    <phoneticPr fontId="2" type="noConversion"/>
  </si>
  <si>
    <t>HeaderFile</t>
    <phoneticPr fontId="2" type="noConversion"/>
  </si>
  <si>
    <t>Min</t>
    <phoneticPr fontId="2" type="noConversion"/>
  </si>
  <si>
    <t>Max</t>
    <phoneticPr fontId="2" type="noConversion"/>
  </si>
  <si>
    <t>Description</t>
    <phoneticPr fontId="2" type="noConversion"/>
  </si>
  <si>
    <t>Formula</t>
    <phoneticPr fontId="2" type="noConversion"/>
  </si>
  <si>
    <t>TOTAL_BRANCH_NUMBER</t>
    <phoneticPr fontId="2" type="noConversion"/>
  </si>
  <si>
    <t>BMS.Parameter</t>
    <phoneticPr fontId="2" type="noConversion"/>
  </si>
  <si>
    <t>[1]</t>
    <phoneticPr fontId="2" type="noConversion"/>
  </si>
  <si>
    <t>int32</t>
    <phoneticPr fontId="2" type="noConversion"/>
  </si>
  <si>
    <t>[10]</t>
    <phoneticPr fontId="2" type="noConversion"/>
  </si>
  <si>
    <t>NA</t>
    <phoneticPr fontId="2" type="noConversion"/>
  </si>
  <si>
    <t>BMS.Parameter</t>
    <phoneticPr fontId="2" type="noConversion"/>
  </si>
  <si>
    <t>[1]</t>
    <phoneticPr fontId="2" type="noConversion"/>
  </si>
  <si>
    <t>RACK_AFE_NUMBER</t>
    <phoneticPr fontId="2" type="noConversion"/>
  </si>
  <si>
    <t>Custom</t>
    <phoneticPr fontId="2" type="noConversion"/>
  </si>
  <si>
    <t>-</t>
    <phoneticPr fontId="2" type="noConversion"/>
  </si>
  <si>
    <t>[1]</t>
    <phoneticPr fontId="2" type="noConversion"/>
  </si>
  <si>
    <t>[100]</t>
    <phoneticPr fontId="2" type="noConversion"/>
  </si>
  <si>
    <t>[1 1]</t>
    <phoneticPr fontId="2" type="noConversion"/>
  </si>
  <si>
    <t>Nbr</t>
    <phoneticPr fontId="2" type="noConversion"/>
  </si>
  <si>
    <t>BMS.Parameter</t>
    <phoneticPr fontId="2" type="noConversion"/>
  </si>
  <si>
    <t>-</t>
    <phoneticPr fontId="2" type="noConversion"/>
  </si>
  <si>
    <t>NA</t>
    <phoneticPr fontId="2" type="noConversion"/>
  </si>
  <si>
    <t>MODULE_AFE_NUMBER</t>
    <phoneticPr fontId="2" type="noConversion"/>
  </si>
  <si>
    <t>-</t>
    <phoneticPr fontId="2" type="noConversion"/>
  </si>
  <si>
    <t>-</t>
    <phoneticPr fontId="2" type="noConversion"/>
  </si>
  <si>
    <t>AFE number per module</t>
    <phoneticPr fontId="2" type="noConversion"/>
  </si>
  <si>
    <t>NA</t>
    <phoneticPr fontId="2" type="noConversion"/>
  </si>
  <si>
    <t>AFE_CELL_VOLTAGE_SAMPLING_NUMBER</t>
    <phoneticPr fontId="2" type="noConversion"/>
  </si>
  <si>
    <t>[13]</t>
    <phoneticPr fontId="2" type="noConversion"/>
  </si>
  <si>
    <t>[30]</t>
    <phoneticPr fontId="2" type="noConversion"/>
  </si>
  <si>
    <t>Cell voltage sampling number for every AFE</t>
    <phoneticPr fontId="2" type="noConversion"/>
  </si>
  <si>
    <t>AFE_CELL_VOLTAGE_SAMPLING_NUMBER_MAX</t>
    <phoneticPr fontId="2" type="noConversion"/>
  </si>
  <si>
    <t>[16]</t>
    <phoneticPr fontId="2" type="noConversion"/>
  </si>
  <si>
    <t>AFE_TEMPERATURE_SENSOR_NUMBER_MAX</t>
    <phoneticPr fontId="2" type="noConversion"/>
  </si>
  <si>
    <t>[1]</t>
    <phoneticPr fontId="2" type="noConversion"/>
  </si>
  <si>
    <t>[20]</t>
    <phoneticPr fontId="2" type="noConversion"/>
  </si>
  <si>
    <t>[2]</t>
    <phoneticPr fontId="2" type="noConversion"/>
  </si>
  <si>
    <t>[1]</t>
    <phoneticPr fontId="2" type="noConversion"/>
  </si>
  <si>
    <t>[2]</t>
    <phoneticPr fontId="2" type="noConversion"/>
  </si>
  <si>
    <t>CELL_PARALLEL_NUMBER_PER_RACK_BMS</t>
    <phoneticPr fontId="2" type="noConversion"/>
  </si>
  <si>
    <t>int32</t>
    <phoneticPr fontId="2" type="noConversion"/>
  </si>
  <si>
    <t>Number of cell parallel between modules within a branch</t>
    <phoneticPr fontId="2" type="noConversion"/>
  </si>
  <si>
    <t>CELL_PARALLEL_NUMBER_INTERNAL_MODULE</t>
    <phoneticPr fontId="2" type="noConversion"/>
  </si>
  <si>
    <t>int32</t>
    <phoneticPr fontId="2" type="noConversion"/>
  </si>
  <si>
    <t>[200]</t>
    <phoneticPr fontId="2" type="noConversion"/>
  </si>
  <si>
    <t>[0]</t>
    <phoneticPr fontId="2" type="noConversion"/>
  </si>
  <si>
    <t>CELL_RATE</t>
    <phoneticPr fontId="2" type="noConversion"/>
  </si>
  <si>
    <t>[-1]</t>
    <phoneticPr fontId="2" type="noConversion"/>
  </si>
  <si>
    <t>[-1]</t>
    <phoneticPr fontId="2" type="noConversion"/>
  </si>
  <si>
    <t>C</t>
    <phoneticPr fontId="2" type="noConversion"/>
  </si>
  <si>
    <t>Normal charge or discharge rate</t>
    <phoneticPr fontId="2" type="noConversion"/>
  </si>
  <si>
    <t>[2000]</t>
    <phoneticPr fontId="2" type="noConversion"/>
  </si>
  <si>
    <t>Single cell capacity</t>
    <phoneticPr fontId="2" type="noConversion"/>
  </si>
  <si>
    <t>SOPC_DEGRATE_BASED_SOC</t>
    <phoneticPr fontId="2" type="noConversion"/>
  </si>
  <si>
    <t>SOPC_DEGRATE_BASED_SOH</t>
    <phoneticPr fontId="2" type="noConversion"/>
  </si>
  <si>
    <t>[1 1]</t>
    <phoneticPr fontId="2" type="noConversion"/>
  </si>
  <si>
    <t>Power and current degrate based on SOH</t>
    <phoneticPr fontId="2" type="noConversion"/>
  </si>
  <si>
    <t>Power and current degrate based on fault level</t>
    <phoneticPr fontId="2" type="noConversion"/>
  </si>
  <si>
    <t>HIL_TEST_ENABLE</t>
    <phoneticPr fontId="2" type="noConversion"/>
  </si>
  <si>
    <t>[0]</t>
    <phoneticPr fontId="2" type="noConversion"/>
  </si>
  <si>
    <t>BMS.Parameter</t>
    <phoneticPr fontId="2" type="noConversion"/>
  </si>
  <si>
    <t>[416]</t>
    <phoneticPr fontId="2" type="noConversion"/>
  </si>
  <si>
    <t>[1000]</t>
    <phoneticPr fontId="2" type="noConversion"/>
  </si>
  <si>
    <t>MAIN_CONTACTOR_TYPE</t>
    <phoneticPr fontId="2" type="noConversion"/>
  </si>
  <si>
    <t>RBMS_SW_VERSION</t>
    <phoneticPr fontId="2" type="noConversion"/>
  </si>
  <si>
    <t>Import</t>
    <phoneticPr fontId="2" type="noConversion"/>
  </si>
  <si>
    <t>[]</t>
    <phoneticPr fontId="2" type="noConversion"/>
  </si>
  <si>
    <t>[1 8]</t>
    <phoneticPr fontId="2" type="noConversion"/>
  </si>
  <si>
    <t>Rack软件版本号</t>
    <phoneticPr fontId="2" type="noConversion"/>
  </si>
  <si>
    <t>POLE_TEMP_ENABLE</t>
    <phoneticPr fontId="2" type="noConversion"/>
  </si>
  <si>
    <t>Distinguish between pole/copper temperature and cell temperature</t>
    <phoneticPr fontId="2" type="noConversion"/>
  </si>
  <si>
    <t>AFE_CELL_VOLTAGE_SAMPLING_CHANNEL_TYPE1</t>
    <phoneticPr fontId="2" type="noConversion"/>
  </si>
  <si>
    <t>[1 1 1 1 1 1 1 1 1 1 1 1 1 0 0 0]</t>
    <phoneticPr fontId="2" type="noConversion"/>
  </si>
  <si>
    <t>[1 AFE_CELL_VOLTAGE_SAMPLING_NUMBER_MAX]</t>
    <phoneticPr fontId="2" type="noConversion"/>
  </si>
  <si>
    <t>Cell voltage sampling AFE type 1 every dimension element means whether or not have cell voltage sampling at this channel</t>
    <phoneticPr fontId="2" type="noConversion"/>
  </si>
  <si>
    <t>AFE_CELL_VOLTAGE_SAMPLING_CHANNEL_TYPE2</t>
    <phoneticPr fontId="2" type="noConversion"/>
  </si>
  <si>
    <t>[1 AFE_CELL_VOLTAGE_SAMPLING_NUMBER_MAX]</t>
    <phoneticPr fontId="2" type="noConversion"/>
  </si>
  <si>
    <t>RACK_AFE_NUMBER/MODULE_AFE_NUMBER</t>
    <phoneticPr fontId="2" type="noConversion"/>
  </si>
  <si>
    <t>RACK_AFE_NUMBER_MAX/MODULE_AFE_NUMBER</t>
    <phoneticPr fontId="2" type="noConversion"/>
  </si>
  <si>
    <t>uint8</t>
    <phoneticPr fontId="2" type="noConversion"/>
  </si>
  <si>
    <t>[255]</t>
  </si>
  <si>
    <t>BMS.Parameter</t>
    <phoneticPr fontId="2" type="noConversion"/>
  </si>
  <si>
    <t>-</t>
    <phoneticPr fontId="2" type="noConversion"/>
  </si>
  <si>
    <t>int32</t>
    <phoneticPr fontId="2" type="noConversion"/>
  </si>
  <si>
    <t>[0]</t>
    <phoneticPr fontId="2" type="noConversion"/>
  </si>
  <si>
    <t>[10]</t>
    <phoneticPr fontId="2" type="noConversion"/>
  </si>
  <si>
    <t>[1 1]</t>
    <phoneticPr fontId="2" type="noConversion"/>
  </si>
  <si>
    <t>[0]</t>
    <phoneticPr fontId="2" type="noConversion"/>
  </si>
  <si>
    <t>FUSE_TYPE</t>
    <phoneticPr fontId="2" type="noConversion"/>
  </si>
  <si>
    <t>SOPC_DEGRATE_BASED_FAULT_WITHONESIDE_ENABLE</t>
  </si>
  <si>
    <t>BMS.Parameter</t>
    <phoneticPr fontId="2" type="noConversion"/>
  </si>
  <si>
    <t>-</t>
    <phoneticPr fontId="2" type="noConversion"/>
  </si>
  <si>
    <t>[0]</t>
    <phoneticPr fontId="2" type="noConversion"/>
  </si>
  <si>
    <t>[1 1]</t>
    <phoneticPr fontId="2" type="noConversion"/>
  </si>
  <si>
    <t>Power and current degrate based on specific faults, 1 for BMS1.3, 0 for other projects</t>
  </si>
  <si>
    <t>NA</t>
    <phoneticPr fontId="2" type="noConversion"/>
  </si>
  <si>
    <t>[1175]</t>
    <phoneticPr fontId="2" type="noConversion"/>
  </si>
  <si>
    <t>CELL_RATE_CAPACITY</t>
    <phoneticPr fontId="2" type="noConversion"/>
  </si>
  <si>
    <t>SOPC_DEGRATE_BASED_FAULT_ENABLE</t>
    <phoneticPr fontId="2" type="noConversion"/>
  </si>
  <si>
    <t>NA</t>
  </si>
  <si>
    <t>CURRENT_SENSOR_ZERO_DRIFT_A</t>
  </si>
  <si>
    <t>BMS.Parameter</t>
  </si>
  <si>
    <t>[2]</t>
  </si>
  <si>
    <t>single</t>
  </si>
  <si>
    <t>[2000]</t>
  </si>
  <si>
    <t>[1 1]</t>
  </si>
  <si>
    <t>A</t>
  </si>
  <si>
    <t>current sensor zero drift threshold</t>
  </si>
  <si>
    <t>Import</t>
  </si>
  <si>
    <t>AFE_TEMPERATURE_SENSOR_MUX_START_INDEX</t>
  </si>
  <si>
    <t>[1 10]</t>
  </si>
  <si>
    <t>[1 AFE_TEMPERATURE_SENSOR_MUX_NUMBER]</t>
  </si>
  <si>
    <t>temperature sampling channel start index of each mux for every AFE</t>
  </si>
  <si>
    <t>MODULE_CELL_TEMPERATURE_REDUNCHK_PAIR_INDEX</t>
  </si>
  <si>
    <t>[2, 6, 7, 10, 13, 14, 17, 8, 26;
35, 31, 30, 27, 24, 21, 20, 11, 29]</t>
  </si>
  <si>
    <t>[2 MODULE_CELL_TEMPERATURE_REDUNCHK_PAIR_NUMBER]</t>
  </si>
  <si>
    <t>Corresponding elements of row1 and row2 are paired cell indexes for temperature redundancy detection for every module, 
default: [0;0]</t>
  </si>
  <si>
    <t>CELL_RATE_POWER</t>
  </si>
  <si>
    <t>[20]</t>
  </si>
  <si>
    <t>Rated Power (Prate) of the Battery Cell</t>
  </si>
  <si>
    <t>FULL_DISCHARGE_CELLV</t>
  </si>
  <si>
    <t>[2500]</t>
  </si>
  <si>
    <t>uint16</t>
  </si>
  <si>
    <t>[10000]</t>
  </si>
  <si>
    <t>mV</t>
  </si>
  <si>
    <t>Fully Discharged Cutoff Voltage of a Single Battery Cell</t>
  </si>
  <si>
    <t>FULL_CHARGE_CELLV</t>
  </si>
  <si>
    <t>Fully Charged Cutoff Voltage of a Single Battery Cell</t>
  </si>
  <si>
    <t>AFE_TEMPERATURE_SENSOR_MUX_NUMBER</t>
  </si>
  <si>
    <t>temperature sampling mux number for every AFE</t>
  </si>
  <si>
    <t>RACK_TEMPERATURE_SENSOR_MUX_NUMBER</t>
  </si>
  <si>
    <t>temperature sampling mux number for every rack</t>
  </si>
  <si>
    <t>MODULE_CELL_TEMPERATURE_REDUNCHK_PAIR_NUMBER</t>
  </si>
  <si>
    <t>Number of paired cell pairs with temperature redundancy detection for every module</t>
  </si>
  <si>
    <t>CELL_RATE_VOLTAGE</t>
  </si>
  <si>
    <t>Rated Voltage of the Battery Cell</t>
  </si>
  <si>
    <t>CELL_RATE_CAPACITY*CELL_RATE_VOLTAGE/1000/1000</t>
  </si>
  <si>
    <t>[3620]</t>
    <phoneticPr fontId="2" type="noConversion"/>
  </si>
  <si>
    <t>RACK_AFE_NUMBER_MAX * AFE_TEMPERATURE_SENSOR_MUX_NUMBER</t>
  </si>
  <si>
    <t>[0.25]</t>
  </si>
  <si>
    <t>AFE_MASTER_NODE</t>
  </si>
  <si>
    <t>/</t>
  </si>
  <si>
    <t>0: 表示IPB为主链，1:表示IPA为主链</t>
  </si>
  <si>
    <t>ACIS_BMS_BOARD</t>
  </si>
  <si>
    <t>[3]</t>
  </si>
  <si>
    <t>different board-level BMS 1:BBMS 2:RBMS of two-tier BMS 3:RBMS of three-tier BMS</t>
  </si>
  <si>
    <t>[3]</t>
    <phoneticPr fontId="2" type="noConversion"/>
  </si>
  <si>
    <t>NVM_WRITE_FLAG_HOLD_TIME</t>
  </si>
  <si>
    <t>[65535]</t>
  </si>
  <si>
    <t>ms</t>
  </si>
  <si>
    <t>The NVM write flag from ASW must remain set to true during this period to ensure the signal is successfully received by BSW.</t>
  </si>
  <si>
    <t>MODULE_TEMPERATURE_SENSOR_SAMPLING_CHANNEL_CONFIGURATION</t>
  </si>
  <si>
    <t>[MODULE_AFE_NUMBER AFE_TEMPERATURE_SENSOR_NUMBER_MAX]</t>
  </si>
  <si>
    <t>temperature sampling channel configuration: 
0: None, 
1: PCB Temp (balancing)
2: MUX_GND Temp, 
3: Cell Temp,
4: Pole Temp,
5: Pack Pos and Neg Connector Temp,</t>
  </si>
  <si>
    <t>RACK_MODULE_NUMBER</t>
  </si>
  <si>
    <t>RACK_MODULE_NUMBER_MAX</t>
  </si>
  <si>
    <t>CELL_RATE_ENERGY</t>
  </si>
  <si>
    <t>RATE_ENERGY_PER_BRANCH</t>
  </si>
  <si>
    <t>TOTAL_SERIES_CELL_NUMBER_PER_RACK_BMS</t>
  </si>
  <si>
    <t>TOTAL_SERIES_CELL_NUMBER_PER_RACK_BMS_MAX</t>
  </si>
  <si>
    <t>TOTAL_TEMPERATURE_SENSOR_NUMBER_PER_RACK_BMS</t>
  </si>
  <si>
    <t>TOTAL_MODULE_TEMPERATURE_SENSOR_NUMBER_PER_RACK_BMS</t>
  </si>
  <si>
    <t>TOTAL_MODULE_TEMPERATURE_SENSOR_NUMBER_PER_RACK_BMS_MAX</t>
  </si>
  <si>
    <t>PCB_TEMPERATURE_NUMBER</t>
  </si>
  <si>
    <t>MODULE_CELL_POLE_TEMPERATURE_SENSOR_NUMBER</t>
  </si>
  <si>
    <t>MODULE_CELL_TEMPERATURE_SENSOR_NUMBER</t>
  </si>
  <si>
    <t>SERIES_CELL_NUMBER_PER_RACK_CHANNEL</t>
  </si>
  <si>
    <t>RACK_CELL_VOLTAGE_SAMPLING_NUMBER_FOR_EVERY_AFE</t>
  </si>
  <si>
    <t>RACK_CELL_VOLTAGE_SAMPLING_AFE_TYPE</t>
  </si>
  <si>
    <t>RACK_CELL_VOLTAGE_SAMPLING_NUMBER_FOR_EVERY_AFE_USED</t>
  </si>
  <si>
    <t>RACK_TEMPERATURE_SENSOR_NUMBER_FOR_EVERY_AFE_USED</t>
  </si>
  <si>
    <t>ARRANGE_TWO_HALL_SENSORS</t>
  </si>
  <si>
    <t>[0]</t>
    <phoneticPr fontId="11" type="noConversion"/>
  </si>
  <si>
    <t>[1]</t>
    <phoneticPr fontId="11" type="noConversion"/>
  </si>
  <si>
    <t>Current sensor layout form (0 indicates the layout of 1 Hall sensor, 1 indicates the layout of 2 Hall sensors)</t>
    <phoneticPr fontId="2" type="noConversion"/>
  </si>
  <si>
    <t>[3200]</t>
  </si>
  <si>
    <t>故障等级</t>
  </si>
  <si>
    <t>故障报警</t>
  </si>
  <si>
    <t>继电器状态</t>
  </si>
  <si>
    <t>上下高压限制</t>
  </si>
  <si>
    <t>不限制</t>
  </si>
  <si>
    <t>闭合</t>
  </si>
  <si>
    <t>CAT1</t>
  </si>
  <si>
    <t>断开</t>
  </si>
  <si>
    <t>禁止上高压</t>
  </si>
  <si>
    <t>zhangyf03</t>
  </si>
  <si>
    <t>是否启用功能安全失败动作reset</t>
  </si>
  <si>
    <t>FUN_SAFETY_RESET</t>
  </si>
  <si>
    <t>Max pole tempetrature number in a rack</t>
  </si>
  <si>
    <t>[100]</t>
  </si>
  <si>
    <t>RACK_POLE_TEMPERATURE_NUMBER_MAX</t>
  </si>
  <si>
    <t>Max pack/module pos and neg connector tempetrature number in a rack,  especially for the projects without this function in case</t>
  </si>
  <si>
    <t>2*RACK_MODULE_NUMBER</t>
  </si>
  <si>
    <t>RACK_MODULE_CONN_TEMPERATURE_NUMBER_MAX</t>
  </si>
  <si>
    <t>Max number of cell parallel between modules within a branch</t>
  </si>
  <si>
    <t>RACK_NUMBER_FOR_EVERY_BANK_MAX</t>
  </si>
  <si>
    <t>[12]</t>
  </si>
  <si>
    <t>0：常开继电器；1：常闭继电器。</t>
    <phoneticPr fontId="2" type="noConversion"/>
  </si>
  <si>
    <t>单边禁充禁放恢复逻辑：
0：对所有只禁单边功率的情况，设置所限功率仅当单边限功率故障恢复时才可消除限0
1：对所有只禁单边功率的情况，设置所限功率仅当出现反向电流时才可消除限0</t>
  </si>
  <si>
    <t>SOPC_IsBaseCurrentResetForbid</t>
  </si>
  <si>
    <t>Cell temp, pole temp and pack connector sensor number per module</t>
  </si>
  <si>
    <t>TOTAL_TEMPERATURE_SENSOR_NUMBER_PER_RACK_BMS / RACK_MODULE_NUMBER</t>
  </si>
  <si>
    <t>MODULE_CELL_POLE_CONN_TEMPERATURE_SENSOR_NUMBER</t>
  </si>
  <si>
    <t>When both Hall current sensors are valid, the current selection strategy (0: select the maximum value as the final current value, BM14 strategy; 1: select the current value of the first Hall current sensor as the final current value, BMS15 strategy)</t>
  </si>
  <si>
    <t>BTCS_CURRENT_SELECT_MODE</t>
  </si>
  <si>
    <t>Date</t>
  </si>
  <si>
    <t>2024-10-30</t>
  </si>
  <si>
    <t>2024-11-12</t>
  </si>
  <si>
    <t>2024-11-18</t>
  </si>
  <si>
    <t>2024-11-19</t>
  </si>
  <si>
    <t>2024-11-21</t>
  </si>
  <si>
    <t>2024-11-26</t>
  </si>
  <si>
    <t>2024-11-27</t>
  </si>
  <si>
    <t>2024-11-28</t>
  </si>
  <si>
    <t>2024-12-03</t>
  </si>
  <si>
    <t>2024-12-18</t>
  </si>
  <si>
    <t>2024-12-19</t>
  </si>
  <si>
    <t>2024-12-20</t>
  </si>
  <si>
    <t>2024-12-25</t>
  </si>
  <si>
    <t>2025-01-07</t>
  </si>
  <si>
    <t>2025-01-17</t>
  </si>
  <si>
    <t>2025-01-23</t>
  </si>
  <si>
    <t>2025-02-18</t>
  </si>
  <si>
    <t>2025-02-28</t>
  </si>
  <si>
    <t>2025-03-12</t>
  </si>
  <si>
    <t>2025-03-14</t>
  </si>
  <si>
    <t>2025-03-19</t>
  </si>
  <si>
    <t>2025-03-20</t>
  </si>
  <si>
    <t>2025-03-26</t>
  </si>
  <si>
    <t>2025-03-28</t>
  </si>
  <si>
    <t>2025-03-31</t>
  </si>
  <si>
    <t>2025-04-03</t>
  </si>
  <si>
    <t>2025-04-08</t>
  </si>
  <si>
    <t>2025-04-10</t>
  </si>
  <si>
    <t>2025-04-11</t>
  </si>
  <si>
    <t>2025-04-15</t>
  </si>
  <si>
    <t>2025-04-16</t>
  </si>
  <si>
    <t>2025-04-18</t>
  </si>
  <si>
    <t>2025-04-21</t>
  </si>
  <si>
    <t>2025-04-22</t>
  </si>
  <si>
    <t>2025-04-23</t>
  </si>
  <si>
    <t>2025-04-24</t>
  </si>
  <si>
    <t>2025-04-27</t>
  </si>
  <si>
    <t>2025-04-29</t>
  </si>
  <si>
    <t>2025-05-06</t>
  </si>
  <si>
    <t>2025-05-08</t>
  </si>
  <si>
    <t>2025-05-14</t>
  </si>
  <si>
    <t>2025-05-19</t>
  </si>
  <si>
    <t>2025-05-22</t>
  </si>
  <si>
    <t>2025-05-27</t>
  </si>
  <si>
    <t>2025-05-28</t>
  </si>
  <si>
    <t>2025-05-29</t>
  </si>
  <si>
    <t>2025-06-04</t>
  </si>
  <si>
    <t>2025-06-09</t>
  </si>
  <si>
    <t>2025-06-12</t>
  </si>
  <si>
    <t>2025-06-13</t>
  </si>
  <si>
    <t>2025-06-16</t>
  </si>
  <si>
    <t>2025-06-17</t>
  </si>
  <si>
    <t>2025-06-23</t>
  </si>
  <si>
    <t>2025-06-24</t>
  </si>
  <si>
    <t>2025-07-02</t>
  </si>
  <si>
    <t>2025-07-08</t>
  </si>
  <si>
    <t>2025-07-10</t>
  </si>
  <si>
    <t>2025-07-11</t>
  </si>
  <si>
    <t>2025-07-14</t>
  </si>
  <si>
    <t>2025-07-24</t>
  </si>
  <si>
    <t>2025-07-28</t>
  </si>
  <si>
    <t>2025-08-06</t>
  </si>
  <si>
    <t>2025-08-08</t>
  </si>
  <si>
    <t>2025-08-13</t>
  </si>
  <si>
    <t>2025-08-14</t>
  </si>
  <si>
    <t>Version</t>
  </si>
  <si>
    <t>V0.1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</si>
  <si>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</si>
  <si>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</si>
  <si>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</si>
  <si>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</si>
  <si>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</si>
  <si>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</si>
  <si>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</si>
  <si>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</si>
  <si>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</si>
  <si>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</si>
  <si>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</si>
  <si>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</si>
  <si>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</si>
  <si>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</si>
  <si>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</si>
  <si>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</si>
  <si>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</si>
  <si>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</si>
  <si>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</si>
  <si>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</si>
  <si>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</si>
  <si>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</si>
  <si>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</si>
  <si>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</si>
  <si>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</si>
  <si>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</si>
  <si>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</si>
  <si>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</si>
  <si>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</si>
  <si>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</si>
  <si>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</si>
  <si>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</si>
  <si>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</si>
  <si>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</si>
  <si>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</si>
  <si>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</si>
  <si>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</si>
  <si>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</si>
  <si>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</si>
  <si>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</si>
  <si>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</si>
  <si>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</si>
  <si>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</si>
  <si>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</si>
  <si>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</si>
  <si>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</si>
  <si>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</si>
  <si>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V4.9</t>
  </si>
  <si>
    <t>V5.0</t>
  </si>
  <si>
    <t>V5.1</t>
  </si>
  <si>
    <t>V5.2</t>
  </si>
  <si>
    <t>V5.3</t>
  </si>
  <si>
    <t>V5.4</t>
  </si>
  <si>
    <t>V5.5</t>
  </si>
  <si>
    <t>V5.6</t>
  </si>
  <si>
    <t>V5.7</t>
  </si>
  <si>
    <t>V5.8</t>
  </si>
  <si>
    <t>V5.9</t>
  </si>
  <si>
    <t>V6.0</t>
  </si>
  <si>
    <t>V6.1</t>
  </si>
  <si>
    <t>V6.2</t>
  </si>
  <si>
    <t>V6.3</t>
  </si>
  <si>
    <t>V6.4</t>
  </si>
  <si>
    <t>V6.5</t>
  </si>
  <si>
    <t>V6.6</t>
  </si>
  <si>
    <t>V6.7</t>
  </si>
  <si>
    <t>V6.8</t>
  </si>
  <si>
    <t>V6.9</t>
  </si>
  <si>
    <t>V7.0</t>
  </si>
  <si>
    <t>V7.1</t>
  </si>
  <si>
    <t>V7.2</t>
  </si>
  <si>
    <t>V7.3</t>
  </si>
  <si>
    <t>V7.4</t>
  </si>
  <si>
    <t>V7.5</t>
  </si>
  <si>
    <t>V7.6</t>
  </si>
  <si>
    <t>V7.7</t>
  </si>
  <si>
    <t>V7.8</t>
  </si>
  <si>
    <t>V7.9</t>
  </si>
  <si>
    <t>V8.0</t>
  </si>
  <si>
    <t>V8.1</t>
  </si>
  <si>
    <t>V8.2</t>
  </si>
  <si>
    <t>V8.3</t>
  </si>
  <si>
    <t>V8.4</t>
  </si>
  <si>
    <t>V8.5</t>
  </si>
  <si>
    <t>V8.6</t>
  </si>
  <si>
    <t>V8.7</t>
  </si>
  <si>
    <t>V8.8</t>
  </si>
  <si>
    <t>V8.9</t>
  </si>
  <si>
    <t>V9.0</t>
  </si>
  <si>
    <t>V9.1</t>
  </si>
  <si>
    <t>V9.2</t>
  </si>
  <si>
    <t>V9.3</t>
  </si>
  <si>
    <t>V9.4</t>
  </si>
  <si>
    <t>V9.5</t>
  </si>
  <si>
    <t>Author</t>
  </si>
  <si>
    <t>xuc01</t>
  </si>
  <si>
    <t>luof03</t>
  </si>
  <si>
    <t>cheny07</t>
  </si>
  <si>
    <t>luow01</t>
  </si>
  <si>
    <t>luof03</t>
  </si>
  <si>
    <t>xuc01</t>
  </si>
  <si>
    <t>luof03</t>
  </si>
  <si>
    <t>luow01</t>
  </si>
  <si>
    <t>lihw</t>
  </si>
  <si>
    <t>luof03</t>
  </si>
  <si>
    <t>lijy06</t>
  </si>
  <si>
    <t>luof03</t>
  </si>
  <si>
    <t>lijy06</t>
  </si>
  <si>
    <t>cheny07</t>
  </si>
  <si>
    <t>lijy06</t>
  </si>
  <si>
    <t>luof03</t>
  </si>
  <si>
    <t>lijy06</t>
  </si>
  <si>
    <t>cheny07</t>
  </si>
  <si>
    <t>lijy06</t>
  </si>
  <si>
    <t>xuc01</t>
  </si>
  <si>
    <t>lijy06</t>
  </si>
  <si>
    <t>lihw</t>
  </si>
  <si>
    <t>lijy06</t>
  </si>
  <si>
    <t>xuc01</t>
  </si>
  <si>
    <t>luof03</t>
  </si>
  <si>
    <t>xuc01</t>
  </si>
  <si>
    <t>luof03</t>
  </si>
  <si>
    <t>luow01</t>
  </si>
  <si>
    <t>luof03</t>
  </si>
  <si>
    <t>lijy06</t>
  </si>
  <si>
    <t>zhangyf03</t>
  </si>
  <si>
    <t>xuc01</t>
  </si>
  <si>
    <t>lijy06</t>
  </si>
  <si>
    <t>xuc01</t>
  </si>
  <si>
    <t>zhangyf03</t>
  </si>
  <si>
    <t>luof03</t>
  </si>
  <si>
    <t>xuc01</t>
  </si>
  <si>
    <t>luow01</t>
  </si>
  <si>
    <t>cheny07</t>
  </si>
  <si>
    <t>zhangyf03</t>
  </si>
  <si>
    <t>lijy06</t>
  </si>
  <si>
    <t>lihw</t>
  </si>
  <si>
    <t>cheny07</t>
  </si>
  <si>
    <t>luof03</t>
  </si>
  <si>
    <t>xuc01</t>
  </si>
  <si>
    <t>cheny07</t>
  </si>
  <si>
    <t>luow01</t>
  </si>
  <si>
    <t>xuc01</t>
  </si>
  <si>
    <t>zhangyf03</t>
  </si>
  <si>
    <t>xuc01</t>
  </si>
  <si>
    <t>cheny07</t>
  </si>
  <si>
    <t>lijy06</t>
  </si>
  <si>
    <t>luow01</t>
  </si>
  <si>
    <t>xuc01</t>
  </si>
  <si>
    <t>lijy06</t>
  </si>
  <si>
    <t>zhangyf03</t>
  </si>
  <si>
    <t>xuc01</t>
  </si>
  <si>
    <t>zhangyf03</t>
  </si>
  <si>
    <t>cheny07</t>
  </si>
  <si>
    <t>zhangyf03</t>
  </si>
  <si>
    <t>cheny07</t>
  </si>
  <si>
    <t>zhangyf03</t>
  </si>
  <si>
    <t>luof03</t>
  </si>
  <si>
    <t>lihw</t>
  </si>
  <si>
    <t>zhangyf03</t>
  </si>
  <si>
    <t>xuc01</t>
  </si>
  <si>
    <t>luow01</t>
  </si>
  <si>
    <t>lihw</t>
  </si>
  <si>
    <t>luow01</t>
  </si>
  <si>
    <t>xuc01</t>
  </si>
  <si>
    <t>zhangyf03</t>
  </si>
  <si>
    <t>luow01</t>
  </si>
  <si>
    <t>zhangyf03</t>
  </si>
  <si>
    <t>luow01</t>
  </si>
  <si>
    <t>liaozc</t>
  </si>
  <si>
    <t>luow01</t>
  </si>
  <si>
    <t>zhangyf03</t>
  </si>
  <si>
    <t>luow01</t>
  </si>
  <si>
    <t>lihw</t>
  </si>
  <si>
    <t>Description</t>
  </si>
  <si>
    <t>1st draft from MIC_RBMS</t>
  </si>
  <si>
    <t>BMS10_RBMS,BMS11_RBMS,BMS12_RBMS,BMS13_RBMS,BMS20_RBMS,LC25_RBMS,MIC_RBMS,SF05T_RBMS,SF05_RBMS,SIB_RBMS-【FaultList】
Delete:
CTCD_MAIN_NEGATIVE_RELAY_STUCK_CLOSE_FAULT
CTCD_MAIN_NEGATIVE_RELAY_STUCK_OPEN_FAULT
CTCD_MAIN_POSITIVE_RELAY_STUCK_CLOSE_FAULT
CTCD_MAIN_POSITIVE_RELAY_STUCK_OPEN_FAULT
CTCD_PRECHARGE_RELAY_STUCK_CLOSE_FAULT
CTCD_PRECHARGE_RELAY_STUCK_OPEN_FAULT
CTCD_MAINPOS_AUX_CONTACT_ST_FAULT
CTCD_MAINNEG_AUX_CONTACT_ST_FAULT
CTCD_PRECHRG_AUX_CONTACT_ST_FAULT
Add:
CTSC_MAIN_NEGATIVE_RELAY_STUCK_CLOSE_FAULT
CTSC_MAIN_NEGATIVE_RELAY_STUCK_OPEN_FAULT
CTSC_MAIN_POSITIVE_RELAY_STUCK_CLOSE_FAULT
CTSC_MAIN_POSITIVE_RELAY_STUCK_OPEN_FAULT
CTSC_PRECHARGE_RELAY_STUCK_CLOSE_FAULT
CTSC_PRECHARGE_RELAY_STUCK_OPEN_FAULT
CTSC_MAINPOS_AUX_CONTACT_ST_FAULT
CTSC_MAINNEG_AUX_CONTACT_ST_FAULT
CTSC_PRECHRG_AUX_CONTACT_ST_FAULT
&gt;&gt;&gt;&gt;&gt;&gt;&gt;&gt;&gt;&gt;&gt;&gt;&gt;&gt;&gt;&gt;&gt;&gt;&gt;&gt;</t>
  </si>
  <si>
    <t>BMS20_RBMS-【FaultList】
Delete:
ACIS_DOOR_OPEN_FAULT
Add:
ACIS_RBMS_DOOR_OPEN_FAULT
&gt;&gt;&gt;&gt;&gt;&gt;&gt;&gt;&gt;&gt;&gt;&gt;&gt;&gt;&gt;&gt;&gt;&gt;&gt;&gt;</t>
  </si>
  <si>
    <t>BMS20_RBMS-【FaultList】
Correct:
BTCD_DISCHARGE_OVER_CURRENT_LEVEL1_FAULT
FaultAssertCriteria:放电电流&gt;372A→放电电流&gt;451A
BTCD_DISCHARGE_OVER_CURRENT_LEVEL2_FAULT
FaultAssertCriteria:放电电流&gt;364A→放电电流&gt;414A
FaultDeassertCriteria:放电电流&lt;354A→放电电流&lt;=395A
BTCD_DISCHARGE_OVER_CURRENT_LEVEL3_FAULT
FaultAssertCriteria:放电电流&gt;356A→放电电流&gt;395A
FaultDeassertCriteria:放电电流&lt;346A→放电电流&lt;=376A
BTCD_RECHARGE_OVER_CURRENT_LEVEL1_FAULT
FaultAssertCriteria:充电电流&gt;372A→充电电流&gt;451A
BTCD_RECHARGE_OVER_CURRENT_LEVEL2_FAULT
FaultAssertCriteria:充电电流&gt;364A→充电电流&gt;414A
FaultDeassertCriteria:充电电流&lt;354A→充电电流&lt;=395A
BTCD_RECHARGE_OVER_CURRENT_LEVEL3_FAULT
FaultAssertCriteria:充电电流&gt;356A→充电电流&gt;395A
FaultDeassertCriteria:充电电流&lt;346A→充电电流&lt;=376A
&gt;&gt;&gt;&gt;&gt;&gt;&gt;&gt;&gt;&gt;&gt;&gt;&gt;&gt;&gt;&gt;&gt;&gt;&gt;&gt;</t>
  </si>
  <si>
    <t>BMS20_RBMS-【FaultList】
Add:
CLTH_MAIN_POSITIVE_RELAY_OVER_TEMP_LEVEL2_FAULT
CLTH_MAIN_NEGATIVE_RELAY_OVER_TEMP_LEVEL2_FAULT
CLTH_PRECHARGE_RESISTOR_OVER_TEMP_LEVEL2_FAULT
CLTH_MAIN_POSITIVE_RELAY_OVER_TEMP_LEVEL3_FAULT
CLTH_MAIN_NEGATIVE_RELAY_OVER_TEMP_LEVEL3_FAULT
CLTH_PRECHARGE_RESISTOR_OVER_TEMP_LEVEL3_FAULT
ACIS_FEWARN_OPEN_FAULT
ACIS_FEFAULT_OPEN_FAULT
ACIS_FEACT_OPEN_FAULT
CLTH_MAIN_POSITIVE_RELAY_OVER_TEMP_LEVEL1_FAULT
CLTH_MAIN_NEGATIVE_RELAY_OVER_TEMP_LEVEL1_FAULT
CLTH_PRECHARGE_RESISTOR_OVER_TEMP_LEVEL1_FAULT
&gt;&gt;&gt;&gt;&gt;&gt;&gt;&gt;&gt;&gt;&gt;&gt;&gt;&gt;&gt;&gt;&gt;&gt;&gt;&gt;</t>
  </si>
  <si>
    <t>BMS20_RBMS-【FaultList】
Correct:
HVSH_MSD_OPEN_FAULT
EnableFault:1→0
&gt;&gt;&gt;&gt;&gt;&gt;&gt;&gt;&gt;&gt;&gt;&gt;&gt;&gt;&gt;&gt;&gt;&gt;&gt;&gt;</t>
  </si>
  <si>
    <t>BMS20_RBMS-【FaultList】
Correct:
HVSH_BATTERY_OVER_VOLTAGE_LEVEL1_FAULT
FaultAssertCriteria:总电压&gt;3.7*208→总电压&gt;3.7*416V
HVSH_BATTERY_OVER_VOLTAGE_LEVEL2_FAULT
FaultAssertCriteria:总电压&gt;3.62*208→总电压&gt;3.62*416V
FaultDeassertCriteria:总电压&lt;=3.57*208V→总电压&lt;=3.57*416V
HVSH_BATTERY_OVER_VOLTAGE_LEVEL3_FAULT
FaultAssertCriteria:总电压&gt;3.5*208→总电压&gt;3.55*416V
FaultDeassertCriteria:总电压&lt;=3.45*208V→总电压&lt;=3.5*416V
HVSH_BATTERY_UNDER_VOLTAGE_LEVEL1_FAULT
FaultAssertCriteria:总压电压 &lt;2.45*208→总压电压 &lt;2.45*416V
HVSH_BATTERY_UNDER_VOLTAGE_LEVEL2_FAULT
FaultAssertCriteria:总压电压 &lt;2.5*208V→总压电压 &lt;2.5*416V
FaultDeassertCriteria:总压电压&gt;=2.8*208V→总压电压&gt;=2.7*416V
HVSH_BATTERY_UNDER_VOLTAGE_LEVEL3_FAULT
FaultAssertCriteria:总压电压 &lt;2.9*208V→总压电压 &lt;2.9*416V
FaultDeassertCriteria:总压电压&gt;=3*208V→总压电压&gt;=3*416V
CLTH_CHG_UNDER_TEMPERATURE_LEVEL1_FAULT
FaultAssertCriteria:电芯充电最低温度&lt; -35℃→电芯充电最低温度&lt; -30℃
CLTH_CHG_UNDER_TEMPERATURE_LEVEL2_FAULT
FaultAssertCriteria:电芯充电最低温度&lt; -30℃→电芯充电最低温度&lt; 0℃
FaultDeassertCriteria:电芯充电最低温度&gt;=-25℃→电芯充电最低温度&gt;=5℃
CLTH_CHG_UNDER_TEMPERATURE_LEVEL3_FAULT
FaultAssertCriteria:电芯充电最低温度&lt; 0℃→电芯充电最低温度&lt; 5℃
FaultDeassertCriteria:电芯充电最低温度&gt;=5℃→电芯充电最低温度&gt;=10℃
CTSC_RBMS_EPO_OPEN_FAULT
EnableFault:1→0
&gt;&gt;&gt;&gt;&gt;&gt;&gt;&gt;&gt;&gt;&gt;&gt;&gt;&gt;&gt;&gt;&gt;&gt;&gt;&gt;</t>
  </si>
  <si>
    <t>correct：
1. CELL_RATE_CAPACITY [1130]-&gt;[1175]
2. SOPC_DEGRATE_BASED_FAULT_ENABLE [1]-&gt;[0]
delete:
ACIS MODE BBMS ENABLE
THMC MODE BBMS ENABLE
TMCT MODE BBMS ENABLE</t>
  </si>
  <si>
    <t>correct：
1.AFE_CELL_POLE_TEMPERATURE_SENSOR_SAMPLING_CHANNEL_CONFIGURATION [0 1 1 1 1 1 1 1 0 0 0 0 0 0 0 0 0 0 0 0] -&gt;
[0 1 1 1 1 1 1 1 1 1 0 0 0 0 0 0 0 0 0 0]
2.MODULE_CELL_TEMP_SENSOR_CHANNEL_CONFIGURATION  [0 1 1 1 1 1 1 1 1 1 1 1 1 0 0 1 1 1 1 1 1 1 1 1 1 1 1 0] -&gt; [0 1 1 1 1 1 1 1 0 1 1 1 1 1 1 1 1 0 0 1 1 1 1 1 1 1 1 0 1 1 1 1 1 1 1 0]</t>
  </si>
  <si>
    <t>BMS20_RBMS-【FaultList】
Correct:
BTCS_CANMSG_TIMEOUT_FAULT
FaultAssertDebounceTime:1s→3s
BTCS_CANBATI_IMPLY_FAULT
FaultAssertDebounceTime:1s→3s
BTCS_CANBATI_ZERODRIFT_FAULT
FaultAssertDebounceTime:1s→3s
BTCS_CANMSG_CRCRES_FAULT
FaultAssertDebounceTime:1s→3s
&gt;&gt;&gt;&gt;&gt;&gt;&gt;&gt;&gt;&gt;&gt;&gt;&gt;&gt;&gt;&gt;&gt;&gt;&gt;&gt;</t>
  </si>
  <si>
    <t>BMS20_RBMS-【FaultList】
Correct:
AFES_AFE_FAULT
FaultAssertDebounceTime:2s→3s
AFES_DAISY_CHAIN_NO_UPDATE_FAULT
FaultAssertDebounceTime:2s→3s
AFES_CRC_FAULT
FaultAssertDebounceTime:2s→3s
AFES_CELL_VOLTAGE_SAMPLING_LINE_OFF_FAULT
FaultAssertDebounceTime:2s→3s
&gt;&gt;&gt;&gt;&gt;&gt;&gt;&gt;&gt;&gt;&gt;&gt;&gt;&gt;&gt;&gt;&gt;&gt;&gt;&gt;</t>
  </si>
  <si>
    <t>BMS20_RBMS-【FaultList】
Correct:
CLTS_CELL_TEMPERATURE_OUT_OF_RANGE_HIGH_FAULT
FaultAssertDebounceTime:5s→3s
CLTS_CELL_TEMPERATURE_OUT_OF_RANGE_LOW_FAULT
FaultAssertDebounceTime:5s→3s
CLTS_CELL_TEMPERATURE_SAMPLING_MUX_FAULT
FaultAssertDebounceTime:5s→3s
CLTH_AFE_OVER_TEMPERATURE_FAULT
FaultAssertDebounceTime:5s→3s
FaultDeassertDebounceTime:5s→3s
LVPH_CURRENT_SENSOR_POWER_SUPPLY_OVER_VOLTAGE_FAULT
FaultAssertDebounceTime:1s→3s
LVPH_CURRENT_SENSOR_POWER_SUPPLY_UNDER_VOLTAGE_FAULT
FaultAssertDebounceTime:1s→3s
LVPH_24V_INTERNAL_POWER_SUPPLY_OVER_VOLTAGE_FAULT
FaultAssertDebounceTime:1s→3s
LVPH_24V_INTERNAL_POWER_SUPPLY_UNDER_VOLTAGE_FAULT
FaultAssertDebounceTime:1s→3s
&gt;&gt;&gt;&gt;&gt;&gt;&gt;&gt;&gt;&gt;&gt;&gt;&gt;&gt;&gt;&gt;&gt;&gt;&gt;&gt;</t>
  </si>
  <si>
    <t>BMS20_RBMS-【FaultList】
Correct:
CLVS_CELL_VOLTAGE_OUT_OF_RANGE_FAULT
FaultAssertDebounceTime:2s→3s
CLVH_MINCELLV_UV_LEVEL4_FAULT
FaultAssertDebounceTime:1s→3s
&gt;&gt;&gt;&gt;&gt;&gt;&gt;&gt;&gt;&gt;&gt;&gt;&gt;&gt;&gt;&gt;&gt;&gt;&gt;&gt;</t>
  </si>
  <si>
    <t>correct：
1.AFE_CELL_POLE_TEMPERATURE_SENSOR_SAMPLING_CHANNEL_CONFIGURATION [0 1 1 1 1 1 1 1 1 1 0 0 0 0 0 0 0 0 0 0]  -&gt;
[0 1 1 1 1 1 1 1 0 1 1 0 0 0 0 0 0 0 0 0]
&gt;&gt;&gt;&gt;&gt;&gt;&gt;&gt;&gt;&gt;&gt;&gt;&gt;&gt;&gt;&gt;&gt;&gt;&gt;&gt;</t>
  </si>
  <si>
    <t>BMS20_RBMS-【FaultList】
Correct:
EMCR_UPS_TO_BMS_COMMUNICATION_LOST_FAULT
EnableFault:1→0
&gt;&gt;&gt;&gt;&gt;&gt;&gt;&gt;&gt;&gt;&gt;&gt;&gt;&gt;&gt;&gt;&gt;&gt;&gt;&gt;</t>
  </si>
  <si>
    <t>BMS20_RBMS-【FaultList】
Correct:
THMC_TMS_REQUEST_DIFF_FAULT
EnableFault:1→0
THMC_TMS_LEVEL1_FAULT
EnableFault:1→0
THMC_TMS_LEVEL2_FAULT
EnableFault:1→0
THMC_TMS_LEVEL3_FAULT
EnableFault:1→0
TMCR_TMS_TO_BMS_COMMUNICATION_LOST_FAULT
EnableFault:1→0
ACIS_QF1_BREAKER_FAULT
EnableFault:1→0
ACIS_WATER_FLOOD_FAULT
EnableFault:1→0
ACIS_FIRE_EXTINGUISHER_ALERT_FAULT
EnableFault:1→0
ACIS_FIRE_EXTINGUISHER_ALARM_FAULT
EnableFault:1→0
ACIS_RBMS_DOOR_OPEN_FAULT
EnableFault:1→0
&gt;&gt;&gt;&gt;&gt;&gt;&gt;&gt;&gt;&gt;&gt;&gt;&gt;&gt;&gt;&gt;&gt;&gt;&gt;&gt;</t>
  </si>
  <si>
    <t>BMS10_RBMS,BMS11_RBMS,BMS12_RBMS,BMS13_RBMS,BMS20_RBMS,LC25_RBMS,MIC_RBMS,SF05T_RBMS,SF05_RBMS,SIB_RBMS-【FaultList】
Correct:
CLVH_MODULE_OVER_VOLTAGE_LEVEL3_FAULT
FaultDeassertCriteria:所有模组电压 &lt;=（单体过压二级恢复阈值*模组内串联电芯数）→所有模组电压 &lt;=（单体过压三级恢复阈值*模组内串联电芯数）
FaultID:160→161
CLVH_MODULE_UNDER_VOLTAGE_LEVEL1_FAULT
FaultAssertCriteria:任意模组电压 &lt;（单体过压一级确认阈值*模组内串联电芯数）→任意模组电压 &lt;（单体欠压一级确认阈值*模组内串联电芯数）
FaultID:161→162
CLVH_MODULE_UNDER_VOLTAGE_LEVEL2_FAULT
FaultAssertCriteria:任意模组电压 &lt;（单体过压二级确认阈值*模组内串联电芯数）→任意模组电压 &lt;（单体欠压二级确认阈值*模组内串联电芯数）
FaultDeassertCriteria:所有模组电压 &gt;=（单体欠压一级确认阈值*模组内串联电芯数）→所有模组电压 &gt;=（单体欠压二级恢复阈值*模组内串联电芯数）
FaultID:162→163
CLVH_MODULE_UNDER_VOLTAGE_LEVEL3_FAULT
FaultAssertCriteria:任意模组电压 &lt;（单体过压三级确认阈值*模组内串联电芯数）→任意模组电压 &lt;（单体欠压三级确认阈值*模组内串联电芯数）
FaultDeassertCriteria:所有模组电压 &gt;=（单体欠压一级确认阈值*模组内串联电芯数）→所有模组电压 &gt;=（单体欠压三级恢复阈值*模组内串联电芯数）
FaultDeassertDebounceTime:NA→3s
FaultID:163→164
&gt;&gt;&gt;&gt;&gt;&gt;&gt;&gt;&gt;&gt;&gt;&gt;&gt;&gt;&gt;&gt;&gt;&gt;&gt;&gt;</t>
  </si>
  <si>
    <t>BMS11_RBMS,BMS12_RBMS,BMS13_RBMS,BMS20_RBMS,MIC_RBMS,SIB_RBMS-【FaultList】
Delete:
BCFR_EXCESSIVE_VOLTAGE_DIFF_FAULT
&gt;&gt;&gt;&gt;&gt;&gt;&gt;&gt;&gt;&gt;&gt;&gt;&gt;&gt;&gt;&gt;&gt;&gt;&gt;&gt;</t>
  </si>
  <si>
    <t>BMS10_RBMS,LC25_RBMS,SF05_RBMS,SF05T_RBMS,BMS20_RBMS-【FaultList】
Delete:
CLTH_MAIN_POSITIVE_RELAY_OVER_TEMP_LEVEL1_FAULT
CLTH_MAIN_POSITIVE_RELAY_OVER_TEMP_LEVEL2_FAULT
CLTH_MAIN_NEGATIVE_RELAY_OVER_TEMP_LEVEL1_FAULT
CLTH_MAIN_NEGATIVE_RELAY_OVER_TEMP_LEVEL2_FAULT
CLTH_PRECHARGE_RESISTOR_OVER_TEMP_LEVEL1_FAULT
CLTH_PRECHARGE_RESISTOR_OVER_TEMP_LEVEL2_FAULT
CLTH_MAIN_POSITIVE_RELAY_OVER_TEMP_LEVEL3_FAULT
CLTH_MAIN_NEGATIVE_RELAY_OVER_TEMP_LEVEL3_FAULT
CLTH_PRECHARGE_RESISTOR_OVER_TEMP_LEVEL3_FAULT
&gt;&gt;&gt;&gt;&gt;&gt;&gt;&gt;&gt;&gt;&gt;&gt;&gt;&gt;&gt;&gt;&gt;&gt;&gt;&gt;</t>
  </si>
  <si>
    <t>BMS10_RBMS,BMS11_RBMS,BMS12_RBMS,BMS13_RBMS,BMS20_RBMS,LC25_RBMS,SF05T_RBMS,MIC_RBMS,SF05_RBMS,SIB_RBMS-【FaultList】
Delete:
CTSC_PRECHARGE_RELAY_STUCK_CLOSE_FAULT
CTSC_PRECHARGE_RELAY_STUCK_OPEN_FAULT
CTSC_PRECHRG_AUX_CONTACT_ST_FAULT
HVSH_HIGH_VOLTAGE_FUSE_BROKEN_FAULT
HVSH_HIGH_VOLTAGE_FUSE1_BROKEN_FAULT
&gt;&gt;&gt;&gt;&gt;&gt;&gt;&gt;&gt;&gt;&gt;&gt;&gt;&gt;&gt;&gt;&gt;&gt;&gt;&gt;</t>
  </si>
  <si>
    <t>BMS20_RBMS-【FaultList】
Delete:
EMCR_PCS_TO_BMS_COMMUNICATION_LOST_FAULT
EMCR_UPS_TO_BMS_COMMUNICATION_LOST_FAULT
EMCR_ENERGYMETER_TO_BMS_COMMUNICATION_LOST_FAULT
EMCR_EMS_TO_BMS_COMMUNICATION_LOST_FAULT
&gt;&gt;&gt;&gt;&gt;&gt;&gt;&gt;&gt;&gt;&gt;&gt;&gt;&gt;&gt;&gt;&gt;&gt;&gt;&gt;</t>
  </si>
  <si>
    <t>BMS10_RBMS,BMS11_RBMS,BMS12_RBMS,BMS13_RBMS,BMS20_RBMS,LC25_RBMS,MIC_RBMS,SF05T_RBMS,SF05_RBMS,SIB_RBMS-【FaultList】
Delete:
ACIS_CONBUSTILE_GAS_FAULT
ACIS_EXPLOSIONPROOF_FAN_FAULT
ACIS_EXPLOSIONPROOF_FAN_OPEN_FAULT
ACIS_FAN_RELAY_STUCK_CLOSE_FAULT
ACIS_FAN_RELAY_STUCK_OPEN_FAULT
ISOH_ISOLATION_MOS_DIAGNOSIS_FAULT
THMS_FUSE_TEMP_SENSOR_SHORT_TO_BATTERY_FAULT
THMS_FUSE_TEMP_SENSOR_SHORT_TO_GROUND_FAULT
THMS_HALL_TEMP_SENSOR_SHORT_TO_BATTERY_FAULT
THMS_HALL_TEMP_SENSOR_SHORT_TO_GROUND_FAULT
TMCR_FCU_FIRE_LEVEL1_FAULT
TMCR_FCU_FIRE_LEVEL2_FAULT
TMCR_FCU_FIRE_LEVEL3_FAULT
TMCR_FCU_SYSTEM_FAULT
TMCR_FCU_SYSTEM_ID_MISMATCH_FAULT
TMCR_FCU_TO_RACK_COMMUNICATION_LOST_FAULT
TMCR_FDU_LEVEL1_FAULT
TMCR_FDU_LEVEL2_FAULT
TMCR_FDU_LEVEL3_FAULT
TMCR_RACK_HUMIDITY_HIGH_FAULT
TMCR_RACK_HUMTMP_SENSOR_TIMEOUT_FAULT
TMCR_RACK_TEMP_HIGH_FAULT
TMCR_RACK_TEMP_LOW_FAULT
TMCR_RACK_WATER_FAULT
TMCR_RACK_WATER_SENSOR_TIMEOUT_FAULT
TMCR_TMS_TO_RACK_COMMUNICATION_LOST_FAULT
&gt;&gt;&gt;&gt;&gt;&gt;&gt;&gt;&gt;&gt;&gt;&gt;&gt;&gt;&gt;&gt;&gt;&gt;&gt;&gt;</t>
  </si>
  <si>
    <t>BMS10_RBMS,BMS20_RBMS,LC25_RBMS,SF05_RBMS,SF05T_RBMS-【FaultList】
Delete:
ACIS_FEACT_OPEN_FAULT
ACIS_FEFAULT_OPEN_FAULT
ACIS_FEWARN_OPEN_FAULT
THMC_TMS_LEVEL1_FAULT
THMC_TMS_LEVEL2_FAULT
THMC_TMS_REQUEST_DIFF_FAULT
THMC_TMS_LEVEL3_FAULT
&gt;&gt;&gt;&gt;&gt;&gt;&gt;&gt;&gt;&gt;&gt;&gt;&gt;&gt;&gt;&gt;&gt;&gt;&gt;&gt;</t>
  </si>
  <si>
    <t>BMS10_RBMS,BMS11_RBMS,BMS12_RBMS,BMS13_RBMS,BMS20_RBMS,LC25_RBMS,MIC_RBMS,SF05T_RBMS,SF05_RBMS,SIB_RBMS-【FaultList】
Delete:
CLVS_MODULE_VOLTAGE_OUT_OF_RANGE_FAULT
Add:
CLVS_AFE_VOLTAGE_OUT_OF_RANGE_FAULT
&gt;&gt;&gt;&gt;&gt;&gt;&gt;&gt;&gt;&gt;&gt;&gt;&gt;&gt;&gt;&gt;&gt;&gt;&gt;&gt;</t>
  </si>
  <si>
    <t>Add System Parameter CURRENT_SENSOR_ZERO_DRIFT_A</t>
  </si>
  <si>
    <t>BMS10_RBMS,BMS11_RBMS,BMS12_RBMS,BMS13_RBMS,BMS20_RBMS,LC25_RBMS,MIC_RBMS,SF05T_RBMS,SF05_RBMS,SIB_RBMS-【FaultList】
Correct:
CLVH_VOLTAGE_MISMATCH_FAULT
EnableFault:1→0
&gt;&gt;&gt;&gt;&gt;&gt;&gt;&gt;&gt;&gt;&gt;&gt;&gt;&gt;&gt;&gt;&gt;&gt;&gt;&gt;</t>
  </si>
  <si>
    <t>BMS20_RBMS-【FaultList】
Correct:
EMCR_RANK_TO_BANK_COMMUNICATION_LOST_FAULT
EnableFault:0→1
EMCR_CRC_FAULT
EnableFault:0→1
&gt;&gt;&gt;&gt;&gt;&gt;&gt;&gt;&gt;&gt;&gt;&gt;&gt;&gt;&gt;&gt;&gt;&gt;&gt;&gt;</t>
  </si>
  <si>
    <t>BMS20_RBMS-【FaultList】
Delete:
TMCR_TMS_TO_BMS_COMMUNICATION_LOST_FAULT
ACIS_QF1_BREAKER_FAULT
ACIS_WATER_FLOOD_FAULT
ACIS_ESTOP_FAULT
ACIS_FIRE_EXTINGUISHER_ALERT_FAULT
ACIS_FIRE_EXTINGUISHER_ALARM_FAULT
Correct:
AFES_AFE_FAULT
FaultDescription:AFE硬件故障→AFE硬件故障[【SaAFES_AFEVldFlg】
FaultAssertDebounceTime:3s→【CcAFES_AFEFltSetTims=3000】ms
AFES_DAISY_CHAIN_NO_UPDATE_FAULT
FaultDescription:菊花链通信丢失故障→菊花链通信丢失故障【BSWSDaisyChainUpdFlg】
FaultAssertDebounceTime:3s→【CcAFES_DaisyChainNoUpdFltSetTims=3000】ms
AFES_CRC_FAULT
FaultDescription:电芯电压温度采样CRC故障→电芯电压温度采样CRC故障【BSWSAFEMsgCRCResActNbr：0x2,0x4】
FaultAssertDebounceTime:3s→【CcAFES_AFECRCFltSetTims=3000】ms
AFES_CELL_VOLTAGE_SAMPLING_LINE_OFF_FAULT
FaultAssertDebounceTime:3s→【CcAFES_CellVSamplgLineOffFltSetTims=3000】ms
AFES_DAISY_CHAIN_SINGLE_POINT_OFF_FAULT
FaultDescription:菊花链单点断线→菊花链单点断线【BSWSDaisyChainDiagInfoNbr】
FaultAssertDebounceTime:10s→【CcAFES_DaisyChainSngPointOffFltSetTims=10000】ms
FaultDeassertDebounceTime:10s→【CcAFES_DaisyChainSngPointOffFltClrTims=10000】ms
AFES_DAISY_CHAIN_MULTIPLE_POINT_OFF_FAULT
FaultDescription:菊花链多点断线→菊花链多点断线【BSWSDaisyChainDiagInfoNbr】
FaultAssertDebounceTime:10s→【CcAFES_DaisyChainMplPointOffFltSetTims=10000】ms
CBSS_BALANCING_LOOP_CIRCUIT_FAULT
FaultAssertDebounceTime:3次→【CcCBSS_CellBalLoopCircFltSetNbr=3】次
CLTS_CELL_TEMPERATURE_OUT_OF_RANGE_HIGH_FAULT
FaultDescription:电芯温度采样短地(STG)→电芯温度采样短地(STG)【SaAFES_AFECellTVldFlg、BSWSTRawValNbr】
FaultAssertCriteria:相关电芯采样温度CNT值&lt;=-9127(&gt;125℃)→相关电芯采样温度CNT值&lt;=【CcCLTS_CellTOorLoLimNbr=-9127】(&gt;125℃)
FaultAssertDebounceTime:3s→【CcCLTS_CellTOorHiLimFltSetTims=3000】ms
CLTS_CELL_TEMPERATURE_OUT_OF_RANGE_LOW_FAULT
FaultDescription:电芯温度采样短电源(STB or Oc)→电芯温度采样短电源(STB or Oc)【SaAFES_AFECellTVldFlg、BSWSTRawValNbr】
FaultAssertCriteria:相关电芯采样温度CNT值 &gt;= 9495(&lt;-40℃)→相关电芯采样温度CNT值 &gt;= 【CcCLTS_CellTOorHiLimNbr=9495】(&lt;-40℃)
FaultAssertDebounceTime:3s→【CcCLTS_CellTOorHiLimFltSetTims=3000】ms
CLTS_CELL_TEMPERATURE_SAMPLING_MUX_FAULT
FaultDescription:电芯温度采样MUX故障→电芯温度采样MUX故障【BSWSTRawValNbr】
FaultAssertCriteria:MUX对GND采样异常→MUX对GND采样异常【CcCLTS_CellTOorLoLimNbr = -9127】
FaultAssertDebounceTime:3s→【CcCLTS_CellTMUXFltSetTims=3000】ms
CLVS_CELL_VOLTAGE_OUT_OF_RANGE_FAULT
FaultDescription:电芯电压采样超范围→电芯电压采样超范围【SaCLVS_CellVmV】
FaultAssertCriteria:相关电芯电压&gt;=4.5V or 相关电芯电压&lt;=100mV→相关电芯电压 &gt;= 【CcCLVS_CellVOorHiLimmV=4500】mV or 相关电芯电压&lt;= 【CcCLVS_CellVOorLoLimmV=100】mV
FaultAssertDebounceTime:3s→【CcCLVS_CellVOorFltSetTims=3000】ms
HVSS_HIGH_VOLTAGE_SENSOR_FAULT
FaultDescription:高压采样传感器故障→高压采样传感器故障 【BSWSHvBatVRawValVldFlg、BSWSHvLnkPosVRawValVldFlg】
FaultAssertDebounceTime:0.5s→【CcHVSS_HvSnsrFltSetTims = 500】ms
HVSS_BATTERY_VOLTAGE_OUT_OF_RANGE_FAULT
FaultDescription:Battery电压超范围故障→Battery电压超范围故障 【BSWSHvBatVRawValNbr】
FaultAssertCriteria:Battery电压&gt;4.326V*每簇电芯数目→Battery电压&gt;【CcHVSS_BatVOorHiCfmCellThdmV=4326】*TOTAL_SERIES_CELL_NUMBER_PER_RACK_BMS/1000 V
FaultAssertDebounceTime:1s→【CcHVSS_HvBatVOorFltSetTims=1000】ms
HVSS_LINK_POSITIVE_VOLTAGE_OUT_OF_RANGE_FAULT
FaultDescription:LinkPos电压超范围故障→LinkPos电压超范围故障【BSWSHvLnkPosVRawValNbr】
FaultAssertCriteria:Linkpos电压大于1800V→Linkpos电压大于【CcHVSS_LnkPosVOorCfmThdV = 1800】V
FaultAssertDebounceTime:1s→【CcHVSS_HvLnkPosVOorFltSetTims =1000】ms
BTCS_CANMSG_TIMEOUT_FAULT
FaultDescription:电流传感器通讯丢失故障→电流传感器通讯丢失故障【BSWSMsgAvlFlg】
FaultAssertDebounceTime:3s→【CcBTCS_CANMsgTOFltDiagTims=3000】ms
BTCS_CANBATI_IMPLY_FAULT
FaultDescription:电流传感器硬件故障→电流传感器硬件故障【BSWSBatIDiagInfoFlg】
FaultAssertDebounceTime:3s→【CcBTCS_CANBatISnsrHwFltDiagTims=3000】ms
BTCS_CANBATI_ZERODRIFT_FAULT
FaultAssertDebounceTime:3s→【CcBTCS_CANBatIZeroDriftFltDiagTims=3000】ms
BTCS_CANMSG_CRCRES_FAULT
FaultDescription:电流传感器CRC故障→电流传感器CRC故障【BSWSMsgCRCResFlg】
FaultAssertDebounceTime:3s→【CcBTCS_CANMsgCRCResFltDiagTims=3000】ms
THMS_PCB_BOARD_TEMP_SENSOR_SHORT_TO_GROUND_FAULT
FaultAssertCriteria:PCB板温CNT值&lt; -9134(&gt;125℃)→PCB板温CNT值&lt; 【CcTHMS_PCBTempSTGThdNbr=-9134】
FaultAssertDebounceTime:5s→【CcTHMS_TempSnsrSTBFltSetTims=5000】ms
THMS_PCB_BOARD_TEMP_SENSOR_SHORT_TO_BATTERY_FAULT
FaultAssertCriteria:PCB板温CNT值 &gt; 9429(&lt;-40℃)→PCB板温CNT值 &gt;【 CcTHMS_PCBTempSTBThdNbr=9429】
FaultAssertDebounceTime:5s→【CcTHMS_TempSnsrSTBFltSetTims=5000】ms
THMS_RBMS_TEMP_SENSOR_SHORT_TO_GROUND_FAULT
FaultAssertCriteria:RBMS板温CNT值&lt; 88(&gt;125℃)→RBMS板温CNT值&lt; 【CcTHMS_RBMSTempSTGThdNbr=88】
FaultAssertDebounceTime:5s→【CcTHMS_TempSnsrSTBFltSetTims=5000】ms
FaultDeassertCriteria:RBMS板温CNT值 &gt;= 88(&lt;=125℃)→RBMS板温CNT值 &gt;=【CcTHMS_RBMSTempSTGThdNbr=88】
FaultDeassertDebounceTime:5s→【CcTHMS_TempSnsrSTBFltClrTims=5000】ms
THMS_RBMS_TEMP_SENSOR_SHORT_TO_BATTERY_FAULT
FaultAssertCriteria:RBMS板温CNT值 &gt; 4092(&lt;-40℃)→RBMS板温CNT值 &gt; 【CcTHMS_RBMSTempSTBThdNbr=4092】
FaultAssertDebounceTime:5s→【CcTHMS_TempSnsrSTBFltSetTims=5000】ms
FaultDeassertCriteria:RBMS板温CNT值 &lt;= 4092(&gt;=-40℃)→RBMS板温CNT值 &lt;= 【CcTHMS_RBMSTempSTBThdNbr=4092】
FaultDeassertDebounceTime:5s→【CcTHMS_TempSnsrSTBFltClrTims=5000】ms
ACIS_RBMS_SPD1_OPEN_FAULT
FaultDescription:主控SPD1浪涌反馈→主控SPD1浪涌反馈【BSWSRackDoorRawCnt[1]】
FaultAssertDebounceTime:3s→【CcACIS_Spd1OpenFltSetTims=3000】ms
FaultDeassertDebounceTime:3s→【CcACIS_Spd1OpenFltClrTims=3000】ms
MCUD_RESET_FAULT
FaultDescription:BMU复位故障→BMU复位故障【BSWSMCURstRsnNbr】
FaultAssertDebounceTime:10s→【CcMCUD_MCURstFltSetTims=10000】ms
MCUD_MEMORY_INTERNAL_DATA_FAULT
FaultDescription:MCU初始化故障→MCU初始化故障【BSWSMCUMemIntDataFltNbr】
FaultAssertDebounceTime:2s→【CcMCUD_MCUMemIntDataFltSetTims=2000】ms
CLVH_MAXCELLV_OV_LEVEL1_FAULT
FaultDescription:单体电压高一级→单体电压高一级【ScCLVH_MaxCellVmV】
FaultAssertCriteria:最高单体电压&gt;3.7V→最高单体电压&gt;【CcCLVH_MaxCellVOvLvl1FltVmV=3700】mV
FaultAssertDebounceTime:3s→【CcCLVH_MaxCellVOvLvl1FltDiagTims=3000】ms
CLVH_MAXCELLV_OV_LEVEL2_FAULT
FaultDescription:单体电压高二级→单体电压高二级【ScCLVH_MaxCellVmV】
FaultAssertCriteria:最高单体电压&gt;3.62V→最高单体电压&gt;【CcCLVH_MaxCellVOvLvl2FltVmV=3620】mV
FaultAssertDebounceTime:3s→【CcCLVH_MaxCellVOvLvl2FltDiagTims=3000】ms
FaultDeassertCriteria:最高单体电压&lt;=3.57V→最高单体电压&lt;=【CcCLVH_MaxCellVOvLvl2FltRcvryVmV=3570】mV
FaultDeassertDebounceTime:3s→【CcCLVH_MaxCellVOvLvl2FltRcvryTims=3000】ms
CLVH_MAXCELLV_OV_LEVEL3_FAULT
FaultDescription:单体电压高三级→单体电压高三级【ScCLVH_MaxCellVmV】
FaultAssertCriteria:最高单体电压&gt;3.55V→最高单体电压&gt;【CcCLVH_MaxCellVOvLvl3FltVmV=3550】mV
FaultAssertDebounceTime:3s→【CcCLVH_MaxCellVOvLvl3FltDiagTims=3000】ms
FaultDeassertCriteria:最高单体电压&lt;=3.5V→最高单体电压&lt;=【CcCLVH_MaxCellVOvLvl3FltRcvryVmV=3500】mV
FaultDeassertDebounceTime:3s→【CcCLVH_MaxCellVOvLvl3FltRcvryTims=3000】ms
CLVH_MINCELLV_UV_LEVEL1_FAULT
FaultDescription:单体电压低一级→单体电压低一级【ScCLVH_MinCellVmV】
FaultAssertCriteria:最低单体电压&lt;2.45V→最低单体电压&lt;【CcCLVH_MinCellVUvLvl1FltVmV=2450】mV
FaultAssertDebounceTime:3s→【CcCLVH_MinCellVUvLvl1FltDiagTims=3000】ms
CLVH_MINCELLV_UV_LEVEL2_FAULT
FaultDescription:单体电压低二级→单体电压低二级【ScCLVH_MinCellVmV】
FaultAssertCriteria:最低单体电压&lt;2.5V→最低单体电压&lt;【CcCLVH_MinCellVUvLvl2FltVmV=2500】mV
FaultAssertDebounceTime:3s→【CcCLVH_MinCellVUvLvl2FltDiagTims=3000】ms
FaultDeassertCriteria:最低单体电压&gt;=2.7V→最低单体电压&gt;=【CcCLVH_MinCellVUvLvl2FltRcvryVmV=2700】mV
FaultDeassertDebounceTime:3s→【CcCLVH_MinCellVUvLvl2FltRcvryTims=3000】ms
CLVH_MINCELLV_UV_LEVEL3_FAULT
FaultDescription:单体电压低三级→单体电压低三级【ScCLVH_MinCellVmV】
FaultAssertCriteria:最低单体电压&lt;2.9V→最低单体电压&lt;【CcCLVH_MinCellVUvLvl3FltVmV=2900】mV
FaultAssertDebounceTime:3s→【CcCLVH_MinCellVUvLvl3FltDiagTims=3000】ms
FaultDeassertCriteria:最低单体电压&gt;=3V→最低单体电压&gt;=【CcCLVH_MinCellVUvLvl3FltRcvryVmV=3000】mV
FaultDeassertDebounceTime:NA→【CcCLVH_MinCellVUvLvl3FltRcvryTims=3000】ms
CLVH_DELTACELLV_OL_LEVEL1_FAULT
FaultDescription:单体压差大一级→单体压差大一级【ScCLVH_MaxCellVmV、ScCLVH_MinCellVmV】
FaultAssertCriteria:DeltV &gt;800mV→DeltV &gt;【CcCLVH_DeltaCellVOLLvl1FltVmV=800】mV
FaultAssertDebounceTime:3s→【CcCLVH_DeltaCellVOLLvl1FltDiagTims=3000】ms
CLVH_DELTACELLV_OL_LEVEL2_FAULT
FaultDescription:单体压差大二级→单体压差大二级【ScCLVH_MaxCellVmV、ScCLVH_MinCellVmV】
FaultAssertCriteria:DeltV &gt;500mV→DeltV &gt;【CcCLVH_DeltaCellVOLLvl2FltVmV=500】mV
FaultAssertDebounceTime:3s→【CcCLVH_DeltaCellVOLLvl2FltDiagTims=3000】ms
FaultDeassertCriteria:最大单体压差&lt;=400mV→最大单体压差&lt;=【CcCLVH_DeltaCellVOLLvl2FltRcvryVmV=400】mV
FaultDeassertDebounceTime:3s→【CcCLVH_DeltaCellVOLLvl2FltRcvryTims=3000】ms
CLVH_DELTACELLV_OL_LEVEL3_FAULT
FaultDescription:单体压差大三级→单体压差大三级【ScCLVH_MaxCellVmV、ScCLVH_MinCellVmV】
FaultAssertCriteria:DeltV &gt;300mV→DeltV &gt;【CcCLVH_DeltaCellVOLLvl3FltVmV=300】mV
FaultAssertDebounceTime:3s→【CcCLVH_DeltaCellVOLLvl3FltDiagTims=3000】ms
FaultDeassertCriteria:最大单体压差&lt;=200mV→最大单体压差&lt;=【CcCLVH_DeltaCellVOLLvl3FltRcvryVmV=200】mV
FaultDeassertDebounceTime:3s→【CcCLVH_DeltaCellVOLLvl3FltRcvryTims=3000】ms
CLVH_MAXCELLV_OV_LEVEL4_FAULT
FaultDescription:单体极限过压→单体极限过压【ScCLVH_MaxCellVmV】
FaultAssertCriteria:最高单体电压&gt;=3.8V→最高单体电压&gt;=【CcCLVH_MaxCellVOvLvl4FltVmV=3800】mV
FaultAssertDebounceTime:3s→【CcCLVH_MaxCellVOvLvl4FltDiagTims=3000】ms
CLVH_MINCELLV_UV_LEVEL4_FAULT
FaultDescription:单体极限欠压→单体极限欠压【ScCLVH_MinCellVmV】
FaultAssertCriteria:最低单体电压&lt;=1.6V(Tmin &lt;= 0℃)
最低单体电压&lt;=2V(Tmin &gt; 0℃ or Tmin 无效)→最低单体电压&lt;=【CcCLVH_MinCellVUvLvl4FltV1mV=1600】mV(Tmin &lt;= 0℃)
最低单体电压&lt;=【CcCLVH_MinCellVUvLvl4FltV2mV=2000】mV(Tmin &gt; 0℃ or Tmin 无效)
FaultAssertDebounceTime:3s→【CcCLVH_MinCellVUvLvl4FltDiagTims=3000】ms
CLVH_VOLTAGE_MISMATCH_FAULT
FaultDescription:单体电压和与AFE电压不匹配→单体电压和与AFE电压不匹配【SaCLVS_CellVmV、SaCLVS_MdulVmV】
DiagnoseEnableCondition:AFE电压大于19.5v→AFE电压大于【CcCLVH_MdulCellSumFltVmV=19500】mv
FaultAssertCriteria:|SumCV-MV| &gt;1250mV→|SumCV-MV| &gt;【CcCLVH_VoltageMismatchFltVmV=1250】mV
FaultAssertDebounceTime:1s→【CcCLVH_VoltageMismatchFltDiagTims=1000】ms
FaultDeassertCriteria:|SumCV-MV| &lt;= 500mV→|SumCV-MV| &lt;= 【CcCLVH_VoltageMismatchFltRcvryVmV=500】mV
FaultDeassertDebounceTime:1s→【CcCLVH_VoltageMismatchFltRcvryTims=1000】ms
HVSH_HIGH_VOLTAGE_LOOP_BROKEN_FAULT
FaultDescription:高压回路断路故障→高压回路断路故障【ScCLVH_CellSumV、ScHVSS_HvBatV】
FaultAssertCriteria:高压总压小于0.4*电芯电压累加和→高压总压小于【CcHVSH_HvLoopBknVRatNbr =0.4】*电芯电压累加和
FaultAssertDebounceTime:1s→【CcHVSH_HvLoopBknFltSetTims=1000】ms
HVSH_CELL_SUM_VOLTAGE_WITH_BATTERY_MISMTCH_FAULT
FaultDescription:电芯电压与Battery电压不匹配→电芯电压与Battery电压不匹配【ScHVSS_HvBatV、ScCLVH_CellSumV】
FaultAssertCriteria:高压总压和电芯电压累加和之差大于50V→高压总压和电芯电压累加和之差大于【CcHVSH_CellSumVWithBatVMismtchFltCfmThdV=50】V
FaultAssertDebounceTime:1s→【CcHVSH_CellSumVWithBatVMismtchFltSetTims=1000】ms
FaultDeassertCriteria:高压总压和电芯电压累加和之差小于等于30V→高压总压和电芯电压累加和之差小于等于【CcHVSH_CellSumVWithBatVMismtchFltRcvrThdV=30】V
HVSH_MSD_OPEN_FAULT
FaultDescription:MSD开路(互锁)故障→MSD开路(互锁)故障【BSWSMSDAuxVRawValNbr】
FaultAssertDebounceTime:2s→【CcHVSH_MSDOpenFltSetTims=2000】ms
HVSH_BATTERY_OVER_VOLTAGE_LEVEL1_FAULT
FaultDescription:总电压过高一级→总电压过高一级【ScHVSS_HvBatV】
FaultAssertCriteria:总电压&gt;3.7*416V→总电压&gt;【CcHVSH_BatOVLvl1FltCfmThdV=3.7】*串数V
FaultAssertDebounceTime:3s→【CcHVSH_BatOVLvl1FltSetTims=3000】ms
HVSH_BATTERY_OVER_VOLTAGE_LEVEL2_FAULT
FaultDescription:总电压过高二级→总电压过高二级【ScHVSS_HvBatV】
FaultAssertCriteria:总电压&gt;3.62*416V→总电压&gt;【CcHVSH_BatOVLvl2FltCfmThdV=3.62】*串数V
FaultAssertDebounceTime:3s→【CcHVSH_BatOVLvl2FltSetTims=3000】ms
FaultDeassertCriteria:总电压&lt;=3.57*416V→总电压&lt;=【CcHVSH_BatOVLvl2FltRcvrThdV=3.57】*串数V
FaultDeassertDebounceTime:3s→【CcHVSH_BatOVLvl2FltClrTims=3000】ms
HVSH_BATTERY_OVER_VOLTAGE_LEVEL3_FAULT
FaultDescription:总电压过高三级→总电压过高三级【ScHVSS_HvBatV】
FaultAssertCriteria:总电压&gt;3.55*416V→总电压&gt;【CcHVSH_BatOVLvl3FltCfmThdV=3.55】*串数V
FaultAssertDebounceTime:3s→【CcHVSH_BatOVLvl3FltSetTims=3000】ms
FaultDeassertCriteria:总电压&lt;=3.5*416V→总电压&lt;=【CcHVSH_BatOVLvl3FltRcvrThdV=3.5】*串数V
FaultDeassertDebounceTime:3s→【CcHVSH_BatOVLvl3FltClrTims=3000】ms
HVSH_BATTERY_UNDER_VOLTAGE_LEVEL1_FAULT
FaultDescription:总电压过低一级→总电压过低一级【ScHVSS_HvBatV】
FaultAssertCriteria:总压电压 &lt;2.45*416V→总压电压&lt;【CcHVSH_BatUVLvl1FltCfmThdV=2.45】*串数V
FaultAssertDebounceTime:3s→【CcHVSH_BatUVLvl1FltSetTims=3000】ms
HVSH_BATTERY_UNDER_VOLTAGE_LEVEL2_FAULT
FaultDescription:总电压过低二级→总电压过低二级【ScHVSS_HvBatV】
FaultAssertCriteria:总压电压 &lt;2.5*416V→总压电压&lt;【CcHVSH_BatUVLvl2FltCfmThdV=2.5】*串数V
FaultAssertDebounceTime:3s→【CcHVSH_BatUVLvl2FltSetTims=3000】ms
FaultDeassertCriteria:总压电压&gt;=2.7*416V→总压电压&gt;=【CcHVSH_BatUVLvl2FltRcvrThdV=2.7】*串数V
FaultDeassertDebounceTime:3s→【CcHVSH_BatUVLvl2FltClrTims=3000】ms
HVSH_BATTERY_UNDER_VOLTAGE_LEVEL3_FAULT
FaultDescription:总电压过低三级→总电压过低三级【ScHVSS_HvBatV】
FaultAssertCriteria:总压电压 &lt;2.9*416V→总压电压&lt;【CcHVSH_BatUVLvl3FltCfmThdV=2.9】*串数V
FaultAssertDebounceTime:3s→【CcHVSH_BatUVLvl3FltSetTims=3000】ms
FaultDeassertCriteria:总压电压&gt;=3*416V→总压电压&gt;=【CcHVSH_BatUVLvl3FltRcvrThdV=3.0】*串数V
FaultDeassertDebounceTime:3s→【CcHVSH_BatUVLvl3FltClrTims=3000】ms
BTCD_DISCHARGE_OVER_CURRENT_LEVEL1_FAULT
FaultDescription:放电电流大一级→放电电流大一级【ScBTCS_BatIA】
FaultAssertCriteria:放电电流&gt;451A→放电电流&gt;【CcBTCD_DchILimLvl1ThdA=451】A
FaultAssertDebounceTime:3s→【CcBTCD_CurrWarnFltSetTims=3000】ms
BTCD_DISCHARGE_OVER_CURRENT_LEVEL2_FAULT
FaultDescription:放电电流大二级→放电电流大二级【ScBTCS_BatIA】
FaultAssertCriteria:放电电流&gt;414A→放电电流&gt;【CcBTCD_DchILimLvl2ThdA=414】A
FaultAssertDebounceTime:3s→【CcBTCD_CurrWarnFltSetTims=3000】ms
FaultDeassertCriteria:放电电流&lt;=395A→放电电流&lt;=【CcBTCD_DchIClrLimLvl2ThdA=395】A
FaultDeassertDebounceTime:3s→【CcBTCD_CurrWarnFltClrTims=3000】ms
BTCD_DISCHARGE_OVER_CURRENT_LEVEL3_FAULT
FaultDescription:放电电流大三级→放电电流大三级【ScBTCS_BatIA】
FaultAssertCriteria:放电电流&gt;395A→放电电流&gt;【CcBTCD_DchILimLvl3ThdA=395】A
FaultAssertDebounceTime:3s→【CcBTCD_CurrWarnFltSetTims=3000】ms
FaultDeassertCriteria:放电电流&lt;=376A→放电电流&lt;=【CcBTCD_DchIClrLimLvl3ThdA=376】A
FaultDeassertDebounceTime:3s→【CcBTCD_CurrWarnFltClrTims=3000】ms
BTCD_RECHARGE_OVER_CURRENT_LEVEL1_FAULT
FaultDescription:充电电流大一级→充电电流大一级【ScBTCS_BatIA】
FaultAssertCriteria:充电电流&gt;451A→充电电流&gt;【CcBTCD_RchaCurLvl1LimThdA=451】A
FaultAssertDebounceTime:3s→【CcBTCD_CurrWarnFltSetTims=3000】ms
BTCD_RECHARGE_OVER_CURRENT_LEVEL2_FAULT
FaultDescription:充电电流大二级→充电电流大二级【ScBTCS_BatIA】
FaultAssertCriteria:充电电流&gt;414A→充电电流&gt;【CcBTCD_RchaCurLvl2LimThdA=414】A
FaultAssertDebounceTime:3s→【CcBTCD_CurrWarnFltSetTims=3000】ms
FaultDeassertCriteria:充电电流&lt;=395A→充电电流&lt;=【CcBTCD_RchaCurClrLvl2LimThdA=395】A
FaultDeassertDebounceTime:3s→【CcBTCD_CurrWarnFltClrTims=3000】ms
BTCD_RECHARGE_OVER_CURRENT_LEVEL3_FAULT
FaultDescription:充电电流大三级→充电电流大三级【ScBTCS_BatIA】
FaultAssertCriteria:充电电流&gt;395A→充电电流&gt;【CcBTCD_RchaCurLvl3LimThdA=395】A
FaultAssertDebounceTime:3s→【CcBTCD_CurrWarnFltSetTims=3000】ms
FaultDeassertCriteria:充电电流&lt;=376A→充电电流&lt;=【CcBTCD_RchaCurClrLvl3LimThdA=376】A
FaultDeassertDebounceTime:3s→【CcBTCD_CurrWarnFltClrTims=3000】ms
CLTH_OVER_TEMPERATURE_LEVEL0_FAULT
FaultDescription:电芯极限过温→电芯极限过温【SaCLTS_CellTDegC、SaCLTS_CellTVldFlg】
FaultAssertCriteria:电芯最高温度&gt;=70℃→电芯最高温度&gt;=【CcCLTH_DischOvtempLvl0LimDegC=70】℃ (放电)
电芯最高温度&gt;=【CcCLTH_ChOvtempLvl0LimDegC=70】℃ （充电）
FaultAssertDebounceTime:3s→【CcCLTH_TempWarnJudgeDur=3000】ms
CLTH_DELTA_TEMPERATURE_TOO_MUCH_LEVEL1_FAULT
FaultDescription:电芯温度差异大一级→电芯温度差异大一级【SaCLTS_CellTDegC、SaCLTS_CellTVldFlg】
FaultAssertCriteria:电芯温差&gt; 15℃→电芯温差&gt; 【CcCLTH_TempDiffLvl1LimDegC=15】℃
FaultAssertDebounceTime:3s→【CcCLTH_TempWarnJudgeDur=3000】ms
CLTH_DELTA_TEMPERATURE_TOO_MUCH_LEVEL2_FAULT
FaultDescription:电芯温度差异大二级→电芯温度差异大二级【SaCLTS_CellTDegC、SaCLTS_CellTVldFlg】
FaultAssertCriteria:电芯温差&gt; 10℃→电芯温差&gt; 【CcCLTH_TempDiffLvl2LimDegC=10】℃
FaultAssertDebounceTime:3s→【CcCLTH_TempWarnJudgeDur=3000】ms
FaultDeassertCriteria:电芯温差&lt;=8℃→电芯温差&lt;=【CcCLTH_TempDiffLvl2RcvryLimDegC=8】℃
FaultDeassertDebounceTime:3s→【CcCLTH_TempWarnRcvryDur=3000】ms
CLTH_DELTA_TEMPERATURE_TOO_MUCH_LEVEL3_FAULT
FaultDescription:电芯温度差异大三级→电芯温度差异大三级【SaCLTS_CellTDegC、SaCLTS_CellTVldFlg】
FaultAssertCriteria:电芯温差&gt; 8℃→电芯温差&gt; 【CcCLTH_TempDiffLvl3LimDegC=8】℃
FaultAssertDebounceTime:3s→【CcCLTH_TempWarnJudgeDur=3000】ms
FaultDeassertCriteria:电芯温差&lt;=5℃→电芯温差&lt;=【CcCLTH_TempDiffLvl3RcvryLimDegC=5】℃
FaultDeassertDebounceTime:3s→【CcCLTH_TempWarnRcvryDur=3000】ms
CLTH_TEMPERATURE_RISE_TOO_FAST_FAULT
FaultDescription:电芯温升过快→电芯温升过快【SaCLTS_CellTDegC、SaCLTS_CellTVldFlg】
FaultAssertCriteria:电芯温度上升速率为&gt;=10℃/min→电芯温度上升速率为&gt;=【CcCLTH_CellTempRiseChangeRate=10】℃/min
FaultAssertDebounceTime:1次→【CcCLTH_CellTempRiseTooFastJudgeDur=1000】ms
CLTH_THERMAL_RUNAWAY_FAULT
FaultDescription:电芯热失控→电芯热失控【ScCLVH_MaxCellVmV、ScCLTS_MaxCellTDegC、SbCLVH_GenlCellVVldFlg、EbCLTH_CellTempRunAwayFlt】
FaultAssertCriteria:1. 电压降在3s内超过初始值的25%；
2. 单体最高温度&gt;=75℃；
3. 温升速率&gt;=1℃/s，持续3s以上；
以上同时满足2个及以上条件→1. 电压降在【CcCLTH_CellTempRunAwayDebounceTimeS=3】s内超过初始值的25%；
2. 单体最高温度&gt;=【CcCLTH_TempRunAwayOvtempLimDegC=75】℃；
3. 温升速率&gt;=【CcCLTH_TempRunAwayRiseChangeRate=1】℃/s，持续3s以上；
以上同时满足2个及以上条件
FaultAssertDebounceTime:3s→【CcCLTH_TempRunAwayJudgeDur=1000】ms
CLTH_PCB_BOARD_OVER_TEMPERATURE1_FAULT
FaultDescription:从板均衡温度高一级→从板均衡温度高一级【SbTHMS_PCBBdTVldFlg、SaTHMS_PCBBdTDegC】
FaultAssertCriteria:PCB板温&gt; 100℃→PCB板温&gt;【CcCLTH_PCBOvtempLim1DegC=100】℃
FaultAssertDebounceTime:3s→【CcCLTH_TempWarnJudgeDur=3000】ms
FaultDeassertCriteria:PCB板温&lt;=95℃→PCB板温&lt;=【CcCLTH_PCBOvtempRcvryLim1DegC=95】℃
FaultDeassertDebounceTime:3s→【CcCLTH_TempWarnRcvryDur=3000】ms
CLTH_PCB_BOARD_OVER_TEMPERATURE2_FAULT
FaultDescription:从板均衡温度高二级→从板均衡温度高二级【SbTHMS_PCBBdTVldFlg、SaTHMS_PCBBdTDegC】
FaultAssertCriteria:PCB板温&gt; 95℃→PCB板温&gt;【CcCLTH_PCBOvtempLim2DegC=95】℃
FaultAssertDebounceTime:3s→【CcCLTH_TempWarnJudgeDur=3000】ms
FaultDeassertCriteria:PCB板温&lt;=90℃→PCB板温&lt;=【CcCLTH_PCBOvtempRcvryLim2DegC=90】℃
FaultDeassertDebounceTime:3s→【CcCLTH_TempWarnRcvryDur=3000】ms
CLTH_AFE_OVER_TEMPERATURE_FAULT
FaultDescription:AFE芯片过温报警→AFE芯片过温报警【SaAFES_AFEChipTDegC、SaAFES_AFEChipTVldFlg】
FaultAssertCriteria:AFE Chip温度&gt;120℃→AFE Chip温度&gt;【CcCLTH_AFEOvTempLimDegC=120】℃
FaultAssertDebounceTime:3s→【CcCLTH_TempWarnJudgeDur=3000】ms
FaultDeassertCriteria:AFE Chip温度&lt;=115℃→AFE Chip温度&lt;=【CcCLTH_AFEOvTempRcvryLimDegC=115】℃
FaultDeassertDebounceTime:3s→【CcCLTH_TempWarnRcvryDur=3000】ms
CLTH_CONTROL_BOX_AMBIENT_OVER_TEMP_LEVEL1_FAULT
FaultDescription:Control Box ambient over temperature level1→Control Box ambient over temperature level1【SaTHMS_CtlBoxTDegC、SaTHMS_CtlBoxTVldFlg】
FaultAssertCriteria:T&gt;105℃→T&gt;【CcCLTH_CtlBoxOvTempLvl1DegC=105】℃
FaultAssertDebounceTime:5s→【CcCLTH_CtlBoxTWarnJudgeDur=5000】ms
FaultDeassertCriteria:T&lt;=100℃→T&lt;=【CcCLTH_CtlBoxOvTempRcvryLvl1DegC=100】℃
FaultDeassertDebounceTime:5s→【CcCLTH_CtlBoxTWarnRcvryDur=5000】ms
CLTH_CONTROL_BOX_AMBIENT_OVER_TEMP_LEVEL2_FAULT
FaultDescription:Control Box  ambient over temperature level2→Control Box ambient over temperature level2【SaTHMS_CtlBoxTDegC、SaTHMS_CtlBoxTVldFlg】
FaultAssertCriteria:T&gt;100℃→T&gt;【CcCLTH_CtlBoxOvTempLvl2DegC=100】℃
FaultAssertDebounceTime:5s→【CcCLTH_CtlBoxTWarnJudgeDur=5000】ms
FaultDeassertCriteria:T&lt;=95℃→T&lt;=【CcCLTH_CtlBoxOvTempRcvryLvl2DegC=95】℃
FaultDeassertDebounceTime:5s→【CcCLTH_CtlBoxTWarnRcvryDur=5000】ms
CLTH_CONTROL_BOX_AMBIENT_OVER_TEMP_LEVEL3_FAULT
FaultDescription:Control Box ambient over temperature level3→Control Box ambient over temperature level3【SaTHMS_CtlBoxTDegC、SaTHMS_CtlBoxTVldFlg】
FaultAssertCriteria:T&gt;95℃→T&gt;【CcCLTH_CtlBoxOvTempLvl3DegC=95】℃
FaultAssertDebounceTime:5s→【CcCLTH_CtlBoxTWarnJudgeDur=5000】ms
FaultDeassertCriteria:T&lt;=90℃→T&lt;=【CcCLTH_CtlBoxOvTempRcvryLvl3DegC=90】℃
FaultDeassertDebounceTime:5s→【CcCLTH_CtlBoxTWarnRcvryDur=5000】ms
LVPH_RELAY_POWER_SUPPLY_OVER_VOLTAGE_FAULT
FaultDescription:继电器供电电压过高故障→继电器供电电压过高故障【ScLVPS_RlyPowSplyValV、SbLVPS_RlyPowSplyVldFlg】
FaultAssertCriteria:继电器供电电压大于32V→继电器供电电压大于【CcLVPH_RlyPowSplyOVFltCfmThdV=32】V
FaultAssertDebounceTime:1s→【CcLVPH_RlyPowSplyOVFltSetTims=1000】ms
LVPH_RELAY_POWER_SUPPLY_UNDER_VOLTAGE_FAULT
FaultDescription:继电器供电电压过低故障→继电器供电电压过低故障【ScLVPS_RlyPowSplyValV、SbLVPS_RlyPowSplyVldFlg】
FaultAssertCriteria:继电器供电电压小于20V→继电器供电电压小于【CcLVPH_RlyPowSplyUVFltCfmThdV=20】V
FaultAssertDebounceTime:1s→【CcLVPH_RlyPowSplyUVFltSetTims=1000】ms
LVPH_CURRENT_SENSOR_POWER_SUPPLY_OVER_VOLTAGE_FAULT
FaultDescription:电流传感器供电电压过高故障→电流传感器供电电压过高故障【ScLVPS_CurrSnsrPowSplyValV、SbLVPS_CurrSnsrPowSplyVldFlg】
FaultAssertCriteria:电流传感器供电电压大于18V→电流传感器供电电压大于【CcLVPH_CurrSnsrPowSplyOVFltCfmThdV=18】V
FaultAssertDebounceTime:3s→【CcLVPH_CurrSnsrPowSplyOVFltSetTims=3000】ms
LVPH_CURRENT_SENSOR_POWER_SUPPLY_UNDER_VOLTAGE_FAULT
FaultDescription:电流传感器供电电压过低故障→电流传感器供电电压过低故障【ScLVPS_CurrSnsrPowSplyValV、SbLVPS_CurrSnsrPowSplyVldFlg】
FaultAssertCriteria:电流传感器供电电压小于7.2V→电流传感器供电电压小于【CcLVPH_CurrSnsrPowSplyUVFltCfmThdV=7.2】V
FaultAssertDebounceTime:3s→【CcLVPH_CurrSnsrPowSplyUVFltSetTims=3000】ms
LVPH_24V_INTERNAL_POWER_SUPPLY_OVER_VOLTAGE_FAULT
FaultDescription:RBMS供电电压过高故障→RBMS供电电压过高故障【ScLVPS_24VIntPowSplyValV、SbLVPS_24VIntPowSplyVldFlg】
FaultAssertCriteria:电源供电电压大于32V→电源供电电压大于【CcLVPH_24VIntPowSplyOVFltCfmThdV=32】V
FaultAssertDebounceTime:3s→【CcLVPH_24VIntPowSplyOVFltSetTims=3000】ms
LVPH_24V_INTERNAL_POWER_SUPPLY_UNDER_VOLTAGE_FAULT
FaultDescription:RBMS供电电压过低故障→RBMS供电电压过低故障【ScLVPS_24VIntPowSplyValV、SbLVPS_24VIntPowSplyVldFlg】
FaultAssertCriteria:电源供电电压小于18V→电源供电电压小于【CcLVPH_24VIntPowSplyUVFltCfmThdV=18】V
FaultAssertDebounceTime:3s→【CcLVPH_24VIntPowSplyUVFltSetTims=3000】ms
LVPH_HIGH_VOLTAGE_SENSOR_POWER_SUPPLY_UNDER_VOLTAGE_FAULT
FaultDescription:高压采样芯片供电电压过低故障→高压采样芯片供电电压过低故障【ScLVPS_HvSnsrPowSplyValV】
FaultAssertCriteria:高压采样芯片供电电压小于4.2V→高压采样芯片供电电压小于【CcLVPH_HvSnsrPowSplyUVFltCfmThdV=4.2】V
FaultAssertDebounceTime:1s→【CcLVPH_HvSnsrPowSplyUVFltSetTims=1000】ms
FaultDeassertCriteria:高压采样芯片供电电压恢复到4.8V→高压采样芯片供电电压恢复到【CcLVPH_HvSnsrPowSplyUVFltRcvrThdV=4.8】V
FaultDeassertDebounceTime:1s→【CcLVPH_HvSnsrPowSplyUVFltClrTims=1000】ms
ISOH_ISOLATION_LOW_LEVEL1_FAULT
FaultDescription:高压绝缘低一级→高压绝缘低一级【ScISOH_IslnMeastValkOhms】
FaultAssertCriteria:最低绝缘 &lt;= 1000Ω/V→最低绝缘 &lt;= 【CcISOH_ErrorOhmsPerV=1000】Ω/V
FaultAssertDebounceTime:2次→【CcISOH_ErrorConNbr=2】次
ISOH_ISOLATION_LOW_LEVEL2_FAULT
FaultDescription:高压绝缘低二级→高压绝缘低二级【ScISOH_IslnMeastValkOhms】
FaultAssertCriteria:最低绝缘 &lt; 2000Ω/V→最低绝缘 &lt; 【CcISOH_WarningOhmsPerV=2000】Ω/V
FaultAssertDebounceTime:2次→【CcISOH_WarningConNbr=2】次
FaultDeassertCriteria:最低绝缘 &gt;= 3000Ω/V→最低绝缘 &gt;【CcISOH_WarningOhmsDsstPerV= 3000】Ω/V
FaultDeassertDebounceTime:2次→【CcISOH_WarningClrNbr=2】次
ISOH_ISOLATION_LOW_LEVEL3_FAULT
FaultDescription:高压绝缘低三级→高压绝缘低三级【ScISOH_IslnMeastValkOhms】
FaultAssertCriteria:最低绝缘&lt; 3000Ω/v→最低绝缘&lt; 【CcISOH_LowOhmsPerV=3000】Ω/v
FaultAssertDebounceTime:2次→【CcISOH_LowConNbr=2】次
FaultDeassertCriteria:最低绝缘 &gt;= 4000Ω/V→最低绝缘 &gt;= 【CcISOH_LowOhmsDsstPerV=4000】Ω/V
FaultDeassertDebounceTime:2次→【CcISOH_LowClrNbr=2】次
ISOH_ISOLATION_VALUE_INVALID_FAULT
FaultAssertDebounceTime:0.2s→【CcISOH_IslnVInvldConTims=200】ms
CBCC_SELF_DISCHARGE_DIFFERENCE_OVER_HIGH1_FAULT
FaultDescription:电芯自放电差异过大一级→电芯自放电差异过大一级【SaCBCC_CellSelfDischRtoPct最大值】
FaultAssertCriteria:自放电差异大于15%→自放电差异&gt;【CcCBCC_CellSelfDischOverHighLvl1EnaThdValPct=15】%
FaultAssertDebounceTime:5s→【CcCBCC_CellSelfDischOverHighEnaDbnTims=5000】ms
CBCC_SELF_DISCHARGE_DIFFERENCE_OVER_HIGH2_FAULT
FaultDescription:电芯自放电差异过大二级→电芯自放电差异过大二级【SaCBCC_CellSelfDischRtoPct最大值】
FaultAssertCriteria:自放电差异大于12%→自放电差异&gt;【CcCBCC_CellSelfDischOverHighLvl2EnaThdValPct=12】%
FaultAssertDebounceTime:5s→【CcCBCC_CellSelfDischOverHighEnaDbnTims=5000】ms
FaultDeassertCriteria:自放电差异小于等于10%→自放电差异&lt;=【CcCBCC_CellSelfDischOverHighLvl2RecThdValPct=10】%
FaultDeassertDebounceTime:5s→【CcCBCC_CellSelfDischOverHighRecDbnTims=5000】ms
CBCC_SELF_DISCHARGE_DIFFERENCE_OVER_HIGH3_FAULT
FaultDescription:电芯自放电差异过大三级→电芯自放电差异过大三级【SaCBCC_CellSelfDischRtoPct最大值】
FaultAssertCriteria:自放电差异大于8%→自放电差异&gt;【CcCBCC_CellSelfDischOverHighLvl3EnaThdValPct=8】%
FaultAssertDebounceTime:5s→【CcCBCC_CellSelfDischOverHighEnaDbnTims=5000】ms
FaultDeassertCriteria:自放电差异小于等于6%→自放电差异&lt;=【CcCBCC_CellSelfDischOverHighLvl3RecThdValPct=6】%
FaultDeassertDebounceTime:5s→【CcCBCC_CellSelfDischOverHighRecDbnTims=5000】ms
CSPC_RACK_OVER_CHARGE_FAULT
FaultAssertCriteria:Overcharge &gt;15% since full charge asserted→Overcharge &gt;【CcCSPC_OverChgFltEnaThdValPct=15】% since full charge asserted
FaultAssertDebounceTime:NA→【CcCSPC_OverChgFltEnaDbnTims=5000】ms
CTSC_PRECHARGE_OVER_TIME_FAULT
FaultAssertCriteria:在2s内未完成主正内外侧压差没有达到10V以内,且连续三次→在【CcCTSC_PrechOnceMaxTims=2000】ms内未完成主正内外侧压差没有达到【CcCTSC_PrechDoneVThdV=10】V以内,且连续【CcCTSC_PrechOverTiMaxCt=3】次
FaultAssertDebounceTime:1 cycle→1 cycle
【CcCTSC_PrechOverTiFltSetTims=10】ms
CTSC_PRECHARGE_OVER_CURRENT_FAULT
FaultAssertCriteria:总线电流&gt;10A→总线电流&gt;【CcCTSC_PrechOverCurrThdA=10】A
FaultAssertDebounceTime:0.2s→【CcCTSC_PrechOverCurrFltSetTims=200】ms
CTSC_RBMS_EPO_OPEN_FAULT
FaultDescription:主控EPO开→主控EPO开 【BSWSEPOAuxVRawValNbr】
FaultAssertCriteria:MCU检测高电平异常(DI2H)→回检异常(High)
FaultAssertDebounceTime:3s→【CcCTSC_RBMSEPOOpenFltSetTims=3000】ms
CTSC_RBMS_QS_OPEN_FAULT
FaultDescription:主控QS隔离开关开→主控QS隔离开关开【BSWSQSAuxVRawValNbr】
FaultAssertCriteria:MCU检测高电平异常(板端DI6H)→回检异常(High)
FaultAssertDebounceTime:3s→【CcCTSC_RBMSQSOpenFltSetTims=3000】ms
EMCR_RANK_TO_BANK_COMMUNICATION_LOST_FAULT
FaultDescription:Bank通信丢失故障→Bank通信丢失故障【BBMS_Heartbeat】
FaultAssertDebounceTime:10s→【CcEMCR_CommLostJudgeDur=10000】ms
EMCR_CRC_FAULT
FaultDescription:Bank通信CRC异常故障→Bank通信CRC异常故障【BSWSExtMsgCRCResFlg】
FaultAssertDebounceTime:10s→【CcEMCR_CRCResJudgeDur=10000】ms
ISOH_INVALID_ISOLATION_POSV_FAULT
FaultDescription:绝缘正对地电压故障→绝缘正对地电压故障【BSWSIslnPosVRawValVldFlg】
FaultAssertDebounceTime:3s→【CcISOH_InvldPosVConTims=3000】ms
ISOH_INVALID_ISOLATION_NEGV_FAULT
FaultDescription:绝缘负对地电压故障→绝缘负对地电压故障【BSWSIslnNegVRawValVldFlg】
FaultAssertDebounceTime:3s→【CcISOH_InvldNegVClrTims=3000】ms
CLTH_CELL_POLE_DELTA_TEMPERATURE_OVER_LEVEL1_FAULT
FaultAssertCriteria:电芯单体温度与电芯极柱温度偏差大于30℃→电芯单体温度与电芯极柱温度偏差大于【CcCLTH_CellPoleTempDiffLvl3LimDegC=30】℃
FaultAssertDebounceTime:30s→【CcCLTH_CellPoleTempDiffWarnJudgeDur=30000】ms
FaultDeassertCriteria:电芯单体温度与电芯极柱温度偏差小于25℃→电芯单体温度与电芯极柱温度偏差小于【CcCLTH_CellPoleTempDiffLvl3RcvryLimDegC=25】℃
FaultDeassertDebounceTime:3s→【CcCLTH_CellPoleTempDiffWarnRcvryDur=3000】ms
SOCA_SOC_TOO_LOW_LEVEL1_FAULT
FaultDescription:SOC低一级→SOC低一级【ScSOCA_DispSysSOCPct】
FaultAssertCriteria:SOC&lt;=5%→SOC&lt;=【CcSOCA_SOCOverLowLvl1EnaThdValPct=5】%
FaultAssertDebounceTime:3s→【CcSOCA_SOCOverLowEnaDbnTims=3000】ms
FaultDeassertCriteria:SOC&gt;8%→SOC&gt;【CcSOCA_SOCOverLowLvl1RecThdValPct=8】%
FaultDeassertDebounceTime:3s→【CcSOCA_SOCOverLowRecDbnTims=3000】ms
SOCA_SOC_TOO_LOW_LEVEL2_FAULT
FaultDescription:SOC低二级→SOC低二级【ScSOCA_DispSysSOCPct】
FaultAssertCriteria:SOC&lt;=3%→SOC&lt;=【CcSOCA_SOCOverLowLvl2EnaThdValPct=3】%
FaultAssertDebounceTime:3s→【CcSOCA_SOCOverLowEnaDbnTims=3000】ms
FaultDeassertCriteria:SOC&gt;5%→SOC&gt;【CcSOCA_SOCOverLowLvl2RecThdValPct=5】%
FaultDeassertDebounceTime:3s→【CcSOCA_SOCOverLowRecDbnTims=3000】ms
SOCA_SOC_DIFFER_VALUE_OVER_HIGH_FAULT
FaultDescription:SOC差异过大→SOC差异过大【ScSOCA_SysMaxSOCPct，ScSOCA_SysMinSOCPct】
FaultAssertCriteria:最大SOC与最小SOC差异&gt; 10%→最大SOC与最小SOC差异&gt; 【CcSOCA_SOCDiffOverHighEnaThdValPct=10】%
FaultAssertDebounceTime:5s→【CcSOCA_SOCDiffOverHighEnaDbnTims=5000】ms
FaultDeassertCriteria:最大SOC与最小SOC差异&lt;=5%→最大SOC与最小SOC差异&lt;=【CcSOCA_SOCDiffOverHighRecThdValPct=5】%
FaultDeassertDebounceTime:3s→【CcSOCA_SOCDiffOverHighRecDbnTims=3000】ms
SOHA_SOH_TOO_LOW_LEVEL1_FAULT
FaultDescription:SOH低一级→SOH低一级【ScSOHA_RealSysSOHCPct】
FaultAssertCriteria:最小SOHC&lt; 40%→最小SOHC&lt; 【CcSOHA_SOHCOverLowLvl1EnaThdValPct=40】%
FaultAssertDebounceTime:5s→【CcSOHA_SOHCOverLowEnaDbnTims=5000】ms
SOHA_SOH_TOO_LOW_LEVEL2_FAULT
FaultDescription:SOH低二级→SOH低二级【ScSOHA_RealSysSOHCPct】
FaultAssertCriteria:最小SOHC&lt; 55%→最小SOHC&lt; 【CcSOHA_SOHCOverLowLvl2EnaThdValPct=55】%
FaultAssertDebounceTime:5s→【CcSOHA_SOHCOverLowEnaDbnTims=5000】ms
SOHA_SOH_TOO_LOW_LEVEL3_FAULT
FaultDescription:SOH低三级→SOH低三级【ScSOHA_RealSysSOHCPct】
FaultAssertCriteria:最小SOHC&lt; 60%→最小SOHC&lt; 【CcSOHA_SOHCOverLowLvl3EnaThdValPct=60】%
FaultAssertDebounceTime:5s→【CcSOHA_SOHCOverLowEnaDbnTims=5000】ms
CTSC_COMBINE_SWITCH_VOLT_LOW_FAULT
FaultDescription:融合开关欠压故障→融合开关欠压故障【ScLVPS_24VIntPowSplyValV】
FaultAssertCriteria:当输入电压低于15.5V时会触发端子Pin7、Pin8输出故障报警信，即干接点Pin7、Pin8将断路；→当输入电压低于【CcCTSC_CombineSwitchVoltLowFltSetThd=15.5】V时会触发端子Pin7、Pin8输出故障报警信，即干接点Pin7、Pin8将断路；
FaultAssertDebounceTime:5s→【CcCTSC_CombineSwitchVoltLowFltSetTims=5000】ms
FaultDeassertCriteria:输入电压大于19.3V时报警信号自动解除，控制器干接点Pin7、Pin8将导通→输入电压大于【CcCTSC_CombineSwitchVoltLowFltClrThd=19.3】V时报警信号自动解除，控制器干接点Pin7、Pin8将导通
FaultDeassertDebounceTime:5s→【CcCTSC_CombineSwitchVoltLowFltClrTims=5000】ms
SOCA_SOC_TOO_LOW_LEVEL3_FAULT
FaultDescription:SOC低三级→SOC低三级【ScSOCA_DispSysSOCPct】
FaultAssertCriteria:SOC&lt;=5%→SOC&lt;=【CcSOCA_SOCOverLowLvl3EnaThdValPct=5】%
FaultAssertDebounceTime:3s→【CcSOCA_SOCOverLowEnaDbnTims=3000】ms
FaultDeassertCriteria:SOC&gt;7%→SOC&gt;【CcSOCA_SOCOverLowLvl3RecThdValPct=7】%
FaultDeassertDebounceTime:3s→【CcSOCA_SOCOverLowRecDbnTims=3000】ms
SOCA_SOC_TOO_HIGH_LEVEL1_FAULT
FaultDescription:SOC高一级→SOC高一级【ScSOCA_DispSysSOCPct】
FaultAssertCriteria:SOC&gt;=97%→SOC&gt;=【CcSOCA_SOCOverHighLvl1EnaThdValPct=97】%
FaultAssertDebounceTime:3s→【CcSOCA_SOCOverHighEnaDbnTims=3000】ms
FaultDeassertCriteria:SOC&lt;95%→SOC&lt;【CcSOCA_SOCOverHighLvl1RecThdValPct=95】%
FaultDeassertDebounceTime:2s→【CcSOCA_SOCOverHighRecDbnTims=2000】ms
SOCA_SOC_TOO_HIGH_LEVEL2_FAULT
FaultDescription:SOC高二级→SOC高二级【ScSOCA_DispSysSOCPct】
FaultAssertCriteria:SOC&gt;=98%→SOC&gt;=【CcSOCA_SOCOverHighLvl2EnaThdValPct=98】%
FaultAssertDebounceTime:3s→【CcSOCA_SOCOverHighEnaDbnTims=3000】ms
FaultDeassertCriteria:SOC&lt;96%→SOC&lt;【CcSOCA_SOCOverHighLvl2RecThdValPct=96】%
FaultDeassertDebounceTime:2s→【CcSOCA_SOCOverHighRecDbnTims=2000】ms
SOCA_SOC_TOO_HIGH_LEVEL3_FAULT
FaultDescription:SOC高三级→SOC高三级【ScSOCA_DispSysSOCPct】
FaultAssertCriteria:SOC&gt;=96%→SOC&gt;=【CcSOCA_SOCOverHighLvl3EnaThdValPct=96】%
FaultAssertDebounceTime:3s→【CcSOCA_SOCOverHighEnaDbnTims=3000】ms
FaultDeassertCriteria:SOC&lt;94%→SOC&lt;【CcSOCA_SOCOverHighLvl3RecThdValPct=94】%
FaultDeassertDebounceTime:2s→【CcSOCA_SOCOverHighRecDbnTims=2000】ms
CLTH_POLE_OVER_TEMPERATURE_LEVEL1_FAULT
FaultDescription:极柱温度过温一级告警→极柱温度过温一级告警【SaCLTS_PoleTDegC、SaCLTS_PoleTVldFlgSaCLTS_PoleTVldFlg】
FaultAssertCriteria:充电极柱最高温度&gt;80℃；放电极柱最高温度&gt;80℃→充电极柱最高温度&gt;【CcCLTH_ChPoleOvtempLvl1LimDegC=80】℃；放电极柱最高温度&gt;【CcCLTH_DischPoleOvtempLvl1LimDegC=80】℃
FaultAssertDebounceTime:3s→【CcCLTH_TempWarnJudgeDur=3000】ms
FaultDeassertCriteria:充电极柱最高温度&lt;=75℃；放电极柱最高温度&lt;=75℃→充电极柱最高温度&lt;=【CcCLTH_ChPoleOvtempLvl1RcvryLimDegC=75】℃；放电极柱最高温度&lt;=【CcCLTH_DischPoleOvtempLvl1RcvryLimDegC=75】℃
FaultDeassertDebounceTime:3s→【CcCLTH_TempWarnRcvryDur=3000】ms
CLTH_POLE_OVER_TEMPERATURE_LEVEL2_FAULT
FaultDescription:极柱温度过温二级告警→极柱温度过温二级告警【SaCLTS_PoleTDegC、SaCLTS_PoleTVldFlgSaCLTS_PoleTVldFlg】
FaultAssertCriteria:充电极柱最高温度&gt;70℃；放电极柱最高温度&gt;70℃→充电极柱最高温度&gt;【CcCLTH_ChPoleOvtempLvl2LimDegC=70】℃；放电极柱最高温度&gt;【CcCLTH_DischPoleOvtempLvl2LimDegC=70】℃
FaultAssertDebounceTime:3s→【CcCLTH_TempWarnJudgeDur=3000】ms
FaultDeassertCriteria:充电极柱最高温度&lt;=65℃；放电极柱最高温度&lt;=65℃→充电极柱最高温度&lt;=【CcCLTH_ChPoleOvtempLvl2RcvryLimDegC=65】℃；放电极柱最高温度&lt;=【CcCLTH_DischPoleOvtempLvl2RcvryLimDegC=65】℃
FaultDeassertDebounceTime:3s→【CcCLTH_TempWarnRcvryDur=3000】ms
CLTH_POLE_OVER_TEMPERATURE_LEVEL3_FAULT
FaultDescription:极柱温度过温三级告警→极柱温度过温三级告警【SaCLTS_PoleTDegC、SaCLTS_PoleTVldFlgSaCLTS_PoleTVldFlg】
FaultAssertCriteria:充电极柱最高温度&gt;65℃；放电极柱最高温度&gt;65℃→充电极柱最高温度&gt;【CcCLTH_ChPoleOvtempLvl3LimDegC=65】℃；放电极柱最高温度&gt;【CcCLTH_DischPoleOvtempLvl3LimDegC=65】℃
FaultAssertDebounceTime:3s→【CcCLTH_TempWarnJudgeDur=3000】ms
FaultDeassertCriteria:充电极柱最高温度&lt;=60℃；放电极柱最高温度&lt;=60℃→充电极柱最高温度&lt;=【CcCLTH_ChPoleOvtempLvl3RcvryLimDegC=60】℃；放电极柱最高温度&lt;=【CcCLTH_DischPoleOvtempLvl3RcvryLimDegC=60】℃
FaultDeassertDebounceTime:3s→【CcCLTH_TempWarnRcvryDur=3000】ms
CLTH_CHG_OVER_TEMPERATURE_LEVEL1_FAULT
FaultDescription:电芯充电温度过高一级报警→电芯充电温度过高一级报警【SaCLTS_CellTDegC、SaCLTS_CellTVldFlg】
FaultAssertCriteria:电芯充电最高温度&gt;65℃→电芯充电最高温度&gt;【CcCLTH_ChOvtempLvl1LimDegC=65】℃
FaultAssertDebounceTime:3s→【CcCLTH_TempWarnJudgeDur=3000】ms
CLTH_CHG_OVER_TEMPERATURE_LEVEL2_FAULT
FaultDescription:电芯充电温度过高二级报警→电芯充电温度过高二级报警【SaCLTS_CellTDegC、SaCLTS_CellTVldFlg】
FaultAssertCriteria:电芯充电最高温度&gt;60℃→电芯充电最高温度&gt;【CcCLTH_ChOvtempLvl2LimDegC=60】℃
FaultAssertDebounceTime:3s→【CcCLTH_TempWarnJudgeDur=3000】ms
FaultDeassertCriteria:电芯充电最高温度&lt;=55℃→电芯充电最高温度&lt;=【CcCLTH_ChOvtempLvl2RcvryLimDegC=55】℃
FaultDeassertDebounceTime:3s→【CcCLTH_TempWarnRcvryDur=3000】ms
CLTH_CHG_OVER_TEMPERATURE_LEVEL3_FAULT
FaultDescription:电芯充电温度过高三级报警→电芯充电温度过高三级报警【SaCLTS_CellTDegC、SaCLTS_CellTVldFlg】
FaultAssertCriteria:电芯充电最高温度&gt;55℃→电芯充电最高温度&gt;【CcCLTH_ChOvtempLvl3LimDegC=55】℃
FaultAssertDebounceTime:3s→【CcCLTH_TempWarnJudgeDur=3000】ms
FaultDeassertCriteria:电芯充电最高温度&lt;=50℃→电芯充电最高温度&lt;=【CcCLTH_ChOvtempLvl3RcvryLimDegC=50】℃
FaultDeassertDebounceTime:3s→【CcCLTH_TempWarnRcvryDur=3000】ms
CLTH_DSG_OVER_TEMPERATURE_LEVEL1_FAULT
FaultDescription:电芯放电温度过高一级报警→电芯放电温度过高一级报警【SaCLTS_CellTDegC、SaCLTS_CellTVldFlg】
FaultAssertCriteria:电芯放电最高温度&gt;65℃→电芯放电最高温度&gt;【CcCLTH_DischOvtempLvl1LimDegC=65】℃
FaultAssertDebounceTime:3s→【CcCLTH_TempWarnJudgeDur=3000】ms
CLTH_DSG_OVER_TEMPERATURE_LEVEL2_FAULT
FaultDescription:电芯放电温度过高二级报警→电芯放电温度过高二级报警【SaCLTS_CellTDegC、SaCLTS_CellTVldFlg】
FaultAssertCriteria:电芯放电最高温度&gt;60℃→电芯放电最高温度&gt;【CcCLTH_DischOvtempLvl2LimDegC=60】℃
FaultAssertDebounceTime:3s→【CcCLTH_TempWarnJudgeDur=3000】ms
FaultDeassertCriteria:电芯放电最高温度&lt;=55℃→电芯放电最高温度&lt;=【CcCLTH_DischOvtempLvl2RcvryLimDegC=55】℃
FaultDeassertDebounceTime:3s→【CcCLTH_TempWarnRcvryDur=3000】ms
CLTH_DSG_OVER_TEMPERATURE_LEVEL3_FAULT
FaultDescription:电芯放电温度过高三级报警→电芯放电温度过高三级报警【SaCLTS_CellTDegC、SaCLTS_CellTVldFlg】
FaultAssertCriteria:电芯放电最高温度&gt;55℃→电芯放电最高温度&gt;【CcCLTH_DischOvtempLvl3LimDegC=55】℃
FaultAssertDebounceTime:3s→【CcCLTH_TempWarnJudgeDur=3000】ms
FaultDeassertCriteria:电芯放电最高温度&lt;=50℃→电芯放电最高温度&lt;=【CcCLTH_DischOvtempLvl3RcvryLimDegC=50】℃
Fault</t>
  </si>
  <si>
    <t>BMS20_RBMS-【FaultList】
Correct:
EMCR_RANK_TO_BANK_COMMUNICATION_LOST_FAULT
FaultAssertDebounceTime:【CcEMCR_CommLostJudgeDur=10000】ms→【CcEMCR_CommLostJudgeDur=40000】ms
&gt;&gt;&gt;&gt;&gt;&gt;&gt;&gt;&gt;&gt;&gt;&gt;&gt;&gt;&gt;&gt;&gt;&gt;&gt;&gt;</t>
  </si>
  <si>
    <t>BMS20_RBMS-【FaultList】
Correct:
CLVH_MAXCELLV_OV_LEVEL1_FAULT
FaultDescription:单体电压高一级【ScCLVH_MaxCellVmV】→单体电压高一级【ScCLVH_MaxCellVmV；SbCLVH_MaxCellVoltageOverLevel1FaultFlg】
CLVH_MAXCELLV_OV_LEVEL2_FAULT
FaultDescription:单体电压高二级【ScCLVH_MaxCellVmV】→单体电压高二级【ScCLVH_MaxCellVmV；SbCLVH_MaxCellVoltageOverLevel2FaultFlg】
CLVH_MAXCELLV_OV_LEVEL3_FAULT
FaultDescription:单体电压高三级【ScCLVH_MaxCellVmV】→单体电压高三级【ScCLVH_MaxCellVmV；SbCLVH_MaxCellVoltageOverLevel3FaultFlg】
CLVH_MINCELLV_UV_LEVEL1_FAULT
FaultDescription:单体电压低一级【ScCLVH_MinCellVmV】→单体电压低一级【ScCLVH_MinCellVmV；SbCLVH_MinCellVoltageUnderLevel1FaultFlg】
CLVH_MINCELLV_UV_LEVEL2_FAULT
FaultDescription:单体电压低二级【ScCLVH_MinCellVmV】→单体电压低二级【ScCLVH_MinCellVmV；SbCLVH_MinCellVoltageUnderLevel2FaultFlg】
CLVH_MINCELLV_UV_LEVEL3_FAULT
FaultDescription:单体电压低三级【ScCLVH_MinCellVmV】→单体电压低三级【ScCLVH_MinCellVmV；SbCLVH_MinCellVoltageUnderLevel3FaultFlg】
CLVH_MODULE_OVER_VOLTAGE_LEVEL1_FAULT
FaultDescription:模组电压高一级【SaCLVS_CellVmV】→模组电压高一级【ScCLVH_MaxCellVmV；SbCLVH_ModuleOverVoltageLevel1FaultFlg】
CLVH_MODULE_OVER_VOLTAGE_LEVEL2_FAULT
FaultDescription:模组电压高二级【SaCLVS_CellVmV】→模组电压高二级【ScCLVH_MaxCellVmV；SbCLVH_ModuleOverVoltageLevel2FaultFlg】
CLVH_MODULE_OVER_VOLTAGE_LEVEL3_FAULT
FaultDescription:模组电压高三级【SaCLVS_CellVmV】→模组电压高三级【ScCLVH_MaxCellVmV；SbCLVH_ModuleOverVoltageLevel3FaultFlg】
CLVH_MODULE_UNDER_VOLTAGE_LEVEL1_FAULT
FaultDescription:模组电压低一级【SaCLVS_CellVmV】→模组电压低一级【ScCLVH_MinCellVmV；SbCLVH_ModuleUnderVoltageLevel1FaultFlg】
CLVH_MODULE_UNDER_VOLTAGE_LEVEL2_FAULT
FaultDescription:模组电压低二级【SaCLVS_CellVmV】→模组电压低二级【ScCLVH_MinCellVmV；SbCLVH_ModuleUnderVoltageLevel2FaultFlg】
CLVH_MODULE_UNDER_VOLTAGE_LEVEL3_FAULT
FaultDescription:模组电压低三级【SaCLVS_CellVmV】→模组电压低三级【ScCLVH_MinCellVmV；SbCLVH_ModuleUnderVoltageLevel3FaultFlg】
CLVH_DELTACELLV_OL_LEVEL1_FAULT
FaultDescription:单体压差大一级【ScCLVH_MaxCellVmV、ScCLVH_MinCellVmV】→单体压差大一级【ScCLVH_MaxCellVmV、ScCLVH_MinCellVmV；SbCLVH_DeltaCellVoltageLargeLevel1FaultFlg】
CLVH_DELTACELLV_OL_LEVEL2_FAULT
FaultDescription:单体压差大二级【ScCLVH_MaxCellVmV、ScCLVH_MinCellVmV】→单体压差大二级【ScCLVH_MaxCellVmV、ScCLVH_MinCellVmV；SbCLVH_DeltaCellVoltageLargeLevel2FaultFlg】
CLVH_DELTACELLV_OL_LEVEL3_FAULT
FaultDescription:单体压差大三级【ScCLVH_MaxCellVmV、ScCLVH_MinCellVmV】→单体压差大三级【ScCLVH_MaxCellVmV、ScCLVH_MinCellVmV；SbCLVH_DeltaCellVoltageLargeLevel3FaultFlg】
CLVH_MAXCELLV_OV_LEVEL4_FAULT
FaultDescription:单体极限过压【ScCLVH_MaxCellVmV】→单体极限过压【ScCLVH_MaxCellVmV；SbCLVH_MaxCellVoltageOverLevel4FaultFlg】
CLVH_MINCELLV_UV_LEVEL4_FAULT
FaultDescription:单体极限欠压【ScCLVH_MinCellVmV】→单体极限欠压【ScCLVH_MinCellVmV；SbCLVH_MinCellVoltageUnderLevel4FaultFlg】
CLVH_VOLTAGE_MISMATCH_FAULT
FaultDescription:单体电压和与AFE电压不匹配【SaCLVS_CellVmV、SaCLVS_MdulVmV】→单体电压和与AFE电压不匹配【SaCLVS_CellVmV、SaCLVS_MdulVmV；SbCLVH_VoltageMismatchFlt】
CLVS_CELL_VOLTAGE_OUT_OF_RANGE_FAULT
FaultDescription:电芯电压采样超范围【SaCLVS_CellVmV】→电芯电压采样超范围【SaCLVS_CellVmV；SbCLVS_CellVOorFlt】
CLVS_AFE_VOLTAGE_OUT_OF_RANGE_FAULT
FaultDescription:AFE电压采样超范围【SaCLVS_MdulVmV】→AFE电压采样超范围【SaCLVS_MdulVmV；SbCLVS_MdulVOorFlt】
CSPC_RACK_OVER_CHARGE_FAULT
FaultDescription:Rack过充→Rack过充【；SbCSPC_OverChgFltFlg】
AFES_AFE_FAULT
FaultDescription:AFE硬件故障[【SaAFES_AFEVldFlg】→AFE硬件故障【SaAFES_AFEVldFlg；SbAFES_AFEFlt】
AFES_DAISY_CHAIN_NO_UPDATE_FAULT
FaultDescription:菊花链通信丢失故障【BSWSDaisyChainUpdFlg】→菊花链通信丢失故障【BSWSDaisyChainUpdFlg；SbAFES_DaisyChainNoUpdFlt】
AFES_CRC_FAULT
FaultDescription:电芯电压温度采样CRC故障【BSWSAFEMsgCRCResActNbr：0x2,0x4】→电芯电压温度采样CRC故障【BSWSAFEMsgCRCResActNbr：0x2,0x4；SbAFES_AFECRCFlt】
AFES_CELL_VOLTAGE_SAMPLING_LINE_OFF_FAULT
FaultDescription:电芯电压采样线掉线→电芯电压采样线掉线【SbAFES_CellVSamplgLineOffPreFltFlg；SbAFES_CellVSamplgLineOffFlt】
AFES_DAISY_CHAIN_SINGLE_POINT_OFF_FAULT
FaultDescription:菊花链单点断线【BSWSDaisyChainDiagInfoNbr】→菊花链单点断线【BSWSDaisyChainDiagInfoNbr；DaisyChainSngPointOffFlt】
AFES_DAISY_CHAIN_MULTIPLE_POINT_OFF_FAULT
FaultDescription:菊花链多点断线【BSWSDaisyChainDiagInfoNbr】→菊花链多点断线【BSWSDaisyChainDiagInfoNbr；DaisyChainMplPointOffFlt】
MCUD_RESET_FAULT
FaultDescription:BMU复位故障【BSWSMCURstRsnNbr】→MCU复位原因【BSWSMCURstRsnNbr；SbMCUD_RstFlt】
MCUD_MEMORY_INTERNAL_DATA_FAULT
FaultDescription:MCU初始化故障【BSWSMCUMemIntDataFltNbr】→MCU内部数据及存储地址错误故障【BSWSMCUMemIntDataFltNbr；SbMCUD_MCUMemIntDataFlt】
CBSS_BALANCING_LOOP_CIRCUIT_FAULT
FaultDescription:均衡回路故障→均衡回路故障【SbCBSS_BalLoopCircPreFltFlg；SbCBSS_BalLoopCircFlt】
CBCC_SELF_DISCHARGE_DIFFERENCE_OVER_HIGH1_FAULT
FaultDescription:电芯自放电差异过大一级【SaCBCC_CellSelfDischRtoPct最大值】→电芯自放电差异过大一级【ScCBCC_MaxCellSelfDischRtoPct；SbCBCC_CellSelfDischOverHighLvl1Flt】
CBCC_SELF_DISCHARGE_DIFFERENCE_OVER_HIGH2_FAULT
FaultDescription:电芯自放电差异过大二级【SaCBCC_CellSelfDischRtoPct最大值】→电芯自放电差异过大二级【ScCBCC_MaxCellSelfDischRtoPct；SbCBCC_CellSelfDischOverHighLvl2Flt】
CBCC_SELF_DISCHARGE_DIFFERENCE_OVER_HIGH3_FAULT
FaultDescription:电芯自放电差异过大三级【SaCBCC_CellSelfDischRtoPct最大值】→电芯自放电差异过大三级【ScCBCC_MaxCellSelfDischRtoPct；SbCBCC_CellSelfDischOverHighLvl3Flt】
HVSH_HIGH_VOLTAGE_LOOP_BROKEN_FAULT
FaultDescription:高压回路断路故障【ScCLVH_CellSumV、ScHVSS_HvBatV】→高压回路断路故障【ScCLVH_CellSumV、ScHVSS_HvBatV；SbHVSH_HvLoopBknFlt】
HVSH_CELL_SUM_VOLTAGE_WITH_BATTERY_MISMTCH_FAULT
FaultDescription:电芯电压与Battery电压不匹配【ScHVSS_HvBatV、ScCLVH_CellSumV】→电芯电压与Battery电压不匹配【ScHVSS_HvBatV、ScCLVH_CellSumV；SbHVSH_CellSumVWithBatVMismtchFlt】
HVSH_MSD_OPEN_FAULT
FaultDescription:MSD开路(互锁)故障【BSWSMSDAuxVRawValNbr】→MSD开路(互锁)故障【BSWSMSDAuxVRawValNbr；SbHVSH_MSDOpenFlt】
HVSH_BATTERY_OVER_VOLTAGE_LEVEL1_FAULT
FaultDescription:总电压过高一级【ScHVSS_HvBatV】→总电压过高一级【ScHVSS_HvBatV；SbHVSH_BatOVLvl1Flt】
HVSH_BATTERY_OVER_VOLTAGE_LEVEL2_FAULT
FaultDescription:总电压过高二级【ScHVSS_HvBatV】→总电压过高二级【ScHVSS_HvBatV；SbHVSH_BatOVLvl2Flt】
HVSH_BATTERY_OVER_VOLTAGE_LEVEL3_FAULT
FaultDescription:总电压过高三级【ScHVSS_HvBatV】→总电压过高三级【ScHVSS_HvBatV；SbHVSH_BatOVLvl3Flt】
HVSH_BATTERY_UNDER_VOLTAGE_LEVEL1_FAULT
FaultDescription:总电压过低一级【ScHVSS_HvBatV】→总电压过低一级【ScHVSS_HvBatV；SbHVSH_BatUVLvl1Flt】
HVSH_BATTERY_UNDER_VOLTAGE_LEVEL2_FAULT
FaultDescription:总电压过低二级【ScHVSS_HvBatV】→总电压过低二级【ScHVSS_HvBatV；SbHVSH_BatUVLvl2Flt】
HVSH_BATTERY_UNDER_VOLTAGE_LEVEL3_FAULT
FaultDescription:总电压过低三级【ScHVSS_HvBatV】→总电压过低三级【ScHVSS_HvBatV；SbHVSH_BatUVLvl3Flt】
HVSS_HIGH_VOLTAGE_SENSOR_FAULT
FaultDescription:高压采样传感器故障 【BSWSHvBatVRawValVldFlg、BSWSHvLnkPosVRawValVldFlg】→高压采样传感器故障 【BSWSHvBatVRawValVldFlg、BSWSHvLnkPosVRawValVldFlg；SbHVSS_HvSnsrFlt】
HVSS_BATTERY_VOLTAGE_OUT_OF_RANGE_FAULT
FaultDescription:Battery电压超范围故障 【BSWSHvBatVRawValNbr】→Battery电压超范围故障 【BSWSHvBatVRawValNbr；SbHVSS_HvBatVOorFlt】
HVSS_LINK_POSITIVE_VOLTAGE_OUT_OF_RANGE_FAULT
FaultDescription:LinkPos电压超范围故障【BSWSHvLnkPosVRawValNbr】→LinkPos电压超范围故障【BSWSHvLnkPosVRawValNbr；SbHVSS_HvLnkPosVOorFlt】
LVPH_RELAY_POWER_SUPPLY_OVER_VOLTAGE_FAULT
FaultDescription:继电器供电电压过高故障【ScLVPS_RlyPowSplyValV、SbLVPS_RlyPowSplyVldFlg】→继电器供电电压过高故障【ScLVPS_RlyPowSplyValV、SbLVPS_RlyPowSplyVldFlg；SbLVPH_RlyPowSplyOVFlt】
LVPH_RELAY_POWER_SUPPLY_UNDER_VOLTAGE_FAULT
FaultDescription:继电器供电电压过低故障【ScLVPS_RlyPowSplyValV、SbLVPS_RlyPowSplyVldFlg】→继电器供电电压过低故障【ScLVPS_RlyPowSplyValV、SbLVPS_RlyPowSplyVldFlg；SbLVPH_RlyPowSplyUVFlt】
LVPH_CURRENT_SENSOR_POWER_SUPPLY_OVER_VOLTAGE_FAULT
FaultDescription:电流传感器供电电压过高故障【ScLVPS_CurrSnsrPowSplyValV、SbLVPS_CurrSnsrPowSplyVldFlg】→电流传感器供电电压过高故障【ScLVPS_CurrSnsrPowSplyValV、SbLVPS_CurrSnsrPowSplyVldFlg；SbLVPH_CurrSnsrPowSplyOVFlt】
LVPH_CURRENT_SENSOR_POWER_SUPPLY_UNDER_VOLTAGE_FAULT
FaultDescription:电流传感器供电电压过低故障【ScLVPS_CurrSnsrPowSplyValV、SbLVPS_CurrSnsrPowSplyVldFlg】→电流传感器供电电压过低故障【ScLVPS_CurrSnsrPowSplyValV、SbLVPS_CurrSnsrPowSplyVldFlg；SbLVPH_CurrSnsrPowSplyUVFlt】
LVPH_24V_INTERNAL_POWER_SUPPLY_OVER_VOLTAGE_FAULT
FaultDescription:RBMS供电电压过高故障【ScLVPS_24VIntPowSplyValV、SbLVPS_24VIntPowSplyVldFlg】→RBMS供电电压过高故障【ScLVPS_24VIntPowSplyValV、SbLVPS_24VIntPowSplyVldFlg；SbLVPH_24VIntPowSplyOVFlt】
LVPH_24V_INTERNAL_POWER_SUPPLY_UNDER_VOLTAGE_FAULT
FaultDescription:RBMS供电电压过低故障【ScLVPS_24VIntPowSplyValV、SbLVPS_24VIntPowSplyVldFlg】→RBMS供电电压过低故障【ScLVPS_24VIntPowSplyValV、SbLVPS_24VIntPowSplyVldFlg；SbLVPH_24VIntPowSplyUVFlt】
LVPH_HIGH_VOLTAGE_SENSOR_POWER_SUPPLY_UNDER_VOLTAGE_FAULT
FaultDescription:高压采样芯片供电电压过低故障【ScLVPS_HvSnsrPowSplyValV】→高压采样芯片供电电压过低故障【ScLVPS_HvSnsrPowSplyValV；SbLVPH_HvSnsrPowSplyUVFlt】
SOHA_SOH_TOO_LOW_LEVEL1_FAULT
FaultDescription:SOH低一级【ScSOHA_RealSysSOHCPct】→SOH低一级【ScSOHA_RealSysSOHCPct；SbSOHA_SOHTooLowLvl1Flt】
SOHA_SOH_TOO_LOW_LEVEL2_FAULT
FaultDescription:SOH低二级【ScSOHA_RealSysSOHCPct】→SOH低二级【ScSOHA_RealSysSOHCPct；SbSOHA_SOHTooLowLvl2Flt】
SOHA_SOH_TOO_LOW_LEVEL3_FAULT
FaultDescription:SOH低三级【ScSOHA_RealSysSOHCPct】→SOH低三级【ScSOHA_RealSysSOHCPct；SbSOHA_SOHTooLowLvl3Flt】
EMCR_RANK_TO_BANK_COMMUNICATION_LOST_FAULT
FaultDescription:Bank通信丢失故障【BBMS_Heartbeat】→Bank通信丢失故障【BBMS_Heartbeat；SbEMCR_CommLostFlg】
EMCR_CRC_FAULT
FaultDescription:Bank通信CRC异常故障【BSWSExtMsgCRCResFlg】→Bank通信CRC异常故障【BSWSExtMsgCRCResFlg；SbEMCR_CRCResFlg】
ACIS_RBMS_DOOR_OPEN_FAULT
FaultDescription:门禁故障【BSWSRackDoorRawCnt[0]】→门禁故障【BSWSRackDoorRawCnt[0]；SbACIS_DoorOpenFlt】
ACIS_RBMS_SPD1_OPEN_FAULT
FaultDescription:主控SPD1浪涌反馈【BSWSRackDoorRawCnt[1]】→主控SPD1浪涌反馈【BSWSRackDoorRawCnt[1]；SbACIS_Spd1OpenFlt】
ISOH_ISOLATION_LOW_LEVEL1_FAULT
FaultDescription:高压绝缘低一级【ScISOH_IslnMeastValkOhms】→高压绝缘低一级【ScISOH_IslnMeastValkOhms；SbISOH_IsLow1Flt】
ISOH_ISOLATION_LOW_LEVEL2_FAULT
FaultDescription:高压绝缘低二级【ScISOH_IslnMeastValkOhms】→高压绝缘低二级【ScISOH_IslnMeastValkOhms；SbISOH_IsLow2FltFlg】
ISOH_ISOLATION_LOW_LEVEL3_FAULT
FaultDescription:高压绝缘低三级【ScISOH_IslnMeastValkOhms】→高压绝缘低三级【ScISOH_IslnMeastValkOhms；SbISOH_IsLow3Flt】
ISOH_ISOLATION_VALUE_INVALID_FAULT
FaultDescription:绝缘无效故障→绝缘无效故障【ScISOH_IslnFinalPosV、ScISOH_IslnFinalNegV；SbISOH_IslnVOorFlt】
ISOH_INVALID_ISOLATION_POSV_FAULT
FaultDescription:绝缘正对地电压故障【BSWSIslnPosVRawValVldFlg】→绝缘正对地电压故障【BSWSIslnPosVRawValVldFlg；SbISOH_InvlIsoPosVFlt】
ISOH_INVALID_ISOLATION_NEGV_FAULT
FaultDescription:绝缘负对地电压故障【BSWSIslnNegVRawValVldFlg】→绝缘负对地电压故障【BSWSIslnNegVRawValVldFlg；SbISOH_InvalIsoNegVFlt】
THMS_PCB_BOARD_TEMP_SENSOR_SHORT_TO_GROUND_FAULT
FaultDescription:从板均衡温度采样短地(STG)→从板均衡温度采样短地(STG)【BSWSTRawValNbr；SbTHMS_PCBBdTSTGFlt】
THMS_PCB_BOARD_TEMP_SENSOR_SHORT_TO_BATTERY_FAULT
FaultDescription:从板均衡温度采样短电源(STB or Oc)→从板均衡温度采样短电源(STB or Oc)【BSWSTRawValNbr；SbTHMS_PCBBdTSTBFlt】
THMS_RBMS_TEMP_SENSOR_SHORT_TO_GROUND_FAULT
FaultDescription:HVBox Temp STG or OC fault→HVBox Temp STG or OC fault【BSWSCtlBoxTRawValNbr；SbTHMS_RBMSBdTSTGFlt】
THMS_RBMS_TEMP_SENSOR_SHORT_TO_BATTERY_FAULT
FaultDescription:HVBox Temp STB fault→HVBox Temp STB fault【BSWSCtlBoxTRawValNbr；SbTHMS_RBMSBdTSTBFlt】
CLTS_CELL_TEMPERATURE_OUT_OF_RANGE_HIGH_FAULT
FaultDescription:电芯温度采样短地(STG)【SaAFES_AFECellTVldFlg、BSWSTRawValNbr】→电芯温度采样短地(STG)【SbCLTS_CellTOorHiLimPreFltFlg、SbCLTS_PoleTOorHiLimPreFltFlg；SbCLTS_CellTOorLoFlt】
CLTS_CELL_TEMPERATURE_OUT_OF_RANGE_LOW_FAULT
FaultDescription:电芯温度采样短电源(STB or Oc)【SaAFES_AFECellTVldFlg、BSWSTRawValNbr】→电芯温度采样短电源(STB or Oc)【SbCLTS_CellTOorLoLimPreFltFlg、SbCLTS_PoleTOorLoLimPreFltFlg；SbCLTS_CellTOorHiFlt】
CLTS_CELL_TEMPERATURE_SAMPLING_MUX_FAULT
FaultDescription:电芯温度采样MUX故障【BSWSTRawValNbr】→电芯温度采样MUX故障【SbCLTS_CellTSamplgMUXPreFltFlg；SbCLTS_CellTMUXFlt】
CLTH_OVER_TEMPERATURE_LEVEL0_FAULT
FaultDescription:电芯极限过温【SaCLTS_CellTDegC、SaCLTS_CellTVldFlg】→电芯极限过温【ScCLTH_MaxCellTDegC；SbCLTH_OvtempLvl0】
CLTH_DELTA_TEMPERATURE_TOO_MUCH_LEVEL1_FAULT
FaultDescription:电芯温度差异大一级【SaCLTS_CellTDegC、SaCLTS_CellTVldFlg】→电芯温度差异大一级【ScCLTH_MaxCellTDegC、ScCLTH_MinCellTDegC；SbCLTH_DeltaCellTTooMuchLvl1Flt】
CLTH_DELTA_TEMPERATURE_TOO_MUCH_LEVEL2_FAULT
FaultDescription:电芯温度差异大二级【SaCLTS_CellTDegC、SaCLTS_CellTVldFlg】→电芯温度差异大二级【ScCLTH_MaxCellTDegC、ScCLTH_MinCellTDegC；SbCLTH_DeltaCellTTooMuchLvl2Flt】
CLTH_DELTA_TEMPERATURE_TOO_MUCH_LEVEL3_FAULT
FaultDescription:电芯温度差异大三级【SaCLTS_CellTDegC、SaCLTS_CellTVldFlg】→电芯温度差异大三级【ScCLTH_MaxCellTDegC、ScCLTH_MinCellTDegC；SbCLTH_DeltaCellTTooMuchLvl3Flt】
CLTH_TEMPERATURE_RISE_TOO_FAST_FAULT
FaultDescription:电芯温升过快【SaCLTS_CellTDegC、SaCLTS_CellTVldFlg】→电芯温升过快【ScCLTH_MaxCellTDegC、ScCLTH_MinCellTDegC；SbCLTH_CellTempRiseTooFastFlt】
CLTH_THERMAL_RUNAWAY_FAULT
FaultDescription:电芯热失控【ScCLVH_MaxCellVmV、ScCLTS_MaxCellTDegC、SbCLVH_GenlCellVVldFlg、EbCLTH_CellTempRunAwayFlt】→电芯热失控【ScCLVH_MaxCellVmV、ScCLTS_MaxCellTDegC、SbCLVH_GenlCellVVldFlg、EbCLTH_CellTempRunAwayFlt；SbCLTH_CellTempRunAwayFlt】
CLTH_PCB_BOARD_OVER_TEMPERATURE1_FAULT
FaultDescription:从板均衡温度高一级【SbTHMS_PCBBdTVldFlg、SaTHMS_PCBBdTDegC】→从板均衡温度高一级【SbTHMS_PCBBdTVldFlg、SaTHMS_PCBBdTDegC；SbCLTH_PCBOvrTFlt】
CLTH_PCB_BOARD_OVER_TEMPERATURE2_FAULT
FaultDescription:从板均衡温度高二级【SbTHMS_PCBBdTVldFlg、SaTHMS_PCBBdTDegC】→从板均衡温度高二级【SbTHMS_PCBBdTVldFlg、SaTHMS_PCBBdTDegC；SbCLTH_PCBOvrTLvl2Flt】
CLTH_AFE_OVER_TEMPERATURE_FAULT
FaultDescription:AFE芯片过温报警【SaAFES_AFEChipTDegC、SaAFES_AFEChipTVldFlg】→AFE芯片过温报警【SaAFES_AFEChipTDegC、SaAFES_AFEChipTVldFlg；SbCLTH_AFEOvrTFlt】
CLTH_CONTROL_BOX_AMBIENT_OVER_TEMP_LEVEL1_FAULT
FaultDescription:Control Box ambient over temperature level1【SaTHMS_CtlBoxTDegC、SaTHMS_CtlBoxTVldFlg】→Control Box ambient over temperature level1【ScCLTH_CtlBoxTMaxDegC；SbCLTH_AmbientOvTLvl1Flt】
CLTH_CONTROL_BOX_AMBIENT_OVER_TEMP_LEVEL2_FAULT
FaultDescription:Control Box ambient over temperature level2【SaTHMS_CtlBoxTDegC、SaTHMS_CtlBoxTVldFlg】→Control Box ambient over temperature level2【ScCLTH_CtlBoxTMaxDegC；SbCLTH_AmbientOvTLvl2Flt】
CLTH_CONTROL_BOX_AMBIENT_OVER_TEMP_LEVEL3_FAULT
FaultDescription:Control Box ambient over temperature level3【SaTHMS_CtlBoxTDegC、SaTHMS_CtlBoxTVldFlg】→Control Box ambient over temperature level3【ScCLTH_CtlBoxTMaxDegC；SbCLTH_AmbientOvTLvl3Flt】
CLTH_CELL_POLE_DELTA_TEMPERATURE_OVER_LEVEL1_FAULT
FaultDescription:电芯单体温度与电芯极柱温度偏差过大一级故障→电芯单体温度与电芯极柱温度偏差过大一级故障【ScCLTH_MaxCellTDegC、ScCLTH_MinCellTDegC、ScCLTH_MaxPoleTDegC、ScCLTH_MinPoleTDegC；SbCLTH_CellPoleOvTempDiffLvl1】
CLTH_POLE_OVER_TEMPERATURE_LEVEL1_FAULT
FaultDescription:极柱温度过温一级告警【SaCLTS_PoleTDegC、SaCLTS_PoleTVldFlgSaCLTS_PoleTVldFlg】→极柱温度过温一级告警【ScCLTH_MaxPoleTDegC；SbCLTH_PoleOverTempLvl1FltFlg】
CLTH_POLE_OVER_TEMPERATURE_LEVEL2_FAULT
FaultDescription:极柱温度过温二级告警【SaCLTS_PoleTDegC、SaCLTS_PoleTVldFlgSaCLTS_PoleTVldFlg】→极柱温度过温二级告警【ScCLTH_MaxPoleTDegC；SbCLTH_PoleOverTempLvl2FltFlg】
CLTH_POLE_OVER_TEMPERATURE_LEVEL3_FAULT
FaultDescription:极柱温度过温三级告警【SaCLTS_PoleTDegC、SaCLTS_PoleTVldFlgSaCLTS_PoleTVldFlg】→极柱温度过温三级告警【ScCLTH_MaxPoleTDegC；SbCLTH_PoleOverTempLvl3FltFlg】
CLTH_CHG_OVER_TEMPERATURE_LEVEL1_FAULT
FaultDescription:电芯充电温度过高一级报警【SaCLTS_CellTDegC、SaCLTS_CellTVldFlg】→电芯充电温度过高一级报警【ScCLTH_MaxCellTDegC；SbCLTH_ChgOvtempLvl1】
CLTH_CHG_OVER_TEMPERATURE_LEVEL2_FAULT
FaultDescription:电芯充电温度过高二级报警【SaCLTS_CellTDegC、SaCLTS_CellTVldFlg】→电芯充电温度过高二级报警【ScCLTH_MaxCellTDegC；SbCLTH_ChgOvtempLvl2】
CLTH_CHG_OVER_TEMPERATURE_LEVEL3_FAULT
FaultDescription:电芯充电温度过高三级报警【SaCLTS_CellTDegC、SaCLTS_CellTVldFlg】→电芯充电温度过高三级报警【ScCLTH_MaxCellTDegC；SbCLTH_ChgOvtempLvl3】
CLTH_DSG_OVER_TEMPERATURE_LEVEL1_FAULT
FaultDescription:电芯放电温度过高一级报警【SaCLTS_CellTDegC、SaCLTS_CellTVldFlg】→电芯放电温度过高一级报警【ScCLTH_MaxCellTDegC；SbCLTH_DsgOvtempLvl1】
CLTH_DSG_OVER_TEMPERATURE_LEVEL2_FAULT
FaultDescription:电芯放电温度过高二级报警【SaCLTS_CellTDegC、SaCLTS_CellTVldFlg】→电芯放电温度过高二级报警【ScCLTH_MaxCellTDegC；SbCLTH_DsgOvtempLvl2】
CLTH_DSG_OVER_TEMPERATURE_LEVEL3_FAULT
FaultDescription:电芯放电温度过高三级报警【SaCLTS_CellTDegC、SaCLTS_CellTVldFlg】→电芯放电温度过高三级报警【ScCLTH_MaxCellTDegC；SbCLTH_DsgOvtempLvl3】
CLTH_CHG_UNDER_TEMPERATURE_LEVEL1_FAULT
FaultDescription:电芯充电温度过低一级报警【SaCLTS_CellTDegC、SaCLTS_CellTVldFlg】→电芯充电温度过低一级报警【ScCLTH_MinCellTDegC；SbCLTH_ChgUndertempLvl1】
CLTH_CHG_UNDER_TEMPERATURE_LEVEL2_FAULT
FaultDescription:电芯充电温度过低二级报警【SaCLTS_CellTDegC、SaCLTS_CellTVldFlg】→电芯充电温度过低二级报警【ScCLTH_MinCellTDegC；SbCLTH_ChgUndertempLvl2】
CLTH_CHG_UNDER_TEMPERATURE_LEVEL3_FAULT
FaultDescription:电芯充电温度过低三级报警【SaCLTS_CellTDegC、SaCLTS_CellTVldFlg】→电芯充电温度过低三级报警【ScCLTH_MinCellTDegC；SbCLTH_ChgUndertempLvl3】
CLTH_DSG_UNDER_TEMPERATURE_LEVEL1_FAULT
FaultDescription:电芯放电温度过低一级报警【SaCLTS_CellTDegC、SaCLTS_CellTVldFlg】→电芯放电温度过低一级报警【ScCLTH_MinCellTDegC；SbCLTH_DsgUndertempLvl1】
CLTH_DSG_UNDER_TEMPERATURE_LEVEL2_FAULT
FaultDescription:电芯放电温度过低二级报警【SaCLTS_CellTDegC、SaCLTS_CellTVldFlg】→电芯放电温度过低二级报警【ScCLTH_MinCellTDegC；SbCLTH_DsgUndertempLvl2】
CLTH_DSG_UNDER_TEMPERATURE_LEVEL3_FAULT
FaultDescription:电芯放电温度过低三级报警【SaCLTS_CellTDegC、SaCLTS_CellTVldFlg】→电芯放电温度过低三级报警【ScCLTH_MinCellTDegC；SbCLTH_DsgUndertempLvl3】
SOCA_SOC_TOO_LOW_LEVEL1_FAULT
FaultDescription:SOC低一级【ScSOCA_DispSysSOCPct】→SOC低一级【ScSOCA_DispSysSOCPct；SbSOCA_SOCTooLowLvl1FltFlg】
SOCA_SOC_TOO_LOW_LEVEL2_FAULT
FaultDescription:SOC低二级【ScSOCA_DispSysSOCPct】→SOC低二级【ScSOCA_DispSysSOCPct；SbSOCA_SOCTooLowLvl2FltFlg】
SOCA_SOC_DIFFER_VALUE_OVER_HIGH_FAULT
FaultDescription:SOC差异过大【ScSOCA_SysMaxSOCPct，ScSOCA_SysMinSOCPct】→SOC差异过大【ScSOCA_SysMaxSOCPct，ScSOCA_SysMinSOCPct；SbSOCA_SOCDifferValueOverHighFltFlg】
SOCA_SOC_TOO_LOW_LEVEL3_FAULT
FaultDescription:SOC低三级【ScSOCA_DispSysSOCPct】→SOC低三级【ScSOCA_DispSysSOCPct；SbSOCA_SOCTooLowLvl3FltFlg】
SOCA_SOC_TOO_HIGH_LEVEL1_FAULT
FaultDescription:SOC高一级【ScSOCA_DispSysSOCPct】→SOC高一级【ScSOCA_DispSysSOCPct；SbSOCA_SOCTooHighLvl1FltFlg】
SOCA_SOC_TOO_HIGH_LEVEL2_FAULT
FaultDescription:SOC高二级【ScSOCA_DispSysSOCPct】→SOC高二级【ScSOCA_DispSysSOCPct；SbSOCA_SOCTooHighLvl2FltFlg】
SOCA_SOC_TOO_HIGH_LEVEL3_FAULT
FaultDescription:SOC高三级【ScSOCA_DispSysSOCPct】→SOC高三级【ScSOCA_DispSysSOCPct；SbSOCA_SOCTooHighLvl3FltFlg】
BTCS_CANMSG_TIMEOUT_FAULT
FaultDescription:电流传感器通讯丢失故障【BSWSMsgAvlFlg】→电流传感器通讯丢失故障【BSWSMsgAvlFlg；SbBTCS_MsgToFlt】
BTCS_CANBATI_IMPLY_FAULT
FaultDescription:电流传感器硬件故障【BSWSBatIDiagInfoFlg】→电流传感器硬件故障【BSWSBatIDiagInfoFlg；SbBTCS_BatIsnsRInvalidFlt】
BTCS_CANBATI_ZERODRIFT_FAULT
FaultDescription:电流传感器零漂故障→电流传感器零漂故障【SbBTCS_CANBatIZeroDriftFlg；SbBTCS_CANBatIZeroDriftFlt】
BTCS_CANMSG_CRCRES_FAULT
FaultDescription:电流传感器CRC故障【BSWSMsgCRCResFlg】→电流传感器CRC故障【BSWSMsgCRCResFlg；SbBTCS_MsgCRCResFlt】
BTCD_DISCHARGE_OVER_CURRENT_LEVEL1_FAULT
FaultDescription:放电电流大一级【ScBTCS_BatIA】→放电电流大一级【ScBTCS_BatIA；SbBTCD_DChaOvcurLvl1】
BTCD_DISCHARGE_OVER_CURRENT_LEVEL2_FAULT
FaultDescription:放电电流大二级【ScBTCS_BatIA】→放电电流大二级【ScBTCS_BatIA；SbBTCD_DChaOvcurLvl2】
BTCD_DISCHARGE_OVER_CURRENT_LEVEL3_FAULT
FaultDescription:放电电流大三级【ScBTCS_BatIA】→放电电流大三级【ScBTCS_BatIA；SbBTCD_DChaOvcurLvl3】
BTCD_RECHARGE_OVER_CURRENT_LEVEL1_FAULT
FaultDescription:充电电流大一级【ScBTCS_BatIA】→充电电流大一级【ScBTCS_BatIA；SbBTCD_ReChOvcurLvl1】
BTCD_RECHARGE_OVER_CURRENT_LEVEL2_FAULT
FaultDescription:充电电流大二级【ScBTCS_BatIA】→充电电流大二级【ScBTCS_BatIA；SbBTCD_ReChOvcurLvl2】
BTCD_RECHARGE_OVER_CURRENT_LEVEL3_FAULT
FaultDescription:充电电流大三级【ScBTCS_BatIA】→充电电流大三级【ScBTCS_BatIA；SbBTCD_ReChOvcurLvl3】
CTSC_PRECHARGE_OVER_TIME_FAULT
FaultDescription:预充超时故障→预充超时故障【；SbCTSC_PrechOverTiFlt】
CTSC_PRECHARGE_OVER_CURRENT_FAULT
FaultDescription:预充过流故障→预充过流故障【SbCTSC_PrechOverCurrPreFailFlg；SbCTSC_PrechOverCurrFlt】
CTSC_RBMS_EPO_OPEN_FAULT
FaultDescription:主控EPO开 【BSWSEPOAuxVRawValNbr】→主控EPO开 【BSWSEPOAuxVRawValNbr；SbCTSC_EPOOpenFlg】
CTSC_RBMS_QS_OPEN_FAULT
FaultDescription:主控QS隔离开关开【BSWSQSAuxVRawValNbr】→主控QS隔离开关开【BSWSQSAuxVRawValNbr；SbCTSC_QSOpenFlt】
CTSC_MAIN_NEGATIVE_RELAY_STUCK_CLOSE_FAULT
FaultDescription:主负继电器粘连故障【BSWSMainNegRlyAuxVRawValNbr】→主负继电器粘连故障【BSWSMainNegRlyAuxVRawValNbr；SbCTSC_MainNegRelayStuckCloseFlt】
CTSC_MAIN_NEGATIVE_RELAY_STUCK_OPEN_FAULT
FaultDescription:主负继电器开路故障【BSWSMainNegRlyAuxVRawValNbr】→主负继电器开路故障【BSWSMainNegRlyAuxVRawValNbr；SbCTSC_MainNegRelayStuckOpenFlt】
CTSC_MAIN_POSITIVE_RELAY_STUCK_CLOSE_FAULT
FaultDescription:主正继电器粘连故障【BSWSMainPosRlyAuxVRawValNbr】→主正继电器粘连故障【BSWSMainPosRlyAuxVRawValNbr；SbCTSC_MainPosRelayStuckCloseFlt】
CTSC_MAIN_POSITIVE_RELAY_STUCK_OPEN_FAULT
FaultDescription:主正继电器开路故障【BSWSMainPosRlyAuxVRawValNbr】→主正继电器开路故障【BSWSMainPosRlyAuxVRawValNbr；SbCTSC_MainPosRelayStuckOpenFlt】
CTSC_MAINPOS_AUX_CONTACT_ST_FAULT
FaultDescription:主正继电器辅助触点电路故障【BSWSMainPosRlyAuxVRawValNbr】→主正继电器辅助触点电路故障【BSWSMainPosRlyAuxVRawValNbr；SbCTSC_MainPosAuxContactStFlt】
CTSC_MAINNEG_AUX_CONTACT_ST_FAULT
FaultDescription:主负继电器辅助触点电路故障【BSWSMainPosRlyAuxVRawValNbr】→主负继电器辅助触点电路故障【BSWSMainPosRlyAuxVRawValNbr；SbCTSC_MainNegAuxContactStFlt】
&gt;&gt;&gt;&gt;&gt;&gt;&gt;&gt;&gt;&gt;&gt;&gt;&gt;&gt;&gt;&gt;&gt;&gt;&gt;&gt;</t>
  </si>
  <si>
    <t>BMS13_RBMS,BMS20_RBMS-【FaultList】
Correct:
CLTH_PCB_BOARD_OVER_TEMPERATURE1_FAULT
FaultDescription:从板均衡温度高一级【SbTHMS_PCBBdTVldFlg、SaTHMS_PCBBdTDegC；SbCLTH_PCBOvrTFlt】→从板均衡温度高一级【SaTHMS_PCBBdTVldFlg、SaTHMS_PCBBdTDegC；SbCLTH_PCBOvrTFlt】
CLTH_PCB_BOARD_OVER_TEMPERATURE2_FAULT
FaultDescription:从板均衡温度高二级【SbTHMS_PCBBdTVldFlg、SaTHMS_PCBBdTDegC；SbCLTH_PCBOvrTLvl2Flt】→从板均衡温度高二级【SaTHMS_PCBBdTVldFlg、SaTHMS_PCBBdTDegC；SbCLTH_PCBOvrTLvl2Flt】
&gt;&gt;&gt;&gt;&gt;&gt;&gt;&gt;&gt;&gt;&gt;&gt;&gt;&gt;&gt;&gt;&gt;&gt;&gt;&gt;</t>
  </si>
  <si>
    <t>BMS20_RBMS-【FaultList】
Correct:
CLTH_POLE_OVER_TEMPERATURE_LEVEL1_FAULT
EnableFault:0→1
CLTH_POLE_OVER_TEMPERATURE_LEVEL2_FAULT
EnableFault:0→1
CLTH_POLE_OVER_TEMPERATURE_LEVEL3_FAULT
EnableFault:0→1
CLVS_AFE_VOLTAGE_OUT_OF_RANGE_FAULT
EnableFault:0→1
&gt;&gt;&gt;&gt;&gt;&gt;&gt;&gt;&gt;&gt;&gt;&gt;&gt;&gt;&gt;&gt;&gt;&gt;&gt;&gt;</t>
  </si>
  <si>
    <t>BMS10_RBMS,BMS11_RBMS,BMS12_RBMS,BMS13_RBMS,BMS20_RBMS,LC25_RBMS,RTG10_RBMS,SF05T_RBMS,SF05_RBMS,SIB_RBMS,MIC_RBMS-【FaultList】
Correct:
CLTH_PCB_BOARD_OVER_TEMPERATURE1_FAULT
FaultDescription:从板均衡温度高一级【SaTHMS_PCBBdTVldFlg、SaTHMS_PCBBdTDegC；SbCLTH_PCBOvrTFlt】→从板均衡温度高一级【SbCLTH_PCBBdTVldFlg、ScCLTH_MaxPCBTDegC；SbCLTH_PCBOvrTFlt】
CLTH_PCB_BOARD_OVER_TEMPERATURE2_FAULT
FaultDescription:从板均衡温度高二级【SaTHMS_PCBBdTVldFlg、SaTHMS_PCBBdTDegC；SbCLTH_PCBOvrTLvl2Flt】→从板均衡温度高二级【SbCLTH_PCBBdTVldFlg、ScCLTH_MaxPCBTDegC；SbCLTH_PCBOvrTLvl2Flt】
CLTH_AFE_OVER_TEMPERATURE_FAULT
FaultDescription:AFE芯片过温报警【SaAFES_AFEChipTDegC、SaAFES_AFEChipTVldFlg；SbCLTH_AFEOvrTFlt】→AFE芯片过温报警【SbCLTH_AFEChipTVldFlg、ScCLTH_MaxAFETDegC；SbCLTH_AFEOvrTFlt】
&gt;&gt;&gt;&gt;&gt;&gt;&gt;&gt;&gt;&gt;&gt;&gt;&gt;&gt;&gt;&gt;&gt;&gt;&gt;&gt;</t>
  </si>
  <si>
    <t>BMS10_RBMS,BMS11_RBMS,BMS12_RBMS,BMS13_RBMS,BMS20_RBMS,LC25_RBMS,MIC_RBMS,RTG10_RBMS,SF05T_RBMS,SF05_RBMS,SIB_RBMS-【FaultList】
Add:
BTCD_RECHARGE_OVER_CURRENT_LEVEL0_FAULT
BTCD_DISCHARGE_OVER_CURRENT_LEVEL0_FAULT
&gt;&gt;&gt;&gt;&gt;&gt;&gt;&gt;&gt;&gt;&gt;&gt;&gt;&gt;&gt;&gt;&gt;&gt;&gt;&gt;</t>
  </si>
  <si>
    <t>BMS20_RBMS,RTG10_RBMS- 【SystemParameter】
Correct:
SOPC_DEGRATE_BASED_FAULT_ENABLE
Value:0→1
&gt;&gt;&gt;&gt;&gt;&gt;&gt;&gt;&gt;&gt;&gt;&gt;&gt;&gt;&gt;&gt;&gt;&gt;&gt;&gt;</t>
  </si>
  <si>
    <t>BMS10_RBMS,BMS11_RBMS,BMS12_RBMS,BMS13_RBMS,BMS20_RBMS,LC25_RBMS,MIC_RBMS,RTG10_RBMS,SF05T_RBMS,SF05_RBMS,SIB_RBMS-【FaultList】
Add:
LVPS_RELAY_POWER_SUPPLY_OVERORUNDER_VOLTAGE_FAULT
LVPS_CURRENT_SENSOR_POWER_SUPPLY_OVERORUNDER_VOLTAGE_FAULT
LVPS_24V_INTERNAL_POWER_SUPPLY_OVERORUNDER_VOLTAGE_FAULT
Correct:
LVPH_RELAY_POWER_SUPPLY_OVER_VOLTAGE_FAULT
FaultDescription:继电器供电电压过高故障【ScLVPS_RlyPowSplyValV、SbLVPS_RlyPowSplyVldFlg；SbLVPH_RlyPowSplyOVFlt】→继电器供电电压过高故障【ScLVPS_RlyPowSplyValV、SbLVPS_RlyPowSplyVldFlg、SbMCUD_MCUChipADCPrefailFlg；SbLVPH_RlyPowSplyOVFlt】
DiagnoseEnableCondition:继电器供电电压有效→1、无MCU芯片ADC模块故障；
2、无继电器供电电压超范围故障；
DischargeFaultLevel:2→1
ChargeFaultLevel:2→1
LVPH_RELAY_POWER_SUPPLY_UNDER_VOLTAGE_FAULT
FaultDescription:继电器供电电压过低故障【ScLVPS_RlyPowSplyValV、SbLVPS_RlyPowSplyVldFlg；SbLVPH_RlyPowSplyUVFlt】→继电器供电电压过低故障【ScLVPS_RlyPowSplyValV、SbLVPS_RlyPowSplyVldFlg、SbMCUD_MCUChipADCPrefailFlg；SbLVPH_RlyPowSplyUVFlt】
DiagnoseEnableCondition:继电器供电电压有效→1、无MCU芯片ADC模块故障；
2、无继电器供电电压超范围故障；
DischargeFaultLevel:2→1
ChargeFaultLevel:2→1
LVPH_CURRENT_SENSOR_POWER_SUPPLY_OVER_VOLTAGE_FAULT
FaultDescription:电流传感器供电电压过高故障【ScLVPS_CurrSnsrPowSplyValV、SbLVPS_CurrSnsrPowSplyVldFlg；SbLVPH_CurrSnsrPowSplyOVFlt】→电流传感器供电电压过高故障【ScLVPS_CurrSnsrPowSplyValV、SbLVPS_CurrSnsrPowSplyVldFlg、SbMCUD_MCUChipADCPrefailFlg；SbLVPH_CurrSnsrPowSplyOVFlt】
DiagnoseEnableCondition:电流传感器供电电压有效→1、无MCU芯片ADC模块故障；
2、无电流传感器供电电压超范围故障；
DischargeFaultLevel:2→1
ChargeFaultLevel:2→1
LVPH_CURRENT_SENSOR_POWER_SUPPLY_UNDER_VOLTAGE_FAULT
FaultDescription:电流传感器供电电压过低故障【ScLVPS_CurrSnsrPowSplyValV、SbLVPS_CurrSnsrPowSplyVldFlg；SbLVPH_CurrSnsrPowSplyUVFlt】→电流传感器供电电压过低故障【ScLVPS_CurrSnsrPowSplyValV、SbLVPS_CurrSnsrPowSplyVldFlg、SbMCUD_MCUChipADCPrefailFlg；SbLVPH_CurrSnsrPowSplyUVFlt】
DiagnoseEnableCondition:电流传感器供电电压有效→1、无MCU芯片ADC模块故障；
2、无电流传感器供电电压超范围故障；
DischargeFaultLevel:2→1
ChargeFaultLevel:2→1
LVPH_24V_INTERNAL_POWER_SUPPLY_OVER_VOLTAGE_FAULT
FaultDescription:RBMS供电电压过高故障【ScLVPS_24VIntPowSplyValV、SbLVPS_24VIntPowSplyVldFlg；SbLVPH_24VIntPowSplyOVFlt】→RBMS供电电压过高故障【ScLVPS_24VIntPowSplyValV、SbLVPS_24VIntPowSplyVldFlg、SbMCUD_MCUChipADCPrefailFlg；SbLVPH_24VIntPowSplyOVFlt】
DiagnoseEnableCondition:电源供电电压有效→1、无MCU芯片ADC模块故障；
2、无RBMS供电电压超范围故障；
LVPH_24V_INTERNAL_POWER_SUPPLY_UNDER_VOLTAGE_FAULT
FaultDescription:RBMS供电电压过低故障【ScLVPS_24VIntPowSplyValV、SbLVPS_24VIntPowSplyVldFlg；SbLVPH_24VIntPowSplyUVFlt】→RBMS供电电压过低故障【ScLVPS_24VIntPowSplyValV、SbMCUD_MCUChipADCPrefailFlg、SbLVPS_24VIntPowSplyVldFlg；SbLVPH_24VIntPowSplyUVFlt】
DiagnoseEnableCondition:电源供电电压有效→1、无MCU芯片ADC模块故障；
2、无RBMS供电电压超范围故障；
&gt;&gt;&gt;&gt;&gt;&gt;&gt;&gt;&gt;&gt;&gt;&gt;&gt;&gt;&gt;&gt;&gt;&gt;&gt;&gt;</t>
  </si>
  <si>
    <t>BMS10_RBMS,BMS11_RBMS,BMS12_RBMS,BMS13_RBMS,BMS20_RBMS,LC25_RBMS,MIC_RBMS,RTG10_RBMS,SF05T_RBMS,SF05_RBMS,SIB_RBMS-【FaultList】
Correct:
CLVS_CELL_VOLTAGE_OUT_OF_RANGE_FAULT
DiagnoseEnableCondition:1.菊花链更新；
2. 无AFE硬件相关电芯电压采样故障→AFE电芯电压采样有效
CLVS_AFE_VOLTAGE_OUT_OF_RANGE_FAULT
DiagnoseEnableCondition:1.菊花链更新；
2. 无AFE硬件相关电压采样故障→AFE模组电压采样有效
&gt;&gt;&gt;&gt;&gt;&gt;&gt;&gt;&gt;&gt;&gt;&gt;&gt;&gt;&gt;&gt;&gt;&gt;&gt;&gt;</t>
  </si>
  <si>
    <t>BMS10_RBMS,BMS11_RBMS,BMS12_RBMS,BMS13_RBMS,BMS20_RBMS,LC25_RBMS,MIC_RBMS,RTG10_RBMS,SF05T_RBMS,SF05_RBMS,SIB_RBMS-【FaultList】
Add:
CLTH_UNDER_TEMPERATURE_LEVEL0_FAULT
CLTS_CELL_TEMPERATURE_REDUNDANT_DETECT_FAULT
Correct:
CLTH_OVER_TEMPERATURE_LEVEL0_FAULT
DiagnoseEnableCondition:温度有效→1. 任一电芯温度有效；
2. 电流有效；
CLTH_CHG_OVER_TEMPERATURE_LEVEL1_FAULT
DiagnoseEnableCondition:温度有效→1. 任一电芯温度有效；
2. 电流有效；
CLTH_CHG_OVER_TEMPERATURE_LEVEL2_FAULT
DiagnoseEnableCondition:温度有效→1. 任一电芯温度有效；
2. 电流有效；
CLTH_CHG_OVER_TEMPERATURE_LEVEL3_FAULT
DiagnoseEnableCondition:温度有效→1. 任一电芯温度有效；
2. 电流有效；
CLTH_DSG_OVER_TEMPERATURE_LEVEL1_FAULT
DiagnoseEnableCondition:温度有效→1. 任一电芯温度有效；
2. 电流有效；
CLTH_DSG_OVER_TEMPERATURE_LEVEL2_FAULT
DiagnoseEnableCondition:温度有效→1. 任一电芯温度有效；
2. 电流有效；
CLTH_DSG_OVER_TEMPERATURE_LEVEL3_FAULT
DiagnoseEnableCondition:温度有效→1. 任一电芯温度有效；
2. 电流有效；
CLTH_CHG_UNDER_TEMPERATURE_LEVEL1_FAULT
DiagnoseEnableCondition:温度有效→1. 任一电芯温度有效；
2. 电流有效；
CLTH_CHG_UNDER_TEMPERATURE_LEVEL2_FAULT
DiagnoseEnableCondition:温度有效→1. 任一电芯温度有效；
2. 电流有效；
CLTH_CHG_UNDER_TEMPERATURE_LEVEL3_FAULT
DiagnoseEnableCondition:温度有效→1. 任一电芯温度有效；
2. 电流有效；
CLTH_DSG_UNDER_TEMPERATURE_LEVEL1_FAULT
DiagnoseEnableCondition:温度有效→1. 任一电芯温度有效；
2. 电流有效；
CLTH_DSG_UNDER_TEMPERATURE_LEVEL2_FAULT
DiagnoseEnableCondition:温度有效→1. 任一电芯温度有效；
2. 电流有效；
CLTH_DSG_UNDER_TEMPERATURE_LEVEL3_FAULT
DiagnoseEnableCondition:温度有效→1. 任一电芯温度有效；
2. 电流有效；
CLTH_AFE_OVER_TEMPERATURE_FAULT
DiagnoseEnableCondition:温度有效→AFE芯片采样温度有效
FaultDeassertCriteria:AFE Chip温度&lt;=【CcCLTH_AFEOvTempRcvryLimDegC=115】℃→下电
FaultDeassertDebounceTime:【CcCLTH_TempWarnRcvryDur=3000】ms→NA
DischargeFaultLevel:3→1
ChargeFaultLevel:3→1
CLTS_CELL_TEMPERATURE_OUT_OF_RANGE_HIGH_FAULT
FaultDescription:电芯温度采样短地(STG)【SbCLTS_CellTOorHiLimPreFltFlg、SbCLTS_PoleTOorHiLimPreFltFlg；SbCLTS_CellTOorLoFlt】→电芯温度采样短地(STG)【SbCLTS_CellTOorHiLimPreFltFlg；SbCLTS_CellTOorHiFlt】
DiagnoseEnableCondition:1.菊花链更新；
2. 无AFE硬件相关温度采样故障→上电
FaultAssertCriteria:相关电芯采样温度CNT值&lt;=【CcCLTS_CellTOorLoLimNbr=-9127】(&gt;125℃)→任一电芯同时满足以下条件：
1. AFE电芯温度采样有效；
2. 电芯采样温度CNT值&lt;=【CcCLTS_CellTOorLoLimNbr=-9127】(&gt;125℃)
CLTS_CELL_TEMPERATURE_OUT_OF_RANGE_LOW_FAULT
FaultDescription:电芯温度采样短电源(STB or Oc)【SbCLTS_CellTOorLoLimPreFltFlg、SbCLTS_PoleTOorLoLimPreFltFlg；SbCLTS_CellTOorHiFlt】→电芯温度采样短电源(STB or Oc)【SbCLTS_CellTOorLoLimPreFltFlg；SbCLTS_CellTOorLoFlt】
DiagnoseEnableCondition:1.菊花链更新；
2. 无温度采样线掉线；
3. 无AFE硬件相关温度采样故障→上电
FaultAssertCriteria:相关电芯采样温度CNT值 &gt;= 【CcCLTS_CellTOorHiLimNbr=9495】(&lt;-40℃)→任一电芯同时满足以下条件：
1. AFE电芯温度采样有效；
2. 电芯采样温度CNT值 &gt;= 【CcCLTS_CellTOorHiLimNbr=9495】(&lt;-40℃)
CLTS_CELL_TEMPERATURE_SAMPLING_MUX_FAULT
FaultAssertCriteria:MUX对GND采样异常【CcCLTS_CellTOorLoLimNbr = -9127】→任一电芯同时满足以下条件：
1. AFE电芯温度采样有效；
2. 所在MUX对GND采样温度CNT值&gt;【CcCLTS_CellTOorLoLimNbr = -9127】
&gt;&gt;&gt;&gt;&gt;&gt;&gt;&gt;&gt;&gt;&gt;&gt;&gt;&gt;&gt;&gt;&gt;&gt;&gt;&gt;</t>
  </si>
  <si>
    <t>SystemParam: Add AFE_TEMPERATURE_SENSOR_SAMPLING_CHANNEL_CONFIGURATION, AFE_TEMPERATURE_SENSOR_MUX_START_INDEX, MODULE_CELL_TEMPERATURE_REDUNCHK_PAIR_INDEX, CELL_RATE_POWER, FULL_DISCHARGE_CELLV, FULL_CHARGE_CELLV, CELL_RATE_VOLTAGE; delete AFE_CELL_POLE_TEMPERATURE_SENSOR_SAMPLING_CHANNEL_CONFIGURATION, AFE_BALANCE_TEMPERATURE_SENSOR_SAMPLING_CHANNEL_CONFIGURATION; correct AFE_CELL_POLE_TEMPERATURE_SENSOR_NUMBER,AFE_PCB_TEMPERATURE_SENSOR_NUMBER,AFE_TEMPERATURE_SENSOR_NUMBER, CELL_RATE_ENERGY</t>
  </si>
  <si>
    <t>BMS10_RBMS,BMS20_RBMS,LC25_RBMS,RTG10_RBMS,SF05T_RBMS,SF05_RBMS-【FaultList】
Add:
EMCR_EMERGENCY_SHUTDOWN_SIGNAL_TIMEOUT_FAULT
EMCR_EMERGENCY_SHUTDOWN_SIGNAL_CRC_FAULT
EMCR_EMERGENCY_SHUTDOWN_SIGNAL_COUNTER_FAULT
&gt;&gt;&gt;&gt;&gt;&gt;&gt;&gt;&gt;&gt;&gt;&gt;&gt;&gt;&gt;&gt;&gt;&gt;&gt;&gt;</t>
  </si>
  <si>
    <t>SystemParam: correct RACK_TEMPERATURE_SENSOR_MUX_NUMBER formula</t>
  </si>
  <si>
    <t>BMS10_RBMS,BMS11_RBMS,BMS12_RBMS,BMS13_RBMS,BMS20_RBMS,LC25_RBMS,MIC_RBMS,RTG10_RBMS,SF05T_RBMS,SF05_RBMS,SIB_RBMS-【FaultList】
Add:
MCUD_INIT_FAULT
MCUD_CHIP_GPIO_FAULT
MCUD_CHIP_SPI_FAULT
MCUD_CHIP_CAN_FAULT
MCUD_CHIP_ADC_FAULT
Correct:
MCUD_RESET_FAULT
FaultDescription:MCU复位原因【BSWSMCURstRsnNbr；SbMCUD_RstFlt】→MCU故障复位原因【BSWSMCURstRsnNbr】
EnableFault:1→0
MCUD_MEMORY_INTERNAL_DATA_FAULT
FaultDescription:MCU内部数据及存储地址错误故障【BSWSMCUMemIntDataFltNbr；SbMCUD_MCUMemIntDataFlt】→MCU内部数据及存储地址错误故障
EnableFault:1→0
&gt;&gt;&gt;&gt;&gt;&gt;&gt;&gt;&gt;&gt;&gt;&gt;&gt;&gt;&gt;&gt;&gt;&gt;&gt;&gt;</t>
  </si>
  <si>
    <t>BMS10_RBMS,BMS11_RBMS,BMS12_RBMS,BMS13_RBMS,BMS20_RBMS,MIC_RBMS,RTG10_RBMS,SF05T_RBMS,SF05_RBMS,SIB_RBMS-【FaultList】
Add:
CTSC_MAIN_POSITIVE_RELAY_DRIVER_CIRCUIT_FAULT
CTSC_MAIN_NEGATIVE_RELAY_DRIVER_CIRCUIT_FAULT
CTSC_RELAY_DRIVER_SAMPLING_SELECT_CHANNEL_FAULT
Correct:
CTSC_MAIN_NEGATIVE_RELAY_STUCK_CLOSE_FAULT
FaultDescription:主负继电器粘连故障【BSWSMainNegRlyAuxVRawValNbr；SbCTSC_MainNegRelayStuckCloseFlt】→主负继电器粘连故障【BSWSMainNegRlyAuxVRawValNbr，SbCTSC_MainNegRlyHSDCtlCmdFlg，SbCTSC_MainNegRlyLSDCtlCmdFlg，SbCTSC_MainNegRelayStuckClosePrefail；SbCTSC_MainNegRelayStuckCloseFlt】
DiagnoseEnableCondition:下列条件都满足
1.24V供电电压有效
2.主负继电器辅助触点无短路
3.上高压前主负继电器高边断开底边闭合或下高压先断开高边后
4.以上条件都满足后的300ms内→1.无继电器供电电压过高故障、无继电器供电电压过低故障；
FaultAssertCriteria:干节点反馈异常(Low)→干节点反馈异常，具体如下：
1.常开型继电器
1）低边控制命令0、高边控制命令0，干节点反馈低电平；
2）低边控制命令1、高边控制命令0，干节点反馈低电平；
（满足其一）
2.常闭型继电器
1）低边控制命令0、高边控制命令0，干节点反馈低电平；
2）低边控制命令1、高边控制命令0，干节点反馈高电平；
（满足其一）
CTSC_MAIN_NEGATIVE_RELAY_STUCK_OPEN_FAULT
FaultDescription:主负继电器开路故障【BSWSMainNegRlyAuxVRawValNbr；SbCTSC_MainNegRelayStuckOpenFlt】→主负继电器开路故障【BSWSMainNegRlyAuxVRawValNbr，SbCTSC_MainNegRlyHSDCtlCmdFlg，SbCTSC_MainNegRlyLSDCtlCmdFlg，SbCTSC_MainNegRelayStuckOpenPrefail；SbCTSC_MainNegRelayStuckOpenFlt】
CTSC_MAIN_POSITIVE_RELAY_STUCK_CLOSE_FAULT
FaultDescription:主正继电器粘连故障【BSWSMainPosRlyAuxVRawValNbr；SbCTSC_MainPosRelayStuckCloseFlt】→主正继电器粘连故障【BSWSMainPosRlyAuxVRawValNbr，SbCTSC_MainPosRlyHSDCtlCmdFlg，SbCTSC_MainPosRlyLSDCtlCmdFlg，SbCTSC_MainPosRelayStuckClosePrefail；SbCTSC_MainPosRelayStuckCloseFlt】
DiagnoseEnableCondition:下列条件都满足
1.24V供电电压有效
2.主正继电器辅助触点无短路
3.上高压前主正继电器高边断开底边闭合或下高压先断开高边后
4.以上条件都满足后的300ms内→1.无继电器供电电压过高故障、无继电器供电电压过低故障；
FaultAssertCriteria:干节点反馈异常(Low)→干节点反馈异常，具体如下：
1.常开型继电器
1）低边控制命令0、高边控制命令0，干节点反馈低电平；
2）低边控制命令1、高边控制命令0，干节点反馈低电平；
（满足其一）
2.常闭型继电器
1）低边控制命令0、高边控制命令0，干节点反馈低电平；
2）低边控制命令1、高边控制命令0，干节点反馈高电平；
（满足其一）
CTSC_MAIN_POSITIVE_RELAY_STUCK_OPEN_FAULT
FaultDescription:主正继电器开路故障【BSWSMainPosRlyAuxVRawValNbr；SbCTSC_MainPosRelayStuckOpenFlt】→主正继电器开路故障【BSWSMainPosRlyAuxVRawValNbr，SbCTSC_MainPosRlyHSDCtlCmdFlg，SbCTSC_MainPosRlyLSDCtlCmdFlg，SbCTSC_MainPosRelayStuckOpenPrefail；SbCTSC_MainPosRelayStuckOpenFlt】
CTSC_MAINPOS_AUX_CONTACT_ST_FAULT
FaultDescription:主正继电器辅助触点电路故障【BSWSMainPosRlyAuxVRawValNbr；SbCTSC_MainPosAuxContactStFlt】→主正继电器辅助触点电路故障【BSWSMainPosRlyAuxVRawValNbr】
EnableFault:1→0
CTSC_MAINNEG_AUX_CONTACT_ST_FAULT
FaultDescription:主负继电器辅助触点电路故障【BSWSMainPosRlyAuxVRawValNbr；SbCTSC_MainNegAuxContactStFlt】→主负继电器辅助触点电路故障【BSWSMainPosRlyAuxVRawValNbr】
EnableFault:1→0
&gt;&gt;&gt;&gt;&gt;&gt;&gt;&gt;&gt;&gt;&gt;&gt;&gt;&gt;&gt;&gt;&gt;&gt;&gt;&gt;</t>
  </si>
  <si>
    <t>BMS10_RBMS,BMS11_RBMS,BMS12_RBMS,BMS13_RBMS,BMS20CN_RBMS,BMS20_RBMS,LC25_RBMS,MIC_RBMS,RTG10_RBMS,SF05T_RBMS,SF05_RBMS,SIB_RBMS-【FaultList】
Correct:
CTSC_MAIN_POSITIVE_RELAY_DRIVER_CIRCUIT_FAULT
EnableFault:1→0
CTSC_MAIN_NEGATIVE_RELAY_DRIVER_CIRCUIT_FAULT
EnableFault:1→0
CTSC_RELAY_DRIVER_SAMPLING_SELECT_CHANNEL_FAULT
EnableFault:1→0
&gt;&gt;&gt;&gt;&gt;&gt;&gt;&gt;&gt;&gt;&gt;&gt;&gt;&gt;&gt;&gt;&gt;&gt;&gt;&gt;</t>
  </si>
  <si>
    <t>BMS10_RBMS,BMS11_RBMS,BMS12_RBMS,BMS13_RBMS,BMS20CN_RBMS,BMS20_RBMS,LC25_RBMS,SF05T_RBMS,SF05_RBMS,SIB_RBMS,RTG10_RBMS,MIC_RBMS-【FaultList】
Correct:
LVPS_RELAY_POWER_SUPPLY_OVERORUNDER_VOLTAGE_FAULT
FaultDescription:继电器供电电压超范围故障【BSWSRlyPowSplyRawValVCnt；SbLVPS_RlyPwrSplyOvUnFlt】→继电器供电电压超范围故障【BSWSRlyPowSplyRawValVCnt，SbLVPS_RlyPwrSplyOvUnFltPreFlg；SbLVPS_RlyPwrSplyOvUnFlt】
FaultAssertCriteria:CNTS值&lt;【CcLVPS_RlyPwrSupplyUnThd=1965】或
CNTS值&gt;【CcLVPS_RlyPwrSupplyOvThd=3274】→电压值&lt;【CcLVPS_RlyPwrSupplyUnThd=19.2】或
电压值&gt;【CcLVPS_RlyPwrSupplyOvThd=32】
LVPS_CURRENT_SENSOR_POWER_SUPPLY_OVERORUNDER_VOLTAGE_FAULT
FaultDescription:电流传感器供电电压超范围故障【BSWSCurrSnsrPowSplyRawValVCnt；SbLVPS_CurrSnsrPowSplyOvUnFlt】→电流传感器供电电压超范围故障【BSWSCurrSnsrPowSplyRawValVCnt，SbLVPS_24VIntPowSplyOvUnFltPreFlg；SbLVPS_CurrSnsrPowSplyOvUnFlt】
FaultAssertCriteria:CNTS值&lt;【CcLVPS_CurrSnsrPowSplyUnThd=1567】或 
CNTS值&gt;【CcLVPS_CurrSnsrPowSplyOvThd=3919】→电压值&lt;【CcLVPS_CurrSnsrPowSplyUnThd=7.2】或 
电压值&gt;【CcLVPS_CurrSnsrPowSplyOvThd=18】
LVPS_24V_INTERNAL_POWER_SUPPLY_OVERORUNDER_VOLTAGE_FAULT
FaultDescription:RBMS供电电压超范围故障【BSWS24VIntPowSplyRawValVCnt；SbLVPS_24VIntPowSplyOvUnFlt】→RBMS供电电压超范围故障【BSWS24VIntPowSplyRawValVCnt，SbLVPS_CurrSnsrPowSplyOvUnFltPreFlg；SbLVPS_24VIntPowSplyOvUnFlt】
FaultAssertCriteria:CNTS值&lt;【CcLVPS_24VIntPwrSplyUnThd=1637】或
CNTS值&gt;【CcLVPS_24VIntPwrSplyOvThd=3274】→电压值&lt;【CcLVPS_24VIntPwrSplyUnThd=16】或
电压值&gt;【CcLVPS_24VIntPwrSplyOvThd=32】
&gt;&gt;&gt;&gt;&gt;&gt;&gt;&gt;&gt;&gt;&gt;&gt;&gt;&gt;&gt;&gt;&gt;&gt;&gt;&gt;</t>
  </si>
  <si>
    <t>SystemParam: Add AFE_MASTER_NODE</t>
  </si>
  <si>
    <t>SystemParam: Add ACIS_BMS_BOARD</t>
  </si>
  <si>
    <t>BMS20_RBMS,BMS20CN_RBMS,RTG10_RBMS,RTG10CN_RBMS- 【SystemParameter】
Correct:
SOPC_DEGRATE_BASED_FAULT_ENABLE
Value:1→0
&gt;&gt;&gt;&gt;&gt;&gt;&gt;&gt;&gt;&gt;&gt;&gt;&gt;&gt;&gt;&gt;&gt;&gt;&gt;&gt;</t>
  </si>
  <si>
    <t>BMS20CN_RBMS,BMS20_RBMS,BMS10_RBMS,LC25_RBMS,RTG10CN_RBMS,SF05T_RBMS,RTG10_RBMS,SF05_RBMS-【FaultList】
Add:
ACIS_FIRE_EXTINGUISHER_ALERT_FAULT
&gt;&gt;&gt;&gt;&gt;&gt;&gt;&gt;&gt;&gt;&gt;&gt;&gt;&gt;&gt;&gt;&gt;&gt;&gt;&gt;
所有二级板的:ACIS_BMS_BOARD 【Value】手动修改
&gt;&gt;&gt;&gt;&gt;&gt;&gt;&gt;&gt;&gt;&gt;&gt;&gt;&gt;&gt;&gt;&gt;&gt;&gt;&gt;</t>
  </si>
  <si>
    <t>BMS10_RBMS,BMS11_RBMS,BMS12_RBMS,BMS13_RBMS,BMS20CN_RBMS,BMS20_RBMS,LC25_RBMS,MIC_RBMS,RTG10CN_RBMS,RTG10_RBMS,SF05T_RBMS,SF05_RBMS,SIB_RBMS-【FaultList】
Correct:
CLTH_POLE_OVER_TEMPERATURE_LEVEL1_FAULT
FaultAssertCriteria:充电极柱最高温度&gt;【CcCLTH_ChPoleOvtempLvl1LimDegC=80】℃；放电极柱最高温度&gt;【CcCLTH_DischPoleOvtempLvl1LimDegC=80】℃→极柱最高温度&gt;【CcCLTH_PoleOvtempLvl1LimDegC=80】℃
FaultDeassertCriteria:充电极柱最高温度&lt;=【CcCLTH_ChPoleOvtempLvl1RcvryLimDegC=75】℃；放电极柱最高温度&lt;=【CcCLTH_DischPoleOvtempLvl1RcvryLimDegC=75】℃→极柱最高温度&lt;=【CcCLTH_PoleOvtempLvl1RcvryLimDegC=75】℃
CLTH_POLE_OVER_TEMPERATURE_LEVEL2_FAULT
FaultAssertCriteria:充电极柱最高温度&gt;【CcCLTH_ChPoleOvtempLvl2LimDegC=70】℃；放电极柱最高温度&gt;【CcCLTH_DischPoleOvtempLvl2LimDegC=70】℃→极柱最高温度&gt;【CcCLTH_PoleOvtempLvl2LimDegC=70】℃
FaultDeassertCriteria:充电极柱最高温度&lt;=【CcCLTH_ChPoleOvtempLvl2RcvryLimDegC=65】℃；放电极柱最高温度&lt;=【CcCLTH_DischPoleOvtempLvl2RcvryLimDegC=65】℃→极柱最高温度&lt;=【CcCLTH_PoleOvtempLvl2RcvryLimDegC=65】℃
CLTH_POLE_OVER_TEMPERATURE_LEVEL3_FAULT
FaultAssertCriteria:充电极柱最高温度&gt;【CcCLTH_ChPoleOvtempLvl3LimDegC=65】℃；放电极柱最高温度&gt;【CcCLTH_DischPoleOvtempLvl3LimDegC=65】℃→极柱最高温度&gt;【CcCLTH_PoleOvtempLvl3LimDegC=65】℃
FaultDeassertCriteria:充电极柱最高温度&lt;=【CcCLTH_ChPoleOvtempLvl3RcvryLimDegC=60】℃；放电极柱最高温度&lt;=【CcCLTH_DischPoleOvtempLvl3RcvryLimDegC=60】℃→极柱最高温度&lt;=【CcCLTH_PoleOvtempLvl3RcvryLimDegC=60】℃
&gt;&gt;&gt;&gt;&gt;&gt;&gt;&gt;&gt;&gt;&gt;&gt;&gt;&gt;&gt;&gt;&gt;&gt;&gt;&gt;</t>
  </si>
  <si>
    <t>BMS10_RBMS,BMS11_RBMS,BMS12_RBMS,BMS13_RBMS,BMS20CN_RBMS,BMS20_RBMS,LC25_RBMS,MIC_RBMS,RTG10CN_RBMS,RTG10_RBMS,SF05T_RBMS,SF05_RBMS,SIB_RBMS-【FaultList】
Correct:
CLTH_UNDER_TEMPERATURE_LEVEL0_FAULT
FaultAssertCriteria:电芯最低温度&lt;=【CcCLTH_DischUndertempLvl0LimDegC=-40】℃ (放电)
电芯最低温度&lt;=【CcCLTH_ChUndertempLvl0LimDegC=-40】℃ （充电）→电芯最低温度&lt;【CcCLTH_DischUndertempLvl0LimDegC=-40】℃ (放电)
电芯最低温度&lt;【CcCLTH_ChUndertempLvl0LimDegC=-40】℃ （充电）
MCUD_INIT_FAULT
FaultAssertCriteria:1. CPU上电自检失败；或者
2. 片外FLASH存储的安全数据CRC校验错误（以下为或关系）；
  1. 极限欠压flag的CRC校验值错误；
  2. 极限过压flag的CRC校验值错误；
  3. 极限欠温flag的CRC校验值错误；
  4. 极限过温flag的CRC校验值错误；
  5. 极限欠流flag的CRC校验值错误；
  6. 极限过流flag的CRC校验值错误；→1. CPU上电自检失败；或者
2. 片外FLASH存储的安全数据CRC校验错误（以下为或关系）；
  1. 极限欠压flag的CRC校验值错误；
  2. 极限过压flag的CRC校验值错误；
  3. 极限欠温flag的CRC校验值错误；
  4. 极限过温flag的CRC校验值错误；
  5. 极限充电过流flag的CRC校验值错误；
  6. 极限放电过流flag的CRC校验值错误；
&gt;&gt;&gt;&gt;&gt;&gt;&gt;&gt;&gt;&gt;&gt;&gt;&gt;&gt;&gt;&gt;&gt;&gt;&gt;&gt;</t>
  </si>
  <si>
    <t>BMS20CN_RBMS,BMS20_RBMS,LC25_RBMS,RTG10CN_RBMS,RTG10_RBMS,SF05T_RBMS,SF05_RBMS-【FaultList】
Correct:
EMCR_RANK_TO_BANK_COMMUNICATION_LOST_FAULT
DiagnoseEnableCondition:上电→上电一分钟
&gt;&gt;&gt;&gt;&gt;&gt;&gt;&gt;&gt;&gt;&gt;&gt;&gt;&gt;&gt;&gt;&gt;&gt;&gt;&gt;</t>
  </si>
  <si>
    <t>BMS10_RBMS,BMS11_RBMS,BMS12_RBMS,BMS13_RBMS,BMS20CN_RBMS,BMS20_RBMS,LC25_RBMS,MIC_RBMS,RTG10CN_RBMS,RTG10_RBMS,SF05T_RBMS,SF05_RBMS,SIB_RBMS-【FaultList】
Add:
SGPC_RTC_TIME_INVALID_FAULT
&gt;&gt;&gt;&gt;&gt;&gt;&gt;&gt;&gt;&gt;&gt;&gt;&gt;&gt;&gt;&gt;&gt;&gt;&gt;&gt;</t>
  </si>
  <si>
    <t>BMS20CN_RBMS,BMS20_RBMS,LC25_RBMS,RTG10CN_RBMS,RTG10_RBMS,SF05T_RBMS,SF05_RBMS,BMS10_RBMS-【FaultList】
Add:
ACIS_HV_FUSE_FAULT
&gt;&gt;&gt;&gt;&gt;&gt;&gt;&gt;&gt;&gt;&gt;&gt;&gt;&gt;&gt;&gt;&gt;&gt;&gt;&gt;</t>
  </si>
  <si>
    <t>BMS10_RBMS,BMS11_RBMS,BMS12_RBMS,BMS13_RBMS,BMS20CN_RBMS,BMS20_RBMS,LC25_RBMS,MIC_RBMS,RTG10_RBMS,SIB_RBMS,SF05_RBMS,SF05T_RBMS,RTG10CN_RBMS-【FaultList】
Correct:
HVSS_HIGH_VOLTAGE_SENSOR_FAULT
FaultDescription:高压采样传感器故障 【BSWSHvBatVRawValVldFlg、BSWSHvLnkPosVRawValVldFlg；SbHVSS_HvSnsrFlt】→高压采样传感器故障 【BSWSHvBatVRawValVldFlg、BSWSHvLnkPosVRawValVldFlg，SbHVSS_HvSnsrPrefail；SbHVSS_HvSnsrFlt】
HVSS_BATTERY_VOLTAGE_OUT_OF_RANGE_FAULT
FaultDescription:Battery电压超范围故障 【BSWSHvBatVRawValNbr；SbHVSS_HvBatVOorFlt】→Battery电压超范围故障 【BSWSHvBatVRawValNbr，SbHVSS_HvBatVOorPrefail；SbHVSS_HvBatVOorFlt】
HVSS_LINK_POSITIVE_VOLTAGE_OUT_OF_RANGE_FAULT
FaultDescription:LinkPos电压超范围故障【BSWSHvLnkPosVRawValNbr；SbHVSS_HvLnkPosVOorFlt】→LinkPos电压超范围故障【BSWSHvLnkPosVRawValNbr，SbHVSS_HvLnkPosVOorPrefail；SbHVSS_HvLnkPosVOorFlt】
&gt;&gt;&gt;&gt;&gt;&gt;&gt;&gt;&gt;&gt;&gt;&gt;&gt;&gt;&gt;&gt;&gt;&gt;&gt;&gt;</t>
  </si>
  <si>
    <t>SystemParam: Add NVM_WRITE_FLAG_HOLD_TIME</t>
  </si>
  <si>
    <t>HVSH_MSD_OPEN_FAULT 改为 ACIS_MSD_OPEN_FAULT
CTSC_RBMS_QS_OPEN_FAULT 改为 ACIS_RBMS_QS_OPEN_FAULT</t>
  </si>
  <si>
    <t>BMS10_RBMS,BMS11_RBMS,BMS12_RBMS,BMS13_RBMS,BMS20CN_RBMS,BMS20_RBMS,LC25_RBMS,MIC_RBMS,RTG10CN_RBMS,RTG10_RBMS,SF05T_RBMS,SF05_RBMS,SIB_RBMS-【FaultList】
Correct:
ACIS_RBMS_QS_OPEN_FAULT
FaultDescription:主控QS隔离开关开【BSWSQSAuxVRawValNbr；SbCTSC_QSOpenFlt】→主控QS隔离开关开【BSWSQSAuxVRawValNbr；SbACIS_QSOpenFlt】
FaultDeassertDebounceTime:NA→【CcACIS_RBMSQSOpenFltSetTims=3000】ms
ACIS_MSD_OPEN_FAULT
FaultDescription:MSD开路(互锁)故障【BSWSMSDAuxVRawValNbr；SbHVSH_MSDOpenFlt】→MSD开路(互锁)故障【BSWSMSDAuxVRawValNbr；SbACIS_MSDOpenFlt】
FaultDeassertDebounceTime:NA→【CcACIS_MSDOpenFltSetTims=2000】ms
&gt;&gt;&gt;&gt;&gt;&gt;&gt;&gt;&gt;&gt;&gt;&gt;&gt;&gt;&gt;&gt;&gt;&gt;&gt;&gt;</t>
  </si>
  <si>
    <t>BMS10_RBMS,BMS11_RBMS,BMS12_RBMS,BMS13_RBMS,BMS20CN_RBMS,BMS20_RBMS,LC25_RBMS,MIC_RBMS,RTG10CN_RBMS,RTG10_RBMS,SF05T_RBMS,SF05_RBMS,SIB_RBMS-【FaultList】
Correct:
CSPC_RACK_OVER_CHARGE_FAULT
FaultName: CSPC_RACK_OVER_CHARGE_FAULT→SOCA_RACK_OVER_CHARGE_FAULT</t>
  </si>
  <si>
    <t>SystemParam: Macro change based on Pack +/- temp</t>
  </si>
  <si>
    <t>BMS20_RBMS-【FaultList】
Add:
CLTH_PACKPOSNEGCONN_OVER_TEMPERATURE_LEVEL1_FAULT
CLTH_PACKPOSNEGCONN_OVER_TEMPERATURE_LEVEL2_FAULT
CLTH_PACKPOSNEGCONN_OVER_TEMPERATURE_LEVEL3_FAULT
CLTS_PCB_BOARD_TEMP_SENSOR_SHORT_TO_GROUND_FAULT
CLTS_PCB_BOARD_TEMP_SENSOR_SHORT_TO_BATTERY_FAULT
Correct:
CLTS_CELL_TEMPERATURE_OUT_OF_RANGE_HIGH_FAULT
FaultAssertCriteria:任一电芯同时满足以下条件：
1. AFE电芯温度采样有效；
2. 电芯采样温度CNT值&lt;=【CcCLTS_CellTOorLoLimNbr=-9127】(&gt;125℃)→任一电芯同时满足以下条件：
1. AFE电芯温度采样有效；
2. 电芯采样温度CNT值&lt;-9126(&gt;125℃)
CLTS_CELL_TEMPERATURE_OUT_OF_RANGE_LOW_FAULT
FaultAssertCriteria:任一电芯同时满足以下条件：
1. AFE电芯温度采样有效；
2. 电芯采样温度CNT值 &gt;= 【CcCLTS_CellTOorHiLimNbr=9495】(&lt;-40℃)→任一电芯同时满足以下条件：
1. AFE电芯温度采样有效；
2. 电芯采样温度CNT值 &gt;9494(&lt;-40℃)
CLTS_CELL_TEMPERATURE_SAMPLING_MUX_FAULT
FaultAssertCriteria:任一电芯同时满足以下条件：
1. AFE电芯温度采样有效；
2. 所在MUX对GND采样温度CNT值&gt;【CcCLTS_CellTOorLoLimNbr = -9127】→任一电芯同时满足以下条件：
1. AFE电芯温度采样有效；
2. 所在MUX对GND采样温度CNT值&gt;【CcCLTS_MuxInVldLimNbr = -9127】
Delete:
THMS_PCB_BOARD_TEMP_SENSOR_SHORT_TO_GROUND_FAULT
THMS_PCB_BOARD_TEMP_SENSOR_SHORT_TO_BATTERY_FAULT
THMS_RBMS_TEMP_SENSOR_SHORT_TO_GROUND_FAULT
THMS_RBMS_TEMP_SENSOR_SHORT_TO_BATTERY_FAULT
&gt;&gt;&gt;&gt;&gt;&gt;&gt;&gt;&gt;&gt;&gt;&gt;&gt;&gt;&gt;&gt;&gt;&gt;&gt;&gt;</t>
  </si>
  <si>
    <t>BMS10_RBMS,BMS11_RBMS,BMS12_RBMS,BMS13_RBMS,BMS20CN_RBMS,BMS20_RBMS,LC25_RBMS,MIC_RBMS,RTG10CN_RBMS,RTG10_RBMS,SF05T_RBMS,SF05_RBMS-【FaultList】
Correct:
CBSS_BALANCING_LOOP_CIRCUIT_FAULT
FaultDescription:均衡回路故障【SbCBSS_BalLoopCircPreFltFlg；SbCBSS_BalLoopCircFlt】→均衡回路故障【SbCBSS_BalLoopCircPreFailFlg；SbCBSS_BalLoopCircFlt】
FaultAssertCriteria:电压mos动作后压差满足回路故障条件→均衡回路诊断周期：
1. 上电诊断
2. 每【CcCBSS_BalCircDiagDeltTiMin=1440】min诊断
同时满足以下条件，该timestep均衡回路Flt：
1. Vmin/Vmax &lt;【CcCBSS_CellVmVHighLim=3800】mV 且 &gt;【CcCBSS_CellVmVLowLim=2200】mV
2. 概要电芯电压有效
3. CellV减去CellBalActV &lt;【CcCBSS_BalDiagDltVmVLowLim=100】mV 或 &gt;【CcCBSS_BalDiagDltVmVHighLim=1500】mV
4. 均衡回路反馈状态BalFbStState为1(均衡)
5. AFECellVVldFlg有效
奇数/偶数通道异常计数：
7次中4次异常则该通道该次诊断异常
&gt;&gt;&gt;&gt;&gt;&gt;&gt;&gt;&gt;&gt;&gt;&gt;&gt;&gt;&gt;&gt;&gt;&gt;&gt;&gt;</t>
  </si>
  <si>
    <t>BMS10_RBMS,BMS20CN_RBMS,BMS20_RBMS,LC25_RBMS,RTG10CN_RBMS,RTG10_RBMS,SF05T_RBMS,SF05_RBMS-【FaultList】
Correct:
ACIS_FIRE_EXTINGUISHER_ALERT_FAULT
FaultDescription:消防一级故障→消防一级故障【BSWSFireExtAlertFlg；SbACIS_FireExtAlertFlt】
FaultAssertDebounceTime:3s→【CcACIS_FireExtAlertFltConTims=3000】ms
ACIS_HV_FUSE_FAULT
FaultDescription:高压箱熔断器故障→高压箱熔断器故障【BSWSHighVFuseFlg；SbACIS_HighVFuseFlt】
FaultAssertDebounceTime:3s→【CcACIS_HighVFuseFltConTims=3000】ms
&gt;&gt;&gt;&gt;&gt;&gt;&gt;&gt;&gt;&gt;&gt;&gt;&gt;&gt;&gt;&gt;&gt;&gt;&gt;&gt;</t>
  </si>
  <si>
    <t>BMS20CN_RBMS,BMS20_RBMS,MIC_RBMS,RTG10CN_RBMS,RTG10_RBMS-【FaultList】
Correct:
CLVH_MAXCELLV_OV_LEVEL2_FAULT
FaultAssertCriteria:最高单体电压&gt;【CcCLVH_MaxCellVOvLvl2FltVmV=3620】mV→最高单体电压&gt; (FULL_CHARGE_CELLV=3620) mV
CLVH_MINCELLV_UV_LEVEL2_FAULT
FaultAssertCriteria:最低单体电压&lt;【CcCLVH_MinCellVUvLvl2FltVmV=2500】mV→最低单体电压&lt; (FULL_DISCHARGE_CELLV=2500) mV
CLVH_MODULE_OVER_VOLTAGE_LEVEL2_FAULT
FaultAssertCriteria:任意模组电压&gt;【CcCLVH_MaxCellVOvLvl2FltVmV=3620】*模组内串数 mV→任意模组电压&gt; (FULL_CHARGE_CELLV=3620)*模组内串数 mV
CLVH_MODULE_UNDER_VOLTAGE_LEVEL2_FAULT
FaultAssertCriteria:任意模组电压&lt;【CcCLVH_MinCellVUvLvl2FltVmV=2500】*模组内串数 mV→任意模组电压&lt; (FULL_DISCHARGE_CELLV=2500)*模组内串数 mV
&gt;&gt;&gt;&gt;&gt;&gt;&gt;&gt;&gt;&gt;&gt;&gt;&gt;&gt;&gt;&gt;&gt;&gt;&gt;&gt;</t>
  </si>
  <si>
    <t>SystemParam: Add ARRANGE_TWO_HALL_SENSORS</t>
  </si>
  <si>
    <t>SystemParam: update CELL_RATE_VOLTAGE defination</t>
  </si>
  <si>
    <t>BMS10_RBMS,BMS11_RBMS,BMS12_RBMS,BMS13_RBMS,BMS14_RBMS,BMS20CN_RBMS,BMS20_RBMS,BMS21CN_RBMS,LC25_RBMS,MIC_RBMS,RTG10CN_RBMS,RTG10_RBMS,SF05T_RBMS,SF05_RBMS,SIB_RBMS-【FaultList】
Add:
CLVH_DELTAMODULEV_OL_LEVEL1_FAULT
CLVH_DELTAMODULEV_OL_LEVEL2_FAULT
CLVH_DELTAMODULEV_OL_LEVEL3_FAULT
&gt;&gt;&gt;&gt;&gt;&gt;&gt;&gt;&gt;&gt;&gt;&gt;&gt;&gt;&gt;&gt;&gt;&gt;&gt;&gt;</t>
  </si>
  <si>
    <t>all RBMS- 【SystemParameter】
Delete:
TEMP_RISE_60S_METHOD
&gt;&gt;&gt;&gt;&gt;&gt;&gt;&gt;&gt;&gt;&gt;&gt;&gt;&gt;&gt;&gt;&gt;&gt;&gt;&gt;</t>
  </si>
  <si>
    <t>BMS10_RBMS,BMS11_RBMS,BMS12_RBMS,BMS13_RBMS,BMS14_RBMS,BMS20CN_RBMS,BMS20_RBMS,BMS21CN_RBMS,LC25_RBMS,MIC_RBMS,RTG10CN_RBMS,RTG10_RBMS,SF05T_RBMS,SF05_RBMS,SIB_RBMS-【FaultList】
Correct:
CLVH_MAXCELLV_OV_LEVEL2_FAULT
FaultResponse:→禁充；放电按照故障等级响应
CLVH_MINCELLV_UV_LEVEL2_FAULT
FaultResponse:→禁放；充电按照故障等级响应
HVSH_BATTERY_OVER_VOLTAGE_LEVEL2_FAULT
FaultResponse:→禁充；放电按照故障等级响应
HVSH_BATTERY_UNDER_VOLTAGE_LEVEL2_FAULT
FaultResponse:→禁放；充电按照故障等级响应
&gt;&gt;&gt;&gt;&gt;&gt;&gt;&gt;&gt;&gt;&gt;&gt;&gt;&gt;&gt;&gt;&gt;&gt;&gt;&gt;</t>
  </si>
  <si>
    <t>BMS10_RBMS,BMS11_RBMS,BMS12_RBMS,BMS13_RBMS,BMS14_RBMS,BMS20CN_RBMS,BMS20_RBMS,BMS21CN_RBMS,LC25_RBMS,MIC_RBMS,RTG10CN_RBMS,RTG10_RBMS,SF05T_RBMS,SF05_RBMS,SIB_RBMS-【FaultList】
Correct:
MCUD_RESET_FAULT
FaultDescription:MCU故障复位原因【BSWSMCURstRsnNbr】→MCU故障复位原因【故障已删除】
MCUD_MEMORY_INTERNAL_DATA_FAULT
FaultDescription:MCU内部数据及存储地址错误故障→MCU内部数据及存储地址错误故障【故障已删除】
MCUD_INIT_FAULT
DiagnoseEnableCondition:上电或MCU复位→上电（CRC校验值已默认仅在MCU上电或复位时检测）
FaultAssertCriteria:1. CPU上电自检失败；或者
2. 片外FLASH存储的安全数据CRC校验错误（以下为或关系）；
  1. 极限欠压flag的CRC校验值错误；
  2. 极限过压flag的CRC校验值错误；
  3. 极限欠温flag的CRC校验值错误；
  4. 极限过温flag的CRC校验值错误；
  5. 极限充电过流flag的CRC校验值错误；
  6. 极限放电过流flag的CRC校验值错误；→片外FLASH存储的安全数据CRC校验错误（以下为或关系）：
  1. 极限欠压flag的CRC校验值错误；
  2. 极限过压flag的CRC校验值错误；
  3. 极限欠温flag的CRC校验值错误；
  4. 极限过温flag的CRC校验值错误；
  5. 极限充电过流flag的CRC校验值错误；
  6. 极限放电过流flag的CRC校验值错误；
&gt;&gt;&gt;&gt;&gt;&gt;&gt;&gt;&gt;&gt;&gt;&gt;&gt;&gt;&gt;&gt;&gt;&gt;&gt;&gt;</t>
  </si>
  <si>
    <t>所有项目添加 Classification列</t>
  </si>
  <si>
    <t>BMS10_RBMS,BMS11_RBMS,BMS12_RBMS,BMS13_RBMS,BMS14_RBMS,BMS20CN_RBMS,BMS20_RBMS,BMS21CN_RBMS,LC25_RBMS,MIC_RBMS,RTG10CN_RBMS,RTG10_RBMS,SF05T_RBMS,SF05_RBMS,SIB_RBMS-【FaultList】
Correct:
CLTS_CELL_TEMPERATURE_REDUNDANT_DETECT_FAULT
FaultAssertCriteria:任一组配对的两个电芯同时满足以下条件：
1. AFE电芯温度采样有效；
2. 无电芯温度采样MUX故障；
3. 无电芯温度采样超范围故障：无电芯温度采样短地(STG)、电芯温度采样短电源(STB or Oc)故障；
4. 温度差值的绝对值&gt;【CcCLTS_NTCRedunChkThrdDegC=6】℃→任一组配对的两个电芯同时满足以下条件：
1. AFE电芯温度采样有效；
2. 无电芯温度采样MUX故障；
3. 无电芯温度采样超范围故障：无电芯温度采样短地(STG)、电芯温度采样短电源(STB or Oc)故障；
4. 温度差值的绝对值&gt;【CcCLTS_NTCRedunChkThrdDegC=25】℃
&gt;&gt;&gt;&gt;&gt;&gt;&gt;&gt;&gt;&gt;&gt;&gt;&gt;&gt;&gt;&gt;&gt;&gt;&gt;&gt;</t>
  </si>
  <si>
    <t>BMS11_RBMS,BMS12_RBMS,BMS13_RBMS,BMS14_RBMS,BMS20CN_RBMS,BMS20_RBMS,BMS21CN_RBMS,LC25_RBMS,MIC_RBMS,RTG10CN_RBMS,RTG10_RBMS,SF05T_RBMS,SF05_RBMS,SIB_RBMS,BMS10_RBMS-【FaultList】
Correct:
ACIS_RBMS_QS_OPEN_FAULT
FaultDescription:主控QS隔离开关开【BSWSQSAuxVRawValNbr；SbACIS_QSOpenFlt】→隔离开关开【BSWSQSAuxVRawValNbr；SbACIS_QSOpenFlt】
&gt;&gt;&gt;&gt;&gt;&gt;&gt;&gt;&gt;&gt;&gt;&gt;&gt;&gt;&gt;&gt;&gt;&gt;&gt;&gt;</t>
  </si>
  <si>
    <t>add col "Justification" in FaultList
&gt;&gt;&gt;&gt;&gt;&gt;&gt;&gt;&gt;&gt;&gt;&gt;&gt;&gt;&gt;&gt;&gt;&gt;&gt;&gt;</t>
  </si>
  <si>
    <t>15个项目：BMS10_RBMS，BMS11_RBMS，BMS12_RBMS，BMS13_RBMS，BMS14_RBMS，BMS20CN_RBMS，BMS20_RBMS，BMS21CN_RBMS，LC25_RBMS，MIC_RBMS，RTG10CN_RBMS，RTG10_RBMS，SF05T_RBMS，SF05_RBMS，SIB_RBMS
【FaultList】
Correct:
MCUD_RESET_FAULT
Justification：  → 【冗余定义检查】：故障已删除
MCUD_MEMORY_INTERNAL_DATA_FAULT
Justification：  → 【冗余定义检查】：故障已删除</t>
  </si>
  <si>
    <t>15个项目：BMS10_RBMS，BMS11_RBMS，BMS12_RBMS，BMS13_RBMS，BMS14_RBMS，BMS20CN_RBMS，BMS20_RBMS，BMS21CN_RBMS，LC25_RBMS，MIC_RBMS，RTG10CN_RBMS，RTG10_RBMS，SF05T_RBMS，SF05_RBMS，SIB_RBMS
【FaultList】
Correct:
LVPS_RELAY_POWER_SUPPLY_OVERORUNDER_VOLTAGE_FAULT
FaultAssertCriteria：电压值&lt;【CcLVPS_RlyPwrSupplyUnThd=19.2】或
电压值&gt;【CcLVPS_RlyPwrSupplyOvThd=32】 → 电压值&lt;【CcLVPS_RlyPwrSupplyUnThd=0】或
电压值&gt;【CcLVPS_RlyPwrSupplyOvThd=39.5】
LVPS_CURRENT_SENSOR_POWER_SUPPLY_OVERORUNDER_VOLTAGE_FAULT
FaultAssertCriteria：电压值&lt;【CcLVPS_CurrSnsrPowSplyUnThd=7.2】或 
电压值&gt;【CcLVPS_CurrSnsrPowSplyOvThd=18】 → 电压值&lt;【CcLVPS_CurrSnsrPowSplyUnThd=0】或 
电压值&gt;【CcLVPS_CurrSnsrPowSplyOvThd=18.6】
LVPS_24V_INTERNAL_POWER_SUPPLY_OVERORUNDER_VOLTAGE_FAULT
FaultAssertCriteria：电压值&lt;【CcLVPS_24VIntPwrSplyUnThd=16】或
电压值&gt;【CcLVPS_24VIntPwrSplyOvThd=32】 → 电压值&lt;【CcLVPS_24VIntPwrSplyUnThd=0】或
电压值&gt;【CcLVPS_24VIntPwrSplyOvThd=39.5】</t>
  </si>
  <si>
    <t>15个项目：BMS10_RBMS，BMS11_RBMS，BMS12_RBMS，BMS13_RBMS，BMS14_RBMS，BMS20CN_RBMS，BMS20_RBMS，BMS21CN_RBMS，LC25_RBMS，MIC_RBMS，RTG10CN_RBMS，RTG10_RBMS，SF05T_RBMS，SF05_RBMS，SIB_RBMS
【FaultList】
Add:
AFES_DAISY_CHAIN_COUNTER_ERROR_FAULT
AFES_CELL_VOLTAGE_REDUNDABCY_DETECT_FAULT
AFES_NTC_POWER_SUPPLY_FAULT
Correct:
AFES_DAISY_CHAIN_NO_UPDATE_FAULT
FaultAssertCriteria：任一菊花链不更新 → 主副菊花链都不更新
FaultDescription：菊花链通信丢失故障【BSWSDaisyChainUpdFlg；SbAFES_DaisyChainNoUpdFlt】 → 菊花链通信丢失故障【DaisyChainUpdPreFltFlg；DaisyChainUpdFltFlg】
AFES_CRC_FAULT
FaultAssertCriteria：电压或温度CRC采样异常 → AFE采样数据的CRC校验不通过
FaultDescription：电芯电压温度采样CRC故障【BSWSAFEMsgCRCResActNbr：0x2,0x4；SbAFES_AFECRCFlt】 → AFE采样CRC故障【AFEMsgCRCPreFltFlg；AFEMsgCRCFltFlg】
AFES_DAISY_CHAIN_SINGLE_POINT_OFF_FAULT
FaultAssertDebounceTime：【CcAFES_DaisyChainSngPointOffFltSetTims=10000】ms → 【CcAFES_DaisyChainSngPointOffFltSetTims=3000】ms
FaultDeassertDebounceTime：【CcAFES_DaisyChainSngPointOffFltClrTims=10000】ms → 【CcAFES_DaisyChainSngPointOffFltClrTims=3000】ms
FaultDescription：菊花链单点断线【BSWSDaisyChainDiagInfoNbr；DaisyChainSngPointOffFlt】 → 菊花链单点断线【DaisyChainSngPointOffPreFltFlg；DaisyChainSngPointOffFltFlg】
AFES_DAISY_CHAIN_MULTIPLE_POINT_OFF_FAULT
FaultAssertDebounceTime：【CcAFES_DaisyChainMplPointOffFltSetTims=10000】ms → 【CcAFES_DaisyChainMplPointOffFltSetTims=3000】ms
FaultDescription：菊花链多点断线【BSWSDaisyChainDiagInfoNbr；DaisyChainMplPointOffFlt】 → 菊花链多点断线【DaisyChainMplPointOffPreFltFlg；DaisyChainMplPointOffFltFlg】
AFES_AFE_FAULT
DiagnoseEnableCondition：上电 → 无菊花链通信故障（CRC故障、Counter故障、通信丢失、多点断线）
FaultAssertCriteria：任一底层AFE诊断信号置位(bit1~bit4任一置1) → 任一AFE故障诊断信息中出现以下任一故障：
AFE电压源故障
AFE电压源超范围故障
AFE内部时钟故障
AFE误进测试模式故障
AFE误进睡眠模式故障
AFE NVM故障
AFE 冗余SPI故障
FaultDescription：AFE硬件故障【SaAFES_AFEVldFlg；SbAFES_AFEFlt】 → AFE硬件故障【AFEPreFltFlg；AFEFltFlg】
AFES_CELL_VOLTAGE_SAMPLING_LINE_OFF_FAULT
DiagnoseEnableCondition：上电 → 1.无菊花链通信故障（CRC故障、Counter故障、通信丢失、多点断线）
2. 无AFE硬件故障
FaultAssertCriteria：任一电压采样线掉线 → 任一电芯电压采样线掉线
FaultDescription：电芯电压采样线掉线【SbAFES_CellVSamplgLineOffPreFltFlg；SbAFES_CellVSamplgLineOffFlt】 → 电芯电压采样线掉线【CellVSamplgLineOffPreFltFlg；CellVSamplgLineOffFltFlg】</t>
  </si>
  <si>
    <t>5个项目：BMS20CN_RBMS，BMS20_RBMS，MIC_RBMS，RTG10CN_RBMS，RTG10_RBMS
【FaultList】
Correct:
CLTH_CHG_OVER_TEMPERATURE_LEVEL1_FAULT
FaultAssertCriteria：电芯充电最高温度&gt;【CcCLTH_ChOvtempLvl1LimDegC=65】℃ → 处于充电状态，且电芯最高温度&gt;【CcCLTH_ChOvtempLvl1LimDegC=65】℃
CLTH_CHG_OVER_TEMPERATURE_LEVEL2_FAULT
FaultAssertCriteria：电芯充电最高温度&gt;【CcCLTH_ChOvtempLvl2LimDegC=60】℃ → 处于充电状态，且电芯最高温度&gt;【CcCLTH_ChOvtempLvl2LimDegC=60】℃
FaultDeassertCriteria：电芯充电最高温度&lt;=【CcCLTH_ChOvtempLvl2RcvryLimDegC=55】℃ → 满足以下条件之一：
1. 处于充电或静置状态，且电芯最高温度&lt;=【CcCLTH_ChOvtempLvl2RcvryLimDegC=55】℃；
2. 转换为放电状态；
CLTH_CHG_OVER_TEMPERATURE_LEVEL3_FAULT
FaultAssertCriteria：电芯充电最高温度&gt;【CcCLTH_ChOvtempLvl3LimDegC=55】℃ → 处于充电状态，且电芯最高温度&gt;【CcCLTH_ChOvtempLvl3LimDegC=55】℃
FaultDeassertCriteria：电芯充电最高温度&lt;=【CcCLTH_ChOvtempLvl3RcvryLimDegC=50】℃ → 满足以下条件之一：
1. 处于充电或静置状态，且电芯最高温度&lt;=【CcCLTH_ChOvtempLvl3RcvryLimDegC=50】℃；
2. 转换为放电状态；
CLTH_DSG_OVER_TEMPERATURE_LEVEL1_FAULT
FaultAssertCriteria：电芯放电最高温度&gt;【CcCLTH_DischOvtempLvl1LimDegC=65】℃ → 处于放电状态，且电芯最高温度&gt;【CcCLTH_DischOvtempLvl1LimDegC=65】℃
CLTH_DSG_OVER_TEMPERATURE_LEVEL2_FAULT
FaultAssertCriteria：电芯放电最高温度&gt;【CcCLTH_DischOvtempLvl2LimDegC=60】℃ → 处于放电状态，且电芯最高温度&gt;【CcCLTH_DischOvtempLvl2LimDegC=60】℃
FaultDeassertCriteria：电芯放电最高温度&lt;=【CcCLTH_DischOvtempLvl2RcvryLimDegC=55】℃ → 满足以下条件之一：
1. 处于放电或静置状态，且电芯最高温度&lt;=【CcCLTH_DischOvtempLvl2RcvryLimDegC=55】℃；
2. 转换为充电状态；
CLTH_DSG_OVER_TEMPERATURE_LEVEL3_FAULT
FaultAssertCriteria：电芯放电最高温度&gt;【CcCLTH_DischOvtempLvl3LimDegC=55】℃ → 处于放电状态，且电芯最高温度&gt;【CcCLTH_DischOvtempLvl3LimDegC=55】℃
FaultDeassertCriteria：电芯放电最高温度&lt;=【CcCLTH_DischOvtempLvl3RcvryLimDegC=50】℃ → 满足以下条件之一：
1. 处于放电或静置状态，且电芯最高温度&lt;=【CcCLTH_DischOvtempLvl3RcvryLimDegC=50】℃；
2. 转换为充电状态；
CLTH_OVER_TEMPERATURE_LEVEL0_FAULT
FaultAssertCriteria：电芯最高温度&gt;=【CcCLTH_DischOvtempLvl0LimDegC=70】℃ (放电)
电芯最高温度&gt;=【CcCLTH_ChOvtempLvl0LimDegC=70】℃ （充电） → 满足以下条件之一：
1. 处于放电或静置状态，且电芯最高温度&gt;=【CcCLTH_DischOvtempLvl0LimDegC=70】℃；
2. 处于充电状态，且电芯最高温度&gt;=【CcCLTH_ChOvtempLvl0LimDegC=70】℃ ；
CLTH_CHG_UNDER_TEMPERATURE_LEVEL1_FAULT
FaultAssertCriteria：电芯充电最低温度&lt; 【CcCLTH_ChUnderTLvl1LimDegC=-30】℃ → 处于充电状态，且电芯最低温度&lt; 【CcCLTH_ChUnderTLvl1LimDegC=-30】℃
CLTH_CHG_UNDER_TEMPERATURE_LEVEL2_FAULT
FaultAssertCriteria：电芯充电最低温度&lt; 【CcCLTH_ChUnderTLvl2LimDegC=0】℃ → 处于充电状态，且电芯最低温度&lt; 【CcCLTH_ChUnderTLvl2LimDegC=0】℃
FaultDeassertCriteria：电芯充电最低温度&gt;=【CcCLTH_ChUnderTLvl2RcvryLimDegC=5】℃ → 满足以下条件之一：
1. 处于充电或静置状态，且电芯最低温度&gt;=【CcCLTH_ChUnderTLvl2RcvryLimDegC=5】℃；
2. 转换为放电状态；
CLTH_CHG_UNDER_TEMPERATURE_LEVEL3_FAULT
FaultAssertCriteria：电芯充电最低温度&lt; 【CcCLTH_ChUnderTLvl3LimDegC=5】℃ → 处于充电状态，且电芯最低温度&lt; 【CcCLTH_ChUnderTLvl3LimDegC=5】℃
FaultDeassertCriteria：电芯充电最低温度&gt;=【CcCLTH_ChUnderTLvl3RcvryLimDegC=10】℃ → 满足以下条件之一：
1. 处于充电或静置状态，且电芯最低温度&gt;=【CcCLTH_ChUnderTLvl3RcvryLimDegC=10】℃；
2. 转换为放电状态；
CLTH_DSG_UNDER_TEMPERATURE_LEVEL1_FAULT
FaultAssertCriteria：电芯放电最低温度&lt; 【CcCLTH_DischUnderTLvl1LimDegC=-35】℃ → 处于放电状态，且电芯最低温度&lt; 【CcCLTH_DischUnderTLvl1LimDegC=-35】℃
CLTH_DSG_UNDER_TEMPERATURE_LEVEL2_FAULT
FaultAssertCriteria：电芯放电最低温度&lt; 【CcCLTH_DischUnderTLvl2LimDegC=-30】℃ → 处于放电状态，且电芯最低温度&lt; 【CcCLTH_DischUnderTLvl2LimDegC=-30】℃
FaultDeassertCriteria：电芯放电最低温度&gt;=【CcCLTH_DischUnderTLvl2RcvryLimDegC=-25】℃ → 满足以下条件之一：
1. 处于放电或静置状态，且电芯最低温度&gt;=【CcCLTH_DischUnderTLvl2RcvryLimDegC=-25】℃；
2. 转换为充电状态；
CLTH_DSG_UNDER_TEMPERATURE_LEVEL3_FAULT
FaultAssertCriteria：电芯放电最低温度&lt; 【CcCLTH_DischUnderTLvl3LimDegC=0】℃ → 处于放电状态，且电芯最低温度&lt; 【CcCLTH_DischUnderTLvl3LimDegC=0】℃
FaultDeassertCriteria：电芯放电最低温度&gt;=【CcCLTH_DischUnderTLvl3RcvryLimDegC=5】℃ → 满足以下条件之一：
1. 处于放电或静置状态，且电芯最低温度&gt;=【CcCLTH_DischUnderTLvl3RcvryLimDegC=5】℃；
2. 转换为充电状态；
CLTH_UNDER_TEMPERATURE_LEVEL0_FAULT
FaultAssertCriteria：电芯最低温度&lt;【CcCLTH_DischUndertempLvl0LimDegC=-40】℃ (放电)
电芯最低温度&lt;【CcCLTH_ChUndertempLvl0LimDegC=-40】℃ （充电） → 满足以下条件之一：
1. 处于放电或静置状态，且电芯最低温度&lt;【CcCLTH_DischUndertempLvl0LimDegC=-40】℃；
2. 处于充电状态，且电芯最低温度&lt;【CcCLTH_ChUndertempLvl0LimDegC=-40】℃；</t>
  </si>
  <si>
    <t>15个项目：BMS10_RBMS，BMS11_RBMS，BMS12_RBMS，BMS13_RBMS，BMS14_RBMS，BMS20CN_RBMS，BMS20_RBMS，BMS21CN_RBMS，LC25_RBMS，MIC_RBMS，RTG10CN_RBMS，RTG10_RBMS，SF05T_RBMS，SF05_RBMS，SIB_RBMS
【SystemParameter】
Delete:
CELL_TYPE
PROJECT_TYPE</t>
  </si>
  <si>
    <t>14个项目：BMS10_RBMS，BMS11_RBMS，BMS12_RBMS，BMS13_RBMS，BMS20CN_RBMS，BMS20_RBMS，BMS21CN_RBMS，LC25_RBMS，MIC_RBMS，RTG10CN_RBMS，RTG10_RBMS，SF05T_RBMS，SF05_RBMS，SIB_RBMS
【FaultList】
Correct:
BTCS_CANBATI_IMPLY_FAULT
DiagnoseEnableCondition：电流传感器硬件诊断信息有效 → 上电
FaultAssertCriteria：电流传感器值无效 → 电流传感器失效（满足任一失效模式：1、电流超过520A；2、闭环参考电压超范围；3、信号无效超过100ms；4、供电电压超范围。）
BTCS_CANBATI_ZERODRIFT_FAULT
DiagnoseEnableCondition：电流传感器无报文超时故障；
电流传感器报文无RollingCounter故障；
电流传感器无CRC故障；
电流传感器诊断信息有效； → 电流传感器无报文超时故障；
电流传感器报文无RollingCounter故障；
电流传感器无CRC故障；
电流传感器诊断OK；
FaultAssertCriteria：高压继电器断开，且电流传感器报文值大于2A或小于-2A → 高压继电器断开，且电流传感器报文值绝对值大于等于零飘电流值（CURRENT_SENSOR_ZERO_DRIFT_A）</t>
  </si>
  <si>
    <t>15个项目：BMS10_RBMS，BMS11_RBMS，BMS12_RBMS，BMS13_RBMS，BMS14_RBMS，BMS20CN_RBMS，BMS20_RBMS，BMS21CN_RBMS，LC25_RBMS，MIC_RBMS，RTG10CN_RBMS，RTG10_RBMS，SF05T_RBMS，SF05_RBMS，SIB_RBMS
【FaultList】
Correct:
AFES_AFE_OVER_TEMPERATURE_FAULT
FaultAssertCriteria：AFE Chip温度&gt;【CcCLTH_AFEOvTempLimDegC=120】℃ → AFE Chip温度&gt;【CcAFES_AFEOvTempLimDegC=120】℃
FaultAssertDebounceTime：【CcCLTH_TempWarnJudgeDur=3000】ms → 【CcAFES_TempWarnJudgeDur=3000】ms
FaultDescription：AFE芯片过温报警【SbCLTH_AFEChipTVldFlg、ScCLTH_MaxAFETDegC；SbCLTH_AFEOvrTFlt】 → AFE芯片过温报警【ChipTOverPreFltFlg；ChipTOverFltFlg】
FaultName：CLTH_AFE_OVER_TEMPERATURE_FAULT → AFES_AFE_OVER_TEMPERATURE_FAULT</t>
  </si>
  <si>
    <t>15个项目：BMS10_RBMS，BMS11_RBMS，BMS12_RBMS，BMS13_RBMS，BMS14_RBMS，BMS20CN_RBMS，BMS20_RBMS，BMS21CN_RBMS，LC25_RBMS，MIC_RBMS，RTG10CN_RBMS，RTG10_RBMS，SF05T_RBMS，SF05_RBMS，SIB_RBMS
【FaultList】
Correct:
CTSC_MAIN_POSITIVE_RELAY_DRIVER_CIRCUIT_FAULT
EnableFault：0 → 1
CTSC_MAIN_NEGATIVE_RELAY_DRIVER_CIRCUIT_FAULT
EnableFault：0 → 1
CTSC_RELAY_DRIVER_SAMPLING_SELECT_CHANNEL_FAULT
EnableFault：0 → 1
CTSC_MAINPOS_AUX_CONTACT_ST_FAULT
FaultDescription：主正继电器辅助触点电路故障【BSWSMainPosRlyAuxVRawValNbr】 → 主正继电器辅助触点电路故障【故障已删除】
Justification：  → 【冗余定义检查】：故障已删除
CTSC_MAINNEG_AUX_CONTACT_ST_FAULT
FaultDescription：主负继电器辅助触点电路故障【BSWSMainPosRlyAuxVRawValNbr】 → 主负继电器辅助触点电路故障【故障已删除】
Justification：  → 【冗余定义检查】：故障已删除
CTSC_RBMS_EPO_OPEN_FAULT
FaultDescription：主控EPO开 【BSWSEPOAuxVRawValNbr；SbCTSC_EPOOpenFlg】 → 主控EPO开 【故障已删除】
Justification：  → 【冗余定义检查】：故障已删除</t>
  </si>
  <si>
    <t>15个项目：BMS10_RBMS，BMS11_RBMS，BMS12_RBMS，BMS13_RBMS，BMS14_RBMS，BMS20CN_RBMS，BMS20_RBMS，BMS21CN_RBMS，LC25_RBMS，MIC_RBMS，RTG10CN_RBMS，RTG10_RBMS，SF05T_RBMS，SF05_RBMS，SIB_RBMS
【FaultList】
Correct:
CTSC_MAIN_POSITIVE_RELAY_DRIVER_CIRCUIT_FAULT
EnableFault：_x0001_ → 0
CTSC_MAIN_NEGATIVE_RELAY_DRIVER_CIRCUIT_FAULT
EnableFault：_x0001_ → 0</t>
  </si>
  <si>
    <t>15个项目：BMS10_RBMS，BMS11_RBMS，BMS12_RBMS，BMS13_RBMS，BMS14_RBMS，BMS20CN_RBMS，BMS20_RBMS，BMS21CN_RBMS，LC25_RBMS，MIC_RBMS，RTG10CN_RBMS，RTG10_RBMS，SF05T_RBMS，SF05_RBMS，SIB_RBMS
【SystemParameter】
Add:
FUN_SAFETY_RESET</t>
  </si>
  <si>
    <t>15个项目：BMS10_RBMS，BMS11_RBMS，BMS12_RBMS，BMS13_RBMS，BMS14_RBMS，BMS20CN_RBMS，BMS20_RBMS，BMS21CN_RBMS，LC25_RBMS，MIC_RBMS，RTG10CN_RBMS，RTG10_RBMS，SF05T_RBMS，SF05_RBMS，SIB_RBMS
【SystemParameter】
Add:
RACK_POLE_TEMPERATURE_NUMBER_MAX
RACK_MODULE_CONN_TEMPERATURE_NUMBER_MAX</t>
  </si>
  <si>
    <t>15个项目：BMS10_RBMS，BMS11_RBMS，BMS12_RBMS，BMS13_RBMS，BMS14_RBMS，BMS20CN_RBMS，BMS20_RBMS，BMS21CN_RBMS，LC25_RBMS，MIC_RBMS，RTG10CN_RBMS，RTG10_RBMS，SF05T_RBMS，SF05_RBMS，SIB_RBMS
【FaultList】
Correct:
CTSC_MAIN_POSITIVE_RELAY_DRIVER_CIRCUIT_FAULT
EnableFault：0 → 1
CTSC_MAIN_NEGATIVE_RELAY_DRIVER_CIRCUIT_FAULT
EnableFault：0 → 1</t>
  </si>
  <si>
    <t>15个项目：BMS10_RBMS，BMS11_RBMS，BMS12_RBMS，BMS13_RBMS，BMS14_RBMS，BMS20CN_RBMS，BMS20_RBMS，BMS21CN_RBMS，LC25_RBMS，MIC_RBMS，RTG10CN_RBMS，RTG10_RBMS，SF05T_RBMS，SF05_RBMS，SIB_RBMS
【SystemParameter】
Add:
RACK_NUMBER_FOR_EVERY_BANK_MAX</t>
  </si>
  <si>
    <t>15个项目：BMS10_RBMS，BMS11_RBMS，BMS12_RBMS，BMS13_RBMS，BMS14_RBMS，BMS20CN_RBMS，BMS20_RBMS，BMS21CN_RBMS，LC25_RBMS，MIC_RBMS，RTG10CN_RBMS，RTG10_RBMS，SF05T_RBMS，SF05_RBMS，SIB_RBMS
【FaultList】
Correct:
CLTH_CONTROL_BOX_AMBIENT_OVER_TEMP_LEVEL1_FAULT
FaultDescription：Control Box ambient over temperature level1【ScCLTH_CtlBoxTMaxDegC；SbCLTH_AmbientOvTLvl1Flt】 → 控制盒过温一级【ScCLTH_CtlBoxTMaxDegC；SbCLTH_AmbientOvTLvl1Flt】
CLTH_CONTROL_BOX_AMBIENT_OVER_TEMP_LEVEL2_FAULT
FaultDescription：Control Box ambient over temperature level2【ScCLTH_CtlBoxTMaxDegC；SbCLTH_AmbientOvTLvl2Flt】 → 控制盒过温二级【ScCLTH_CtlBoxTMaxDegC；SbCLTH_AmbientOvTLvl2Flt】
CLTH_CONTROL_BOX_AMBIENT_OVER_TEMP_LEVEL3_FAULT
FaultDescription：Control Box ambient over temperature level3【ScCLTH_CtlBoxTMaxDegC；SbCLTH_AmbientOvTLvl3Flt】 → 控制盒过温三级【ScCLTH_CtlBoxTMaxDegC；SbCLTH_AmbientOvTLvl3Flt】</t>
  </si>
  <si>
    <t>15个项目：BMS10_RBMS，BMS11_RBMS，BMS12_RBMS，BMS13_RBMS，BMS14_RBMS，BMS20CN_RBMS，BMS20_RBMS，BMS21CN_RBMS，LC25_RBMS，MIC_RBMS，RTG10CN_RBMS，RTG10_RBMS，SF05T_RBMS，SF05_RBMS，SIB_RBMS
【FaultList】
Correct:
CTSC_MAIN_POSITIVE_RELAY_DRIVER_CIRCUIT_FAULT
EnableFault：1 → 1
FaultAssertCriteria：满足以下任一条件：
1.当主正继电器的高低边控制命令都为闭合时，主正高边采集的电流&lt;=【CcCTSC_MainPosRlyHsdDrvCurZeroDriftValuemA=10】mA；
2.当主正继电器的高低边控制命令都为闭合时，主正低边采集的电压&lt;=【CcCTSC_MainPosRlyLsdDrvVoltZeroDriftValueV=1】V；
3.当主正继电器的高低边控制命令至少一个为断开时，主正高边采集的电流&gt;【CcCTSC_MainPosRlyHsdDrvCurZeroDriftValuemA=10】mA；
4.当主正继电器的高低边控制命令至少一个为断开时，主正低边采集的电压&gt;【CcCTSC_MainPosRlyLsdDrvVoltZeroDriftValueV=1】V；
5.当主正继电器的高低边控制命令都为闭合时，主正驱动电流&gt;【CcCTSC_MainPosRlyDriveCurrOverThdmA=429】mA或主负驱动电流&lt;【CcCTSC_MainPosRlyDriveCurrUnderThdmA=146】mA； → 常开继电器满足以下任一条件：
1.当主正继电器的高低边控制命令都为闭合 或者都为断开时 或者高边断开低边闭合，主正低边采集的电压&gt;【CcCTSC_MainPosRlyLsdDrvVoltZeroDriftValueV=1】V；
2.当主正继电器的高边闭合，低边断开时，主正低边采集的电压&lt;=【CcCTSC_MainPosRlyLsdDrvVoltZeroDriftValueV=1】V
3.当主正继电器的高低边控制命令至少一个为断开时，主正高边采集的电流&gt;【CcCTSC_MainPosRlyHsdDrvCurZeroDriftValuemA=10】mA；
4.当主正继电器的高低边控制命令都为闭合时，主正驱动电流&gt;【CcCTSC_MainPosRlyDriveCurrOverThdmA=429】mA或主正驱动电流&lt;【CcCTSC_MainPosRlyDriveCurrUnderThdmA=146】mA；
常闭继电器满足以下任一条件：
1.当主正继电器的高低边控制命令都为闭合 或者高边断开低边闭合，主正低边采集的电压&gt;【CcCTSC_MainPosRlyLsdDrvVoltZeroDriftValueV=1】V；
2.当主正继电器的高边闭合低边断开 或者都为断开时，主正低边采集的电压&lt;=【CcCTSC_MainPosRlyLsdDrvVoltZeroDriftValueV=1】V
3.当主正继电器的高低边控制命令至少一个为断开时，主正高边采集的电流&gt;【CcCTSC_MainPosRlyHsdDrvCurZeroDriftValuemA=10】mA；
4.当主正继电器的高低边控制命令都为闭合时，主正驱动电流&gt;【CcCTSC_MainPosRlyDriveCurrOverThdmA=429】mA或主正驱动电流&lt;【CcCTSC_MainPosRlyDriveCurrUnderThdmA=146】mA；
CTSC_MAIN_NEGATIVE_RELAY_DRIVER_CIRCUIT_FAULT
EnableFault：1 → 1
FaultAssertCriteria：满足以下任一条件：
1.当主负继电器的高低边控制命令都为闭合时，主负高边采集的电流&lt;=【CcCTSC_MainNegRlyHsdDrvCurZeroDriftValuemA=10】mA；
2.当主负继电器的高低边控制命令都为闭合时，主负低边采集的电压&lt;=【CcCTSC_MainNegRlyLsdDrvVoltZeroDriftValueV=1】V；
3.当主负继电器的高低边控制命令至少一个为断开时，主负高边采集的电流&gt;【CcCTSC_MainNegRlyHsdDrvCurZeroDriftValuemA=10】mA；
4.当主负继电器的高低边控制命令至少一个为断开时，主负低边采集的电压&gt;【CcCTSC_MainNegRlyLsdDrvVoltZeroDriftValueV=1】V；
5.当主负继电器的高低边控制命令都为闭合时，主负驱动电流&gt;【CcCTSC_MainNegRlyDriveCurrOverThdmA=429】mA或主负驱动电流&lt;【CcCTSC_MainNegRlyDriveCurrUnderThdmA=146】mA → 常开继电器满足以下任一条件：
1.当主负继电器的高低边控制命令都为闭合 或者都为断开时 或者高边断开低边闭合，主负低边采集的电压&gt;【CcCTSC_MainNegRlyLsdDrvVoltZeroDriftValueV=1】V；
2.当主负继电器的高边闭合，低边断开时，主负低边采集的电压&lt;=【CcCTSC_MainNegRlyLsdDrvVoltZeroDriftValueV=1】V
3.当主负继电器的高低边控制命令至少一个为断开时，主负高边采集的电流&gt;【CcCTSC_MainNegRlyHsdDrvCurZeroDriftValuemA=10】mA；
4.当主负继电器的高低边控制命令都为闭合时，主负驱动电流&gt;【CcCTSC_MainNegRlyDriveCurrOverThdmA=429】mA或主负驱动电流&lt;【CcCTSC_MainNegRlyDriveCurrUnderThdmA=146】mA；
常闭继电器满足以下任一条件：
1.当主负继电器的高低边控制命令都为闭合 或者高边断开低边闭合，主负低边采集的电压&gt;【CcCTSC_MainNegRlyLsdDrvVoltZeroDriftValueV=1】V；
2.当主负继电器的高边闭合低边断开 或者都为断开时，主负低边采集的电压&lt;=【CcCTSC_MainNegRlyLsdDrvVoltZeroDriftValueV=1】V
3.当主负继电器的高低边控制命令至少一个为断开时，主负高边采集的电流&gt;【CcCTSC_MainNegRlyHsdDrvCurZeroDriftValuemA=10】mA；
4.当主负继电器的高低边控制命令都为闭合时，主负驱动电流&gt;【CcCTSC_MainNegRlyDriveCurrOverThdmA=429】mA或主负驱动电流&lt;【CcCTSC_MainNegRlyDriveCurrUnderThdmA=146】mA；</t>
  </si>
  <si>
    <t>16个项目：BMS10_RBMS，BMS11_RBMS，BMS12_RBMS，BMS13_RBMS，BMS14_RBMS，BMS20CN_RBMS，BMS20_RBMS，BMS21CN_RBMS，LC25_RBMS，MIC_RBMS，RTG10CN_RBMS，RTG10_RBMS，SF05T_RBMS，SF05_RBMS，SIB_RBMS，TD_RBMS
【FaultList】
Add:
HVSH_MAIN_POSITIVE_BUS_BROKEN_FAULT</t>
  </si>
  <si>
    <t>16个项目：BMS10_RBMS，BMS11_RBMS，BMS12_RBMS，BMS13_RBMS，BMS14_RBMS，BMS20CN_RBMS，BMS20_RBMS，BMS21CN_RBMS，LC25_RBMS，MIC_RBMS，RTG10CN_RBMS，RTG10_RBMS，SF05T_RBMS，SF05_RBMS，SIB_RBMS，TD_RBMS
【FaultList】
Correct:
CTSC_PRECHARGE_OVER_TIME_FAULT
DiagnoseEnableCondition：下列条件都满足：
1.预充继电器命令为闭合
2.主负继电器命令为闭合
3.主正继电器命令为断开 → 上电
FaultDescription：预充超时故障【；SbCTSC_PrechOverTiFlt】 → 预充超时故障【SbCTSC_PrechOverTiPreFailFlg；SbCTSC_PrechOverTiFlt】
CTSC_PRECHARGE_OVER_CURRENT_FAULT
DiagnoseEnableCondition：下列条件都满足：
1.预充继电器命令为闭合
2.主负继电器命令为闭合
3.主回路控制状态机为precharge状态（SeCTSC_MainRlyCtrlStState == Precharge）
4.总线电流有效
5.pack电压有效 → 下列条件都满足：
1.预充继电器命令为闭合
2.主负继电器命令为闭合
3.主回路控制状态机为precharge状态（SeCTSC_MainRlyCtrlStState == Precharge）
4.总线电流有效
CTSC_COMBINE_SWITCH_VOLT_LOW_FAULT
FaultDescription：融合开关欠压故障【ScLVPS_24VIntPowSplyValV】 → 融合开关欠压故障【故障已删除】
Justification：  → 【冗余定义检查】：故障已删除
CTSC_MAIN_NEGATIVE_RELAY_STUCK_CLOSE_FAULT
DiagnoseEnableCondition：1.无继电器供电电压过高故障、无继电器供电电压过低故障； → 继电器供电电压未超范围 And 控制模式为远程模式
FaultAssertCriteria：干节点反馈异常，具体如下：
1.常开型继电器
1）低边控制命令0、高边控制命令0，干节点反馈低电平；
2）低边控制命令1、高边控制命令0，干节点反馈低电平；
（满足其一）
2.常闭型继电器
1）低边控制命令0、高边控制命令0，干节点反馈低电平；
2）低边控制命令1、高边控制命令0，干节点反馈高电平；
（满足其一） → 上一时刻主负继电器控制命令为断开，当前时刻主负继电器状态为闭合
FaultDescription：主负继电器粘连故障【BSWSMainNegRlyAuxVRawValNbr，SbCTSC_MainNegRlyHSDCtlCmdFlg，SbCTSC_MainNegRlyLSDCtlCmdFlg，SbCTSC_MainNegRelayStuckClosePrefail；SbCTSC_MainNegRelayStuckCloseFlt】 → 主负继电器粘连故障【SbCTSC_MainNegRelayStuckClosePrefail；SbCTSC_MainNegRelayStuckCloseFlt】
CTSC_MAIN_NEGATIVE_RELAY_STUCK_OPEN_FAULT
DiagnoseEnableCondition：下列条件都满足
1.24V供电电压有效
2.主负继电器辅助触点无短路
3.高低边驱动都闭合
4.以上条件都满足后的300ms内 → 继电器供电电压未超范围 And 控制模式为远程模式
FaultAssertCriteria：干节点反馈异常(High) → 上一时刻主负继电器控制命令为闭合，当前时刻主负继电器状态为断开
FaultDescription：主负继电器开路故障【BSWSMainNegRlyAuxVRawValNbr，SbCTSC_MainNegRlyHSDCtlCmdFlg，SbCTSC_MainNegRlyLSDCtlCmdFlg，SbCTSC_MainNegRelayStuckOpenPrefail；SbCTSC_MainNegRelayStuckOpenFlt】 → 主负继电器开路故障【SbCTSC_MainNegRelayStuckOpenPrefail；SbCTSC_MainNegRelayStuckOpenFlt】
CTSC_MAIN_POSITIVE_RELAY_STUCK_CLOSE_FAULT
DiagnoseEnableCondition：1.无继电器供电电压过高故障、无继电器供电电压过低故障； → 继电器供电电压未超范围 And 控制模式为远程模式
FaultAssertCriteria：干节点反馈异常，具体如下：
1.常开型继电器
1）低边控制命令0、高边控制命令0，干节点反馈低电平；
2）低边控制命令1、高边控制命令0，干节点反馈低电平；
（满足其一）
2.常闭型继电器
1）低边控制命令0、高边控制命令0，干节点反馈低电平；
2）低边控制命令1、高边控制命令0，干节点反馈高电平；
（满足其一） → 上一时刻主正继电器控制命令为断开，当前时刻主正继电器状态为闭合
FaultDescription：主正继电器粘连故障【BSWSMainPosRlyAuxVRawValNbr，SbCTSC_MainPosRlyHSDCtlCmdFlg，SbCTSC_MainPosRlyLSDCtlCmdFlg，SbCTSC_MainPosRelayStuckClosePrefail；SbCTSC_MainPosRelayStuckCloseFlt】 → 主正继电器粘连故障【SbCTSC_MainPosRelayStuckClosePrefail；SbCTSC_MainPosRelayStuckCloseFlt】
CTSC_MAIN_POSITIVE_RELAY_STUCK_OPEN_FAULT
DiagnoseEnableCondition：下列条件都满足
1.24V供电电压有效
2.主正继电器辅助触点无短路
3.高低边驱动都闭合
4.以上条件都满足后的300ms内 → 继电器供电电压未超范围 And 控制模式为远程模式
FaultAssertCriteria：干节点反馈异常(High) → 上一时刻主正继电器控制命令为闭合，当前时刻主正继电器状态为断开
FaultDescription：主正继电器开路故障【BSWSMainPosRlyAuxVRawValNbr，SbCTSC_MainPosRlyHSDCtlCmdFlg，SbCTSC_MainPosRlyLSDCtlCmdFlg，SbCTSC_MainPosRelayStuckOpenPrefail；SbCTSC_MainPosRelayStuckOpenFlt】 → 主正继电器开路故障【SbCTSC_MainPosRelayStuckOpenPrefail；SbCTSC_MainPosRelayStuckOpenFlt】
CTSC_MAIN_POSITIVE_RELAY_DRIVER_CIRCUIT_FAULT
DiagnoseEnableCondition：1、无高边驱动电压过高故障、过低故障
（高边驱动和继电器是同一个供电）
2、无低边驱动电压过高故障、过低故障
（低边驱动和电流传感器是同一个供电） → 下列条件都满足：
1、高边驱动电压未超范围
（高边驱动和继电器是同一个供电）
2、低边驱动电压未超范围
（低边驱动和电流传感器是同一个供电）
3、控制模式为远程模式
EnableFault：1 → 1
FaultDescription：主正继电器驱动电路故障【SbLVPH_RlyPowSplyNotOutRngFlg，SbLVPH_CurrSnsrPowSplyNotOutRngFlg，SbCTSC_MainPosRlyDrvCrctFltPreFailFlg；SbCTSC_MainPosRlyDriverCircuitFlt】 → 主正继电器驱动电路故障【SbCTSC_MainPosRlyDrvCrctFltPreFailFlg；SbCTSC_MainPosRlyDriverCircuitFlt】
CTSC_MAIN_NEGATIVE_RELAY_DRIVER_CIRCUIT_FAULT
DiagnoseEnableCondition：1、无高边驱动电压过高故障、过低故障
（高边驱动和继电器是同一个供电）
2、无低边驱动电压过高故障、过低故障
（低边驱动和电流传感器是同一个供电） → 下列条件都满足：
1、高边驱动电压未超范围
（高边驱动和继电器是同一个供电）
2、低边驱动电压未超范围
（低边驱动和电流传感器是同一个供电）
3、控制模式为远程模式
EnableFault：1 → 1
FaultDescription：主负继电器驱动电路故障【SbLVPH_RlyPowSplyNotOutRngFlg，SbLVPH_CurrSnsrPowSplyNotOutRngFlg，SbCTSC_MainNegRlyDrvCrctFltPreFailFlg；SbCTSC_MainNegRlyDriverCircuitFlt】 → 主负继电器驱动电路故障【SbCTSC_MainNegRlyDrvCrctFltPreFailFlg；SbCTSC_MainNegRlyDriverCircuitFlt】
CTSC_RELAY_DRIVER_SAMPLING_SELECT_CHANNEL_FAULT
DiagnoseEnableCondition：1、无高边驱动电压过高故障、过低故障
（高边驱动和继电器是同一个供电）
2、无低边驱动电压过高故障、过低故障
（低边驱动和电流传感器是同一个供电） → 上电
EnableFault：1 → 1
【SystemParameter】
Correct:
MAIN_CONTACTOR_TYPE
Description：0 for HF, 1 for BYD, 2 for LX → 0：常开继电器；1：常闭继电器。</t>
  </si>
  <si>
    <t>15个项目：BMS10_RBMS，BMS11_RBMS，BMS12_RBMS，BMS13_RBMS，BMS20CN_RBMS，BMS20_RBMS，BMS21CN_RBMS，LC25_RBMS，MIC_RBMS，RTG10CN_RBMS，RTG10_RBMS，SF05T_RBMS，SF05_RBMS，SIB_RBMS，TD_RBMS
【SystemParameter】
Add:
SOPC_IsBaseCurrentResetForbid</t>
  </si>
  <si>
    <t>16个项目：BMS10_RBMS，BMS11_RBMS，BMS12_RBMS，BMS13_RBMS，BMS14_RBMS，BMS20CN_RBMS，BMS20_RBMS，BMS21CN_RBMS，LC25_RBMS，MIC_RBMS，RTG10CN_RBMS，RTG10_RBMS，SF05T_RBMS，SF05_RBMS，SIB_RBMS，TD_RBMS
【FaultList】
Correct:
CLTS_CELL_TEMPERATURE_OUT_OF_RANGE_HIGH_FAULT
FaultAssertCriteria：任一电芯同时满足以下条件：
1. AFE电芯温度采样有效；
2. 电芯采样温度CNT值&lt;-9126(&gt;125℃) → 同时满足以下条件的电芯数量&gt;=【CcCLTS_TSampFailJudgCellNbr=1】或Pack数量&gt;=【CcCLTS_TSampFailJudgPackNbr=1】：
1. AFE电芯温度采样有效；
2. 电芯采样温度CNT值&lt;-9126(&gt;125℃)
CLTS_CELL_TEMPERATURE_OUT_OF_RANGE_LOW_FAULT
FaultAssertCriteria：任一电芯同时满足以下条件：
1. AFE电芯温度采样有效；
2. 电芯采样温度CNT值 &gt;9494(&lt;-40℃) → 同时满足以下条件的电芯数量&gt;=【CcCLTS_TSampFailJudgCellNbr=1】或Pack数量&gt;=【CcCLTS_TSampFailJudgPackNbr=1】：
1. AFE电芯温度采样有效；
2. 电芯采样温度CNT值 &gt;9494(&lt;-40℃)
CLTS_CELL_TEMPERATURE_SAMPLING_MUX_FAULT
FaultAssertCriteria：任一电芯同时满足以下条件：
1. AFE电芯温度采样有效；
2. 所在MUX对GND采样温度CNT值&gt;【CcCLTS_MuxInVldLimNbr = -9127】 → 同时满足以下条件的电芯数量&gt;=【CcCLTS_TSampFailJudgCellNbr=1】或Pack数量&gt;=【CcCLTS_TSampFailJudgPackNbr=1】：
1. AFE电芯温度采样有效；
2. 所在MUX对GND采样温度CNT值&gt;【CcCLTS_MuxInVldLimNbr=-9127】
【SystemParameter】
Add:
MODULE_CELL_POLE_CONN_TEMPERATURE_SENSOR_NUMBER</t>
  </si>
  <si>
    <t>15个项目：BMS10_RBMS，BMS11_RBMS，BMS12_RBMS，BMS13_RBMS，BMS14_RBMS，BMS20CN_RBMS，BMS20_RBMS，BMS21CN_RBMS，LC25_RBMS，MIC_RBMS，RTG10CN_RBMS，RTG10_RBMS，SF05T_RBMS，SF05_RBMS，SIB_RBMS
【SystemParameter】
Add:
BTCS_CURRENT_SELECT_MODE</t>
  </si>
  <si>
    <t>列名变更：
DischargeFaultLevel → FaultLevel
ChargeFaultLevel → ChargeSOPCoef(%)
FaultResponse → DischargeSOPCoef(%)
SOPCoef百分比数值填充：
1级故障：0
2级故障：50
3级故障：100</t>
  </si>
  <si>
    <t>V9.6</t>
  </si>
  <si>
    <t xml:space="preserve">16个项目：BMS10_RBMS，BMS11_RBMS，BMS12_RBMS，BMS13_RBMS，BMS14_RBMS，BMS20CN_RBMS，BMS20_RBMS，BMS21CN_RBMS，LC25_RBMS，MIC_RBMS，RTG10CN_RBMS，RTG10_RBMS，SF05T_RBMS，SF05_RBMS，SIB_RBMS，TD_RBMS
【SystemParameter】
Correct:
MODULE_CELL_POLE_CONN_TEMPERATURE_SENSOR_NUMBER
Value:="[" &amp; @ GetParamValue("TOTAL_TEMPERATURE_SENSOR_NUMBER_PER_RACK_BMS") / @ GetParamValue("RACK_MODULE_NUMBER") &amp; "]" → ="[" &amp; GetParamValue("TOTAL_TEMPERATURE_SENSOR_NUMBER_PER_RACK_BMS") / GetParamValue("RACK_MODULE_NUMBER") &amp; "]"
</t>
  </si>
  <si>
    <t>V9.7</t>
  </si>
  <si>
    <t xml:space="preserve">16个项目：BMS10_RBMS，BMS11_RBMS，BMS12_RBMS，BMS13_RBMS，BMS14_RBMS，BMS20CN_RBMS，BMS20_RBMS，BMS21CN_RBMS，LC25_RBMS，MIC_RBMS，RTG10CN_RBMS，RTG10_RBMS，SF05T_RBMS，SF05_RBMS，SIB_RBMS，TD_RBMS
【FaultList】
Correct:
AFES_NTC_POWER_SUPPLY_FAULT
FaultAssertDebounceTime：【CcAFES_NTCPowerSupplyFaultFltSetTims=3000】ms → 【CcAFES_NTCPowerSupplyFltSetTims=3000】ms
</t>
  </si>
  <si>
    <t>V9.8</t>
  </si>
  <si>
    <t xml:space="preserve">13个项目：BMS10_RBMS，BMS11_RBMS，BMS12_RBMS，BMS20CN_RBMS，BMS20_RBMS，BMS21CN_RBMS，LC25_RBMS，MIC_RBMS，RTG10CN_RBMS，RTG10_RBMS，SF05T_RBMS，SF05_RBMS，SIB_RBMS
【FaultList】
Correct:
CLVH_MAXCELLV_OV_LEVEL2_FAULT
ChargeSOPCoef(%)：50 → 0
CLVH_MINCELLV_UV_LEVEL2_FAULT
DischargeSOPCoef(%)：50 → 0
HVSH_BATTERY_OVER_VOLTAGE_LEVEL2_FAULT
ChargeSOPCoef(%)：50 → 0
HVSH_BATTERY_UNDER_VOLTAGE_LEVEL2_FAULT
DischargeSOPCoef(%)：50 → 0
</t>
  </si>
  <si>
    <t>V9.9</t>
  </si>
  <si>
    <t xml:space="preserve">16个项目：BMS10_RBMS，BMS11_RBMS，BMS12_RBMS，BMS13_RBMS，BMS14_RBMS，BMS20CN_RBMS，BMS20_RBMS，BMS21CN_RBMS，LC25_RBMS，MIC_RBMS，RTG10CN_RBMS，RTG10_RBMS，SF05T_RBMS，SF05_RBMS，SIB_RBMS，TD_RBMS
【FaultList】
Correct:
CLTH_THERMAL_RUNAWAY_FAULT
FaultAssertCriteria：1. 电压降在【CcCLTH_CellTempRunAwayDebounceTimeS=3】s内超过初始值的25%；
2. 单体最高温度&gt;=【CcCLTH_TempRunAwayOvtempLimDegC=75】℃；
3. 温升速率&gt;=【CcCLTH_TempRunAwayRiseChangeRate=1】℃/s，持续3s以上；
以上同时满足2个及以上条件 → 1. 最低单体电压降在【CcCLTH_CellTempRunAwayDebounceTimeS=3】s内超过初始值的25%；
2. 最高单体温度&gt;=【CcCLTH_TempRunAwayOvtempLimDegC=75】℃；
3. 最高单体温度温升速率&gt;=【CcCLTH_TempRunAwayRiseChangeRate=1】℃/s，持续【CcCLTH_CellTempRunAwayDebounceTimeS=3】s以上；
以上同时满足2个及以上条件
FaultDescription：电芯热失控【ScCLVH_MaxCellVmV、ScCLTS_MaxCellTDegC、SbCLVH_GenlCellVVldFlg、EbCLTH_CellTempRunAwayFlt；SbCLTH_CellTempRunAwayFlt】 → 电芯热失控故障【ScCLVH_MinCellVmV、ScCLTS_MaxCellTDegC、EbCLTH_CellTempRunAwayFlt；SbCLTH_CellTempRunAwayFlt】
</t>
  </si>
  <si>
    <t>CAT3/CAT2</t>
  </si>
  <si>
    <r>
      <rPr>
        <b/>
        <sz val="11"/>
        <color theme="1"/>
        <rFont val="等线"/>
        <family val="2"/>
        <scheme val="minor"/>
      </rPr>
      <t>说明：</t>
    </r>
    <r>
      <rPr>
        <sz val="11"/>
        <color theme="1"/>
        <rFont val="等线"/>
        <family val="2"/>
        <scheme val="minor"/>
      </rPr>
      <t xml:space="preserve">
</t>
    </r>
    <r>
      <rPr>
        <b/>
        <sz val="11"/>
        <color theme="1"/>
        <rFont val="等线"/>
        <family val="3"/>
        <charset val="134"/>
        <scheme val="minor"/>
      </rPr>
      <t xml:space="preserve">1. 故障断高压说明：
    </t>
    </r>
    <r>
      <rPr>
        <sz val="11"/>
        <color theme="1"/>
        <rFont val="等线"/>
        <family val="2"/>
        <scheme val="minor"/>
      </rPr>
      <t>系统发生一级故障后，继电器将在 4 秒内断开；
    若在此期间检测到电流低于 20A，可提前断开高压，提升响应效率。</t>
    </r>
    <r>
      <rPr>
        <b/>
        <sz val="11"/>
        <color theme="1"/>
        <rFont val="等线"/>
        <family val="3"/>
        <charset val="134"/>
        <scheme val="minor"/>
      </rPr>
      <t xml:space="preserve">
2. 功率限制：
    </t>
    </r>
    <r>
      <rPr>
        <sz val="11"/>
        <color theme="1"/>
        <rFont val="等线"/>
        <family val="2"/>
        <scheme val="minor"/>
      </rPr>
      <t xml:space="preserve">基于置起故障的最低功率限制百分比，分别进行充电与放电功率限制；
    故障列表列“ChargeSOPCoef(%)”：充电限制百分比；
    故障列表列“DischargeSOPCoef(%)”：放电限制百分比；
    二级板与三级板均会进行SOP限制
</t>
    </r>
    <r>
      <rPr>
        <b/>
        <sz val="11"/>
        <color theme="1"/>
        <rFont val="等线"/>
        <family val="2"/>
        <scheme val="minor"/>
      </rPr>
      <t>3. 示例说明：</t>
    </r>
    <r>
      <rPr>
        <sz val="11"/>
        <color theme="1"/>
        <rFont val="等线"/>
        <family val="2"/>
        <scheme val="minor"/>
      </rPr>
      <t xml:space="preserve">
    二级板的所有置起故障中，ChargeSOPCoef(%)最低值为100，DischargeSOPCoef(%)最低值为50，
    三级板的所有置起故障中，ChargeSOPCoef(%)最低值为50，DischargeSOPCoef(%)最低值为100，
    则二级板输出的充电SOP不限制，放电SOP限制为50%，
    三级板输出的充电SOP限制为50%，放电SOP限制为50%。</t>
    </r>
  </si>
  <si>
    <t>2025/08/21</t>
  </si>
  <si>
    <t>V9.10</t>
  </si>
  <si>
    <t>zhangyf03</t>
  </si>
  <si>
    <t>16个项目：BMS10_RBMS，BMS11_RBMS，BMS12_RBMS，BMS13_RBMS，BMS14_RBMS，BMS20CN_RBMS，BMS20_RBMS，BMS21CN_RBMS，LC25_RBMS，MIC_RBMS，RTG10CN_RBMS，RTG10_RBMS，SF05T_RBMS，SF05_RBMS，SIB_RBMS，TD_RBMS
【FaultList】
Correct:
FaultName: CONTROL_BOX -&gt; HV_BOX
FaultDescription: 控制盒 -&gt; 高压盒
DiagnoseEnableCondition: 控制盒 -&gt; 高压盒</t>
  </si>
  <si>
    <t>继电器供电电压未超范围 And 继电器控制状态机不为强控状态</t>
    <phoneticPr fontId="2" type="noConversion"/>
  </si>
  <si>
    <t>下列条件都满足：
1、高边驱动电压未超范围
（高边驱动和继电器是同一个供电）
2、低边驱动电压未超范围
（低边驱动和电流传感器是同一个供电）
3、继电器控制状态机不为强控状态</t>
    <phoneticPr fontId="2" type="noConversion"/>
  </si>
  <si>
    <t>V9.1.1</t>
  </si>
  <si>
    <t xml:space="preserve">16个项目：BMS10_RBMS，BMS11_RBMS，BMS12_RBMS，BMS13_RBMS，BMS14_RBMS，BMS20CN_RBMS，BMS20_RBMS，BMS21CN_RBMS，BMS23_RBMS，LC25_RBMS，MIC_RBMS，RTG10CN_RBMS，RTG10_RBMS，SF05T_RBMS，SF05_RBMS，SIB_RBMS
【FaultList】
Correct:
CTSC_MAIN_NEGATIVE_RELAY_STUCK_CLOSE_FAULT
DiagnoseEnableCondition：继电器供电电压未超范围 And 控制模式为远程模式 → 继电器供电电压未超范围 And 继电器控制状态机不为强控状态
CTSC_MAIN_NEGATIVE_RELAY_STUCK_OPEN_FAULT
DiagnoseEnableCondition：继电器供电电压未超范围 And 控制模式为远程模式 → 继电器供电电压未超范围 And 继电器控制状态机不为强控状态
CTSC_MAIN_POSITIVE_RELAY_STUCK_CLOSE_FAULT
DiagnoseEnableCondition：继电器供电电压未超范围 And 控制模式为远程模式 → 继电器供电电压未超范围 And 继电器控制状态机不为强控状态
CTSC_MAIN_POSITIVE_RELAY_STUCK_OPEN_FAULT
DiagnoseEnableCondition：继电器供电电压未超范围 And 控制模式为远程模式 → 继电器供电电压未超范围 And 继电器控制状态机不为强控状态
CTSC_MAIN_POSITIVE_RELAY_DRIVER_CIRCUIT_FAULT
DiagnoseEnableCondition：下列条件都满足：
1、高边驱动电压未超范围
（高边驱动和继电器是同一个供电）
2、低边驱动电压未超范围
（低边驱动和电流传感器是同一个供电）
3、控制模式为远程模式 → 下列条件都满足：
1、高边驱动电压未超范围
（高边驱动和继电器是同一个供电）
2、低边驱动电压未超范围
（低边驱动和电流传感器是同一个供电）
3、继电器控制状态机不为强控状态
CTSC_MAIN_NEGATIVE_RELAY_DRIVER_CIRCUIT_FAULT
DiagnoseEnableCondition：下列条件都满足：
1、高边驱动电压未超范围
（高边驱动和继电器是同一个供电）
2、低边驱动电压未超范围
（低边驱动和电流传感器是同一个供电）
3、控制模式为远程模式 → 下列条件都满足：
1、高边驱动电压未超范围
（高边驱动和继电器是同一个供电）
2、低边驱动电压未超范围
（低边驱动和电流传感器是同一个供电）
3、继电器控制状态机不为强控状态
</t>
  </si>
  <si>
    <t>V9.1.2</t>
  </si>
  <si>
    <t xml:space="preserve">17个项目：BMS10_RBMS，BMS11_RBMS，BMS12_RBMS，BMS13_RBMS，BMS14_RBMS，BMS20CN_RBMS，BMS20_RBMS，BMS21CN_RBMS，BMS23_RBMS，LC25_RBMS，MIC_RBMS，RTG10CN_RBMS，RTG10_RBMS，SF05T_RBMS，SF05_RBMS，SIB_RBMS，TD_RBMS
【SystemParameter】
Correct:
RACK_POLE_TEMPERATURE_NUMBER_MAX
Formula：2*RACK_AFE_NUMBER → 4*RACK_AFE_NUMBER
Max：[100] → [200]
Value:="[" &amp; 2* GetParamValue("RACK_AFE_NUMBER") &amp; "]" → ="[" &amp; 4*GetParamValue("RACK_AFE_NUMBER") &amp; "]"
</t>
  </si>
  <si>
    <t>绝缘电压有效且非绝缘禁止状态</t>
    <phoneticPr fontId="2" type="noConversion"/>
  </si>
  <si>
    <t xml:space="preserve">任意满足：绝缘正极采样的电压值&gt;【CcISOH_BSWSIslnPosVOorHiLimValV=1500】V或绝缘正极采样的电压值&lt;【CcISOH_BSWSIslnPosVOorLoLimValV=0】V；绝缘负极采样的电压值&gt;【CcISOH_BSWSIslnNegVOorHiLimValV=1500】V或绝缘负极采样的电压值&lt;【CcISOH_BSWSIslnNegVOorLoLimValV=0】V
</t>
    <phoneticPr fontId="2" type="noConversion"/>
  </si>
  <si>
    <t>V9.1.3</t>
  </si>
  <si>
    <t xml:space="preserve">17个项目：BMS10_RBMS，BMS11_RBMS，BMS12_RBMS，BMS13_RBMS，BMS14_RBMS，BMS20CN_RBMS，BMS20_RBMS，BMS21CN_RBMS，BMS23_RBMS，LC25_RBMS，MIC_RBMS，RTG10CN_RBMS，RTG10_RBMS，SF05T_RBMS，SF05_RBMS，SIB_RBMS，TD_RBMS
【FaultList】
Correct:
ISOH_ISOLATION_VALUE_INVALID_FAULT
DiagnoseEnableCondition：控制器上电 → 绝缘电压有效且非绝缘禁止状态
FaultAssertCriteria：进行绝缘检测时，绝缘正负极采样的电压值超范围或硬件故障导致电压无效 → 任意满足：绝缘正极采样的电压值&gt;【CcISOH_BSWSIslnPosVOorHiLimValV=1500】V或绝缘正极采样的电压值&lt;【CcISOH_BSWSIslnPosVOorLoLimValV=0】V；绝缘负极采样的电压值&gt;【CcISOH_BSWSIslnNegVOorHiLimValV=1500】V或绝缘负极采样的电压值&lt;【CcISOH_BSWSIslnNegVOorLoLimValV=0】V
</t>
  </si>
  <si>
    <t>size(MODULE_CELL_TEMPERATURE_REDUNCHK_PAIR_INDEX, 2)</t>
  </si>
  <si>
    <t>RACK_AFE_NUMBER*AFE_CELL_VOLTAGE_SAMPLING_NUMBER</t>
  </si>
  <si>
    <t>[1000]</t>
  </si>
  <si>
    <t>RACK_AFE_NUMBER_MAX*AFE_CELL_VOLTAGE_SAMPLING_NUMBER_MAX</t>
  </si>
  <si>
    <t>The actual balance temperature number</t>
  </si>
  <si>
    <t>[500]</t>
  </si>
  <si>
    <t>Cell temp and pole temp sensor number per module</t>
  </si>
  <si>
    <t>Cell temp sensor number per module</t>
  </si>
  <si>
    <t>Total temperature number per rack, including cell and pole temp.</t>
  </si>
  <si>
    <t>Actual module/cell temperature number per rack</t>
  </si>
  <si>
    <t>RACK_AFE_NUMBER_MAX*AFE_TEMPERATURE_SENSOR_NUMBER_MAX</t>
  </si>
  <si>
    <t>Single cell rate energy</t>
  </si>
  <si>
    <t>kWh</t>
  </si>
  <si>
    <t>Single rack branch sum energy; accuracy change 418-417.9968</t>
  </si>
  <si>
    <t>CELL_RATE_ENERGY*CELL_PARALLEL_NUMBER_PER_RACK_BMS*CELL_PARALLEL_NUMBER_INTERNAL_MODULE*TOTAL_SERIES_CELL_NUMBER_PER_RACK_BMS</t>
  </si>
  <si>
    <t>even or odd AFE channel number</t>
  </si>
  <si>
    <t>RACK_AFE_NUMBER*AFE_CELL_VOLTAGE_SAMPLING_NUMBER_MAX/2</t>
  </si>
  <si>
    <t>[RACK_AFE_NUMBER 0]</t>
  </si>
  <si>
    <t>AFE_NUMBER_FOR_EVERY_DAISY_CHAIN_USED</t>
  </si>
  <si>
    <t>[1 RACK_AFE_NUMBER_MAX]</t>
  </si>
  <si>
    <t>Cell voltage sampling AFE type definition(1 for 7-0-6 type and 2 for 6-0-7 type)</t>
  </si>
  <si>
    <t>[1 RACK_AFE_NUMBER]</t>
  </si>
  <si>
    <t>repmat(AFE_CELL_VOLTAGE_SAMPLING_NUMBER, 1, RACK_AFE_NUMBER)</t>
  </si>
  <si>
    <t>repmat(sum(MODULE_TEMPERATURE_SENSOR_SAMPLING_CHANNEL_CONFIGURATION &gt;=3,2)', 1, RACK_MODULE_NUMBER)</t>
  </si>
  <si>
    <t>for all available afe voltage sampling channed, this flag detect if the channel is used to measure voltage, 1 means used, 0 means not used</t>
  </si>
  <si>
    <t>[1 TOTAL_SERIES_CELL_NUMBER_PER_RACK_BMS_MAX]</t>
  </si>
  <si>
    <t>Flg</t>
  </si>
  <si>
    <t>RACK_CELL_VOLTAGE_SAMPLING_FLAG_FOR_ALL_AFE_CHANNEL</t>
  </si>
  <si>
    <t>index for all available afe voltage sampling channed, zero-based index</t>
  </si>
  <si>
    <t>[1 TOTAL_SERIES_CELL_NUMBER_PER_RACK_BMS]</t>
  </si>
  <si>
    <t>find(RACK_CELL_VOLTAGE_SAMPLING_FLAG_FOR_ALL_AFE_CHANNEL == 1,TOTAL_SERIES_CELL_NUMBER_PER_RACK_BMS) - 1</t>
  </si>
  <si>
    <t>[65534]</t>
  </si>
  <si>
    <t>RACK_CELL_VOLTAGE_SAMPLING_INDEX_FOR_ALL_AFE_CHANNEL</t>
  </si>
  <si>
    <t>check the cell is odd or even in AFE channel, 0 is odd channel, 1 is even channel</t>
  </si>
  <si>
    <t>mod(RACK_CELL_VOLTAGE_SAMPLING_INDEX_FOR_ALL_AFE_CHANNEL,2)</t>
  </si>
  <si>
    <t>RACK_CELL_VOLTAGE_SAMPLING_ODDEVEN_FLAG</t>
  </si>
  <si>
    <t>4*RACK_AFE_NUMBER</t>
  </si>
  <si>
    <t>V9.1.4</t>
  </si>
  <si>
    <t xml:space="preserve">17个项目：BMS10_RBMS，BMS11_RBMS，BMS12_RBMS，BMS13_RBMS，BMS14_RBMS，BMS20CN_RBMS，BMS20_RBMS，BMS21CN_RBMS，BMS23_RBMS，LC25_RBMS，MIC_RBMS，RTG10CN_RBMS，RTG10_RBMS，SF05T_RBMS，SF05_RBMS，SIB_RBMS，TD_RBMS
【SystemParameter】
Add:
AFE_TEMPERATURE_SENSOR_MUX_NUMBER
RACK_TEMPERATURE_SENSOR_MUX_NUMBER
MODULE_CELL_TEMPERATURE_REDUNCHK_PAIR_NUMBER
TOTAL_SERIES_CELL_NUMBER_PER_RACK_BMS
TOTAL_SERIES_CELL_NUMBER_PER_RACK_BMS_MAX
PCB_TEMPERATURE_NUMBER
MODULE_CELL_POLE_TEMPERATURE_SENSOR_NUMBER
MODULE_CELL_TEMPERATURE_SENSOR_NUMBER
TOTAL_TEMPERATURE_SENSOR_NUMBER_PER_RACK_BMS
TOTAL_MODULE_TEMPERATURE_SENSOR_NUMBER_PER_RACK_BMS
TOTAL_MODULE_TEMPERATURE_SENSOR_NUMBER_PER_RACK_BMS_MAX
CELL_RATE_ENERGY
RATE_ENERGY_PER_BRANCH
SERIES_CELL_NUMBER_PER_RACK_CHANNEL
AFE_NUMBER_FOR_EVERY_DAISY_CHAIN_USED
RACK_CELL_VOLTAGE_SAMPLING_NUMBER_FOR_EVERY_AFE
RACK_CELL_VOLTAGE_SAMPLING_AFE_TYPE
RACK_CELL_VOLTAGE_SAMPLING_NUMBER_FOR_EVERY_AFE_USED
RACK_TEMPERATURE_SENSOR_NUMBER_FOR_EVERY_AFE_USED
RACK_CELL_VOLTAGE_SAMPLING_FLAG_FOR_ALL_AFE_CHANNEL
RACK_CELL_VOLTAGE_SAMPLING_INDEX_FOR_ALL_AFE_CHANNEL
RACK_CELL_VOLTAGE_SAMPLING_ODDEVEN_FLAG
RACK_POLE_TEMPERATURE_NUMBER_MAX
RACK_MODULE_CONN_TEMPERATURE_NUMBER_MAX
MODULE_CELL_POLE_CONN_TEMPERATURE_SENSOR_NUMBER
Delete:
CELL_RATE_ENERGY
RATE_ENERGY_PER_BRANCH
TOTAL_SERIES_CELL_NUMBER_PER_RACK_BMS
TOTAL_SERIES_CELL_NUMBER_PER_RACK_BMS_MAX
TOTAL_TEMPERATURE_SENSOR_NUMBER_PER_RACK_BMS
TOTAL_MODULE_TEMPERATURE_SENSOR_NUMBER_PER_RACK_BMS
TOTAL_MODULE_TEMPERATURE_SENSOR_NUMBER_PER_RACK_BMS_MAX
PCB_TEMPERATURE_NUMBER
MODULE_CELL_POLE_TEMPERATURE_SENSOR_NUMBER
MODULE_CELL_TEMPERATURE_SENSOR_NUMBER
SERIES_CELL_NUMBER_PER_RACK_CHANNEL
AFE_NUMBER_FOR_EVERY_DAISY_CHAIN_USED
RACK_CELL_VOLTAGE_SAMPLING_NUMBER_FOR_EVERY_AFE
RACK_CELL_VOLTAGE_SAMPLING_AFE_TYPE
RACK_CELL_VOLTAGE_SAMPLING_NUMBER_FOR_EVERY_AFE_USED
RACK_TEMPERATURE_SENSOR_NUMBER_FOR_EVERY_AFE_USED
RACK_CELL_VOLTAGE_SAMPLING_FLAG_FOR_ALL_AFE_CHANNEL
RACK_CELL_VOLTAGE_SAMPLING_ODDEVEN_FLAG
RACK_CELL_VOLTAGE_SAMPLING_INDEX_FOR_ALL_AFE_CHANNEL
AFE_TEMPERATURE_SENSOR_MUX_NUMBER
RACK_TEMPERATURE_SENSOR_MUX_NUMBER
MODULE_CELL_TEMPERATURE_REDUNCHK_PAIR_NUMBER
RACK_POLE_TEMPERATURE_NUMBER_MAX
RACK_MODULE_CONN_TEMPERATURE_NUMBER_MAX
MODULE_CELL_POLE_CONN_TEMPERATURE_SENSOR_NUMBER
</t>
  </si>
  <si>
    <t>V9.1.5</t>
  </si>
  <si>
    <t xml:space="preserve">17个项目：BMS10_RBMS，BMS11_RBMS，BMS12_RBMS，BMS13_RBMS，BMS14_RBMS，BMS20CN_RBMS，BMS20_RBMS，BMS21CN_RBMS，BMS23_RBMS，LC25_RBMS，MIC_RBMS，RTG10CN_RBMS，RTG10_RBMS，SF05T_RBMS，SF05_RBMS，SIB_RBMS，TD_RBMS
【SystemParameter】
Correct:
PCB_TEMPERATURE_NUMBER
Formula：sum(MODULE_TEMPERATURE_SENSOR_SAMPLING_CHANNEL_CONFIGURATION(:)=1)*RACK_MODULE_NUMBER → sum(MODULE_TEMPERATURE_SENSOR_SAMPLING_CHANNEL_CONFIGURATION(:)==1)*RACK_MODULE_NUMBER
RACK_CELL_VOLTAGE_SAMPLING_FLAG_FOR_ALL_AFE_CHANNEL
Formula：cell2mat(arrayfun(@(x) ("AFE_CELL_VOLTAGE_SAMPLING_CHANNEL_TYPE" + string(x)), RACK_CELL_VOLTAGE_SAMPLING_AFE_TYPE, 'UniformOutput', false)) → cell2mat(arrayfun(@(x) stct.("AFE_CELL_VOLTAGE_SAMPLING_CHANNEL_TYPE" + string(x)), RACK_CELL_VOLTAGE_SAMPLING_AFE_TYPE, 'UniformOutput', false))
</t>
  </si>
  <si>
    <t>cell2mat(arrayfun(@(x) (AFE_CELL_VOLTAGE_SAMPLING_CHANNEL_TYPE1*(x==1) + AFE_CELL_VOLTAGE_SAMPLING_CHANNEL_TYPE2*(x==2)), RACK_CELL_VOLTAGE_SAMPLING_AFE_TYPE, 'UniformOutput', false))</t>
  </si>
  <si>
    <t>sum(MODULE_TEMPERATURE_SENSOR_SAMPLING_CHANNEL_CONFIGURATION==2, 'All')/MODULE_AFE_NUMBER</t>
  </si>
  <si>
    <t>sum(MODULE_TEMPERATURE_SENSOR_SAMPLING_CHANNEL_CONFIGURATION==1, 'All')*RACK_MODULE_NUMBER</t>
  </si>
  <si>
    <t>sum((MODULE_TEMPERATURE_SENSOR_SAMPLING_CHANNEL_CONFIGURATION ==3) | (MODULE_TEMPERATURE_SENSOR_SAMPLING_CHANNEL_CONFIGURATION ==4) , 'All')</t>
  </si>
  <si>
    <t>sum(MODULE_TEMPERATURE_SENSOR_SAMPLING_CHANNEL_CONFIGURATION ==3, 'All')</t>
  </si>
  <si>
    <t>sum(MODULE_TEMPERATURE_SENSOR_SAMPLING_CHANNEL_CONFIGURATION &gt;=3, 'All') * RACK_MODULE_NUMBER</t>
  </si>
  <si>
    <t>sum(MODULE_TEMPERATURE_SENSOR_SAMPLING_CHANNEL_CONFIGURATION ==3, 'All') * RACK_MODULE_NUMBER</t>
  </si>
  <si>
    <t>repmat(AFE_CELL_VOLTAGE_SAMPLING_NUMBER,1,RACK_AFE_NUMBER_MAX)</t>
  </si>
  <si>
    <t>repmat([1 2], 1, RACK_AFE_NUMBER_MAX/2)</t>
  </si>
  <si>
    <t>V9.1.6</t>
  </si>
  <si>
    <t xml:space="preserve">17个项目：BMS10_RBMS，BMS11_RBMS，BMS12_RBMS，BMS13_RBMS，BMS14_RBMS，BMS20CN_RBMS，BMS20_RBMS，BMS21CN_RBMS，BMS23_RBMS，LC25_RBMS，MIC_RBMS，RTG10CN_RBMS，RTG10_RBMS，SF05T_RBMS，SF05_RBMS，SIB_RBMS，TD_RBMS
【SystemParameter】
Correct:
RACK_CELL_VOLTAGE_SAMPLING_FLAG_FOR_ALL_AFE_CHANNEL
Formula：cell2mat(arrayfun(@(x) stct.("AFE_CELL_VOLTAGE_SAMPLING_CHANNEL_TYPE" + string(x)), RACK_CELL_VOLTAGE_SAMPLING_AFE_TYPE, 'UniformOutput', false)) → cell2mat(arrayfun(@(x) (AFE_CELL_VOLTAGE_SAMPLING_CHANNEL_TYPE1*(x==1) + AFE_CELL_VOLTAGE_SAMPLING_CHANNEL_TYPE2*(x==2)), RACK_CELL_VOLTAGE_SAMPLING_AFE_TYPE, 'UniformOutput', false))
AFE_TEMPERATURE_SENSOR_MUX_NUMBER
Formula：sum(MODULE_TEMPERATURE_SENSOR_SAMPLING_CHANNEL_CONFIGURATION(:)==2)/MODULE_AFE_NUMBER → sum(MODULE_TEMPERATURE_SENSOR_SAMPLING_CHANNEL_CONFIGURATION==2, 'All')/MODULE_AFE_NUMBER
PCB_TEMPERATURE_NUMBER
Formula：sum(MODULE_TEMPERATURE_SENSOR_SAMPLING_CHANNEL_CONFIGURATION(:)==1)*RACK_MODULE_NUMBER → sum(MODULE_TEMPERATURE_SENSOR_SAMPLING_CHANNEL_CONFIGURATION==1, 'All')*RACK_MODULE_NUMBER
MODULE_CELL_POLE_TEMPERATURE_SENSOR_NUMBER
Formula：sum((MODULE_TEMPERATURE_SENSOR_SAMPLING_CHANNEL_CONFIGURATION(:) ==3) | (MODULE_TEMPERATURE_SENSOR_SAMPLING_CHANNEL_CONFIGURATION(:) ==4) ) → sum((MODULE_TEMPERATURE_SENSOR_SAMPLING_CHANNEL_CONFIGURATION ==3) | (MODULE_TEMPERATURE_SENSOR_SAMPLING_CHANNEL_CONFIGURATION ==4) , 'All')
MODULE_CELL_TEMPERATURE_SENSOR_NUMBER
Formula：sum(MODULE_TEMPERATURE_SENSOR_SAMPLING_CHANNEL_CONFIGURATION(:) ==3) → sum(MODULE_TEMPERATURE_SENSOR_SAMPLING_CHANNEL_CONFIGURATION ==3, 'All')
TOTAL_TEMPERATURE_SENSOR_NUMBER_PER_RACK_BMS
Formula：sum(MODULE_TEMPERATURE_SENSOR_SAMPLING_CHANNEL_CONFIGURATION(:) &gt;=3) * RACK_MODULE_NUMBER → sum(MODULE_TEMPERATURE_SENSOR_SAMPLING_CHANNEL_CONFIGURATION &gt;=3, 'All') * RACK_MODULE_NUMBER
TOTAL_MODULE_TEMPERATURE_SENSOR_NUMBER_PER_RACK_BMS
Formula：sum(MODULE_TEMPERATURE_SENSOR_SAMPLING_CHANNEL_CONFIGURATION(:) ==3) * RACK_MODULE_NUMBER → sum(MODULE_TEMPERATURE_SENSOR_SAMPLING_CHANNEL_CONFIGURATION ==3, 'All') * RACK_MODULE_NUMBER
RACK_CELL_VOLTAGE_SAMPLING_NUMBER_FOR_EVERY_AFE
Formula：repmat(AFE_CELL_VOLTAGE_SAMPLING_NUMBER,1,RACK_AFE_NUMBER_MAX); → repmat(AFE_CELL_VOLTAGE_SAMPLING_NUMBER,1,RACK_AFE_NUMBER_MAX)
RACK_CELL_VOLTAGE_SAMPLING_AFE_TYPE
Formula：repmat([1 2], 1, RACK_AFE_NUMBER_MAX/2); → repmat([1 2], 1, RACK_AFE_NUMBER_MAX/2)
</t>
  </si>
  <si>
    <t>LinkPos电压 &lt;【CcHVSH_MainPosBusBknVRatNbr=0.4】* 总电压V</t>
    <phoneticPr fontId="2" type="noConversion"/>
  </si>
  <si>
    <t>【CcHVSS_HvSnsrFltSetTims=500】ms</t>
    <phoneticPr fontId="2" type="noConversion"/>
  </si>
  <si>
    <t>【CcHVSS_HvLnkPosVOorFltSetTims=1000】ms</t>
    <phoneticPr fontId="2" type="noConversion"/>
  </si>
  <si>
    <t>V9.1.7</t>
  </si>
  <si>
    <t xml:space="preserve">17个项目：BMS10_RBMS，BMS11_RBMS，BMS12_RBMS，BMS13_RBMS，BMS14_RBMS，BMS20CN_RBMS，BMS20_RBMS，BMS21CN_RBMS，BMS23_RBMS，LC25_RBMS，MIC_RBMS，RTG10CN_RBMS，RTG10_RBMS，SF05T_RBMS，SF05_RBMS，SIB_RBMS，TD_RBMS
【FaultList】
Correct:
HVSH_HIGH_VOLTAGE_LOOP_BROKEN_FAULT
FaultAssertCriteria：高压总压小于【CcHVSH_HvLoopBknVRatNbr =0.4】*电芯电压累加和 → pack电压 &lt;【CcHVSH_HvLoopBknVRatNbr=0.4】* 电芯电压累加和
HVSH_MAIN_POSITIVE_BUS_BROKEN_FAULT
FaultAssertCriteria：LinkPos电压 &lt;【CcHVSH_MainPosBusBknVRatNbr =0.4】* 总电压V → LinkPos电压 &lt;【CcHVSH_MainPosBusBknVRatNbr=0.4】* 总电压V
HVSS_HIGH_VOLTAGE_SENSOR_FAULT
FaultAssertDebounceTime：【CcHVSS_HvSnsrFltSetTims = 500】ms → 【CcHVSS_HvSnsrFltSetTims=500】ms
HVSS_LINK_POSITIVE_VOLTAGE_OUT_OF_RANGE_FAULT
FaultAssertCriteria：Linkpos电压大于【CcHVSS_LnkPosVOorCfmThdV = 1800】V → Linkpos电压 &gt;【CcHVSS_LnkPosVOorCfmThdV=1800】V
FaultAssertDebounceTime：【CcHVSS_HvLnkPosVOorFltSetTims =1000】ms → 【CcHVSS_HvLnkPosVOorFltSetTims=1000】ms
</t>
  </si>
  <si>
    <t>【CcACIS_MSDOpenFltSetTims=2000】ms</t>
    <phoneticPr fontId="2" type="noConversion"/>
  </si>
  <si>
    <t>主控SPD1浪涌反馈【BSWSSPD1SrgFlg；SbACIS_Spd1OpenFlt】</t>
    <phoneticPr fontId="2" type="noConversion"/>
  </si>
  <si>
    <t>【CcACIS_RBMSQSOpenFltSetTims=3000】ms</t>
    <phoneticPr fontId="2" type="noConversion"/>
  </si>
  <si>
    <t>门禁故障【BSWSDoorOpenFlg;SbACIS_DoorOpenFlg】</t>
    <phoneticPr fontId="2" type="noConversion"/>
  </si>
  <si>
    <t>V9.1.8</t>
  </si>
  <si>
    <t xml:space="preserve">16个项目：BMS10_RBMS，BMS11_RBMS，BMS12_RBMS，BMS13_RBMS，BMS14_RBMS，BMS20CN_RBMS，BMS20_RBMS，BMS21CN_RBMS，BMS23_RBMS，LC25_RBMS，MIC_RBMS，RTG10CN_RBMS，RTG10_RBMS，SF05T_RBMS，SF05_RBMS，SIB_RBMS
【FaultList】
Correct:
ACIS_MSD_OPEN_FAULT
FaultAssertDebounceTime：【CcHVSH_MSDOpenFltSetTims=2000】ms → 【CcACIS_MSDOpenFltSetTims=2000】ms
FaultDeassertDebounceTime：【CcACIS_MSDOpenFltSetTims=2000】ms → 【CcACIS_MSDOpenFltClrTims=2000】ms
ACIS_RBMS_SPD1_OPEN_FAULT
FaultDescription：主控SPD1浪涌反馈【BSWSRackDoorRawCnt[1]；SbACIS_Spd1OpenFlt】 → 主控SPD1浪涌反馈【BSWSSPD1SrgFlg；SbACIS_Spd1OpenFlt】
ACIS_RBMS_QS_OPEN_FAULT
FaultAssertDebounceTime：【CcCTSC_RBMSQSOpenFltSetTims=3000】ms → 【CcACIS_RBMSQSOpenFltSetTims=3000】ms
FaultDeassertDebounceTime：【CcACIS_RBMSQSOpenFltSetTims=3000】ms → 【CcACIS_RBMSQSOpenFltClrTims=3000】ms
ACIS_RBMS_DOOR_OPEN_FAULT
FaultDescription：门禁故障【BSWSRackDoorRawCnt[0]；SbACIS_DoorOpenFlt】 → 门禁故障【BSWSDoorOpenFlg;SbACIS_DoorOpenFlg】
</t>
  </si>
  <si>
    <t>V9.1.9</t>
  </si>
  <si>
    <t xml:space="preserve">10个项目：BMS10_RBMS，BMS20CN_RBMS，BMS20_RBMS，BMS21CN_RBMS，LC25_RBMS，RTG10CN_RBMS，RTG10_RBMS，SF05T_RBMS，SF05_RBMS，TD_RBMS
【FaultList】
Add:
ACIS_COOL_FAN_FAULT
ACIS_SMOKE_FEEDBACK_FAULT
ACIS_TEMP_FEEDBACK_FAULT
ACIS_ESTOP_FAULT
ACIS_WATER_FLOOD_FAULT
ACIS_QF1_BREAKER_FAULT
ACIS_AEROSOL_FAULT
ACIS_AEROSOL2_FAULT
</t>
  </si>
  <si>
    <t>【CcCLTS_CellTOorLoLimFltSetTims=3000】ms</t>
    <phoneticPr fontId="2" type="noConversion"/>
  </si>
  <si>
    <t>V9.2.0</t>
  </si>
  <si>
    <t xml:space="preserve">6个项目：BMS20CN_RBMS，BMS20_RBMS，BMS21CN_RBMS，RTG10CN_RBMS，RTG10_RBMS，TD_RBMS
【FaultList】
Correct:
CLTS_CELL_TEMPERATURE_OUT_OF_RANGE_LOW_FAULT
FaultAssertDebounceTime：【CcCLTS_CellTOorHiLimFltSetTims=3000】ms → 【CcCLTS_CellTOorLoLimFltSetTims=3000】ms
</t>
  </si>
  <si>
    <t>ISOH_INSULATION_FAULT_CONFIGURATION</t>
  </si>
  <si>
    <t>V9.2.1</t>
  </si>
  <si>
    <t xml:space="preserve">16个项目：BMS11_RBMS，BMS12_RBMS，BMS13_RBMS，BMS14_RBMS，BMS20CN_RBMS，BMS20_RBMS，BMS21CN_RBMS，BMS23_RBMS，LC25_RBMS，MIC_RBMS，RTG10CN_RBMS，RTG10_RBMS，SF05T_RBMS，SF05_RBMS，SIB_RBMS，BMS10_RBMS
【SystemParameter】
Add:
ISOH_INSULATION_FAULT_CONFIGURATION
</t>
  </si>
  <si>
    <t>Three-tier architecture system, can the clusters automatically be connected to high voltage? (0: can't; 1: can)</t>
  </si>
  <si>
    <t>CTSC_THREE_LEVEL_SYSTEM_RBMS_POWERUP_AUTO</t>
  </si>
  <si>
    <t>V9.2.2</t>
  </si>
  <si>
    <t xml:space="preserve">16个项目：BMS10_RBMS，BMS11_RBMS，BMS12_RBMS，BMS13_RBMS，BMS14_RBMS，BMS20CN_RBMS，BMS20_RBMS，BMS21CN_RBMS，LC25_RBMS，MIC_RBMS，RTG10CN_RBMS，RTG10_RBMS，SF05T_RBMS，SF05_RBMS，SIB_RBMS，TD_RBMS
【SystemParameter】
Add:
CTSC_THREE_LEVEL_SYSTEM_RBMS_POWERUP_AUTO
</t>
  </si>
  <si>
    <t>Is the low side of the relay normally closed? (0: No; 1:Yes)</t>
  </si>
  <si>
    <t>CTSC_RLYLSD_NORMAL_CLOSE</t>
  </si>
  <si>
    <t>V9.2.3</t>
  </si>
  <si>
    <t xml:space="preserve">17个项目：BMS10_RBMS，BMS11_RBMS，BMS12_RBMS，BMS13_RBMS，BMS14_RBMS，BMS20CN_RBMS，BMS20_RBMS，BMS21CN_RBMS，BMS23_RBMS，BMS24_RBMS，LC25_RBMS，MIC_RBMS，RTG10CN_RBMS，RTG10_RBMS，SF05T_RBMS，SF05_RBMS，SIB_RBMS
【SystemParameter】
Add:
CTSC_RLYLSD_NORMAL_CLOSE
</t>
  </si>
  <si>
    <t>Insulation  low fault parameter configuration 
0:parameter*HVbatV
1:parameter</t>
    <phoneticPr fontId="2" type="noConversion"/>
  </si>
  <si>
    <t>V9.2.4</t>
  </si>
  <si>
    <t xml:space="preserve">18个项目：BMS10_RBMS，BMS11_RBMS，BMS12_RBMS，BMS13_RBMS，BMS14_RBMS，BMS20CN_RBMS，BMS20_RBMS，BMS21CN_RBMS，BMS23_RBMS，BMS24_RBMS，LC25_RBMS，MIC_RBMS，RTG10CN_RBMS，RTG10_RBMS，SF05T_RBMS，SF05_RBMS，SIB_RBMS，TD_RBMS
【SystemParameter】
Correct:
ISOH_INSULATION_FAULT_CONFIGURATION
Description：Insulation  low fault parameter configuration 
0:parameter*HVbatV
1:parameter*cellnumb*3.2 → Insulation  low fault parameter configuration 
0:parameter*HVbatV
1:parameter
</t>
  </si>
  <si>
    <t>最低绝缘 &lt;= 【CcISOH_WarningOhmsPerV=2000】Ω/V</t>
    <phoneticPr fontId="2" type="noConversion"/>
  </si>
  <si>
    <t>最低绝缘&lt;= 【CcISOH_LowOhmsPerV=3000】Ω/v</t>
    <phoneticPr fontId="2" type="noConversion"/>
  </si>
  <si>
    <t>最低绝缘 &gt;【CcISOH_LowOhmsDsstPerV=4000】Ω/V</t>
    <phoneticPr fontId="2" type="noConversion"/>
  </si>
  <si>
    <t>V9.2.5</t>
  </si>
  <si>
    <t xml:space="preserve">17个项目：BMS10_RBMS，BMS11_RBMS，BMS12_RBMS，BMS13_RBMS，BMS14_RBMS，BMS20CN_RBMS，BMS20_RBMS，BMS21CN_RBMS，BMS23_RBMS，BMS24_RBMS，LC25_RBMS，MIC_RBMS，RTG10CN_RBMS，RTG10_RBMS，SF05T_RBMS，SF05_RBMS，SIB_RBMS
【FaultList】
Correct:
ISOH_ISOLATION_LOW_LEVEL2_FAULT
FaultAssertCriteria：最低绝缘 &lt; 【CcISOH_WarningOhmsPerV=2000】Ω/V → 最低绝缘 &lt;= 【CcISOH_WarningOhmsPerV=2000】Ω/V
ISOH_ISOLATION_LOW_LEVEL3_FAULT
FaultAssertCriteria：最低绝缘&lt; 【CcISOH_LowOhmsPerV=3000】Ω/v → 最低绝缘&lt;= 【CcISOH_LowOhmsPerV=3000】Ω/v
FaultDeassertCriteria：最低绝缘 &gt;= 【CcISOH_LowOhmsDsstPerV=4000】Ω/V → 最低绝缘 &gt;【CcISOH_LowOhmsDsstPerV=4000】Ω/V
</t>
  </si>
  <si>
    <t>V9.2.6</t>
  </si>
  <si>
    <t xml:space="preserve">16个项目：BMS10_RBMS，BMS11_RBMS，BMS12_RBMS，BMS13_RBMS，BMS14_RBMS，BMS20CN_RBMS，BMS20_RBMS，BMS21CN_RBMS，LC25_RBMS，MIC_RBMS，RTG10CN_RBMS，RTG10_RBMS，SF05T_RBMS，SF05_RBMS，SIB_RBMS，TD_RBMS
【FaultList】
Add:
EMCR_DEHUMIDIFIER_TO_BMS_COMMUNICATION_LOST_FAULT
EMCR_IOModule_TO_BMS_COMMUNICATION_LOST_FAULT
</t>
  </si>
  <si>
    <t>处于充电状态（或静置【CcCLTH_OverTempFltChStAddStandbyNbr=0】，0-静置时不报警，1-静置时报充电过温，2-静置时报放电过温），且电芯最高温度&gt;【CcCLTH_ChOvtempLvl1LimDegC=65】℃</t>
    <phoneticPr fontId="2" type="noConversion"/>
  </si>
  <si>
    <t>处于充电状态（或静置【CcCLTH_OverTempFltChStAddStandbyNbr=0】，0-静置时不报警，1-静置时报充电过温，2-静置时报放电过温），且电芯最高温度&gt;【CcCLTH_ChOvtempLvl2LimDegC=60】℃</t>
    <phoneticPr fontId="2" type="noConversion"/>
  </si>
  <si>
    <t>处于充电状态（或静置【CcCLTH_OverTempFltChStAddStandbyNbr=0】，0-静置时不报警，1-静置时报充电过温，2-静置时报放电过温），且电芯最高温度&gt;【CcCLTH_ChOvtempLvl3LimDegC=55】℃</t>
    <phoneticPr fontId="2" type="noConversion"/>
  </si>
  <si>
    <t>处于放电状态（或静置【CcCLTH_UnderTempFltChStAddStandbyNbr=0】，0-静置时不报警，1-静置时报充电欠温，2-静置时报放电欠温），且电芯最低温度&lt; 【CcCLTH_DischUnderTLvl3LimDegC=0】℃</t>
    <phoneticPr fontId="2" type="noConversion"/>
  </si>
  <si>
    <t>处于放电状态（或静置【CcCLTH_OverTempFltChStAddStandbyNbr=0】，0-静置时不报警，1-静置时报充电过温，2-静置时报放电过温），且电芯最高温度&gt;【CcCLTH_DischOvtempLvl1LimDegC=65】℃</t>
    <phoneticPr fontId="2" type="noConversion"/>
  </si>
  <si>
    <t>处于放电状态（或静置【CcCLTH_OverTempFltChStAddStandbyNbr=0】，0-静置时不报警，1-静置时报充电过温，2-静置时报放电过温），且电芯最高温度&gt;【CcCLTH_DischOvtempLvl2LimDegC=60】℃</t>
    <phoneticPr fontId="2" type="noConversion"/>
  </si>
  <si>
    <t>处于放电状态（或静置【CcCLTH_OverTempFltChStAddStandbyNbr=0】，0-静置时不报警，1-静置时报充电过温，2-静置时报放电过温），且电芯最高温度&gt;【CcCLTH_DischOvtempLvl3LimDegC=55】℃</t>
    <phoneticPr fontId="2" type="noConversion"/>
  </si>
  <si>
    <t>最高单体温度在【CcCLTH_CellTempRiseDebounceTimeS=60】s内的温升有效且温升速率&gt;【CcCLTH_CellTempRiseChangeRate=10】℃/min，
温升有效：时刻t-T、t-2T/3、t-T/3、t的温度有效且递增，T为温升计算时间间隔。</t>
    <phoneticPr fontId="2" type="noConversion"/>
  </si>
  <si>
    <t>V9.2.7</t>
  </si>
  <si>
    <t xml:space="preserve">工具选择18个项目：BMS10_RBMS，BMS11_RBMS，BMS12_RBMS，BMS13_RBMS，BMS14_RBMS，BMS20CN_RBMS，BMS20_RBMS，BMS21CN_RBMS，BMS23_RBMS，BMS24_RBMS，LC25_RBMS，MIC_RBMS，RTG10CN_RBMS，RTG10_RBMS，SF05T_RBMS，SF05_RBMS，SIB_RBMS，TD_RBMS
【FaultList】
Correct:
CLTH_CHG_UNDER_TEMPERATURE_LEVEL1_FAULT
FaultAssertCriteria：处于充电状态，且电芯最低温度&lt; 【CcCLTH_ChUnderTLvl1LimDegC=-30】℃ → 处于充电状态（或静置【CcCLTH_UnderTempFltChStAddStandbyNbr=0】，0-静置时不报警，1-静置时报充电欠温，2-静置时报放电欠温），且电芯最低温度&lt; 【CcCLTH_ChUnderTLvl1LimDegC=-30】℃
CLTH_CHG_UNDER_TEMPERATURE_LEVEL2_FAULT
FaultAssertCriteria：处于充电状态，且电芯最低温度&lt; 【CcCLTH_ChUnderTLvl2LimDegC=0】℃ → 处于充电状态（或静置【CcCLTH_UnderTempFltChStAddStandbyNbr=0】，0-静置时不报警，1-静置时报充电欠温，2-静置时报放电欠温），且电芯最低温度&lt; 【CcCLTH_ChUnderTLvl2LimDegC=0】℃
CLTH_CHG_UNDER_TEMPERATURE_LEVEL3_FAULT
FaultAssertCriteria：处于充电状态，且电芯最低温度&lt; 【CcCLTH_ChUnderTLvl3LimDegC=5】℃ → 处于充电状态（或静置【CcCLTH_UnderTempFltChStAddStandbyNbr=0】，0-静置时不报警，1-静置时报充电欠温，2-静置时报放电欠温），且电芯最低温度&lt; 【CcCLTH_ChUnderTLvl3LimDegC=5】℃
CLTH_CHG_OVER_TEMPERATURE_LEVEL1_FAULT
FaultAssertCriteria：处于充电状态，且电芯最高温度&gt;【CcCLTH_ChOvtempLvl1LimDegC=65】℃ → 处于充电状态（或静置【CcCLTH_OverTempFltChStAddStandbyNbr=0】，0-静置时不报警，1-静置时报充电过温，2-静置时报放电过温），且电芯最高温度&gt;【CcCLTH_ChOvtempLvl1LimDegC=65】℃
CLTH_CHG_OVER_TEMPERATURE_LEVEL2_FAULT
FaultAssertCriteria：处于充电状态，且电芯最高温度&gt;【CcCLTH_ChOvtempLvl2LimDegC=60】℃ → 处于充电状态（或静置【CcCLTH_OverTempFltChStAddStandbyNbr=0】，0-静置时不报警，1-静置时报充电过温，2-静置时报放电过温），且电芯最高温度&gt;【CcCLTH_ChOvtempLvl2LimDegC=60】℃
CLTH_CHG_OVER_TEMPERATURE_LEVEL3_FAULT
FaultAssertCriteria：处于充电状态，且电芯最高温度&gt;【CcCLTH_ChOvtempLvl3LimDegC=55】℃ → 处于充电状态（或静置【CcCLTH_OverTempFltChStAddStandbyNbr=0】，0-静置时不报警，1-静置时报充电过温，2-静置时报放电过温），且电芯最高温度&gt;【CcCLTH_ChOvtempLvl3LimDegC=55】℃
CLTH_DSG_UNDER_TEMPERATURE_LEVEL1_FAULT
FaultAssertCriteria：处于放电状态，且电芯最低温度&lt; 【CcCLTH_DischUnderTLvl1LimDegC=-35】℃ → 处于放电状态（或静置【CcCLTH_UnderTempFltChStAddStandbyNbr=0】，0-静置时不报警，1-静置时报充电欠温，2-静置时报放电欠温），且电芯最低温度&lt; 【CcCLTH_DischUnderTLvl1LimDegC=-35】℃
CLTH_DSG_UNDER_TEMPERATURE_LEVEL2_FAULT
FaultAssertCriteria：处于放电状态，且电芯最低温度&lt; 【CcCLTH_DischUnderTLvl2LimDegC=-30】℃ → 处于放电状态（或静置【CcCLTH_UnderTempFltChStAddStandbyNbr=0】，0-静置时不报警，1-静置时报充电欠温，2-静置时报放电欠温），且电芯最低温度&lt; 【CcCLTH_DischUnderTLvl2LimDegC=-30】℃
CLTH_DSG_UNDER_TEMPERATURE_LEVEL3_FAULT
FaultAssertCriteria：处于放电状态，且电芯最低温度&lt; 【CcCLTH_DischUnderTLvl3LimDegC=0】℃ → 处于放电状态（或静置【CcCLTH_UnderTempFltChStAddStandbyNbr=0】，0-静置时不报警，1-静置时报充电欠温，2-静置时报放电欠温），且电芯最低温度&lt; 【CcCLTH_DischUnderTLvl3LimDegC=0】℃
CLTH_DSG_OVER_TEMPERATURE_LEVEL1_FAULT
FaultAssertCriteria：处于放电状态，且电芯最高温度&gt;【CcCLTH_DischOvtempLvl1LimDegC=65】℃ → 处于放电状态（或静置【CcCLTH_OverTempFltChStAddStandbyNbr=0】，0-静置时不报警，1-静置时报充电过温，2-静置时报放电过温），且电芯最高温度&gt;【CcCLTH_DischOvtempLvl1LimDegC=65】℃
CLTH_DSG_OVER_TEMPERATURE_LEVEL2_FAULT
FaultAssertCriteria：处于放电状态，且电芯最高温度&gt;【CcCLTH_DischOvtempLvl2LimDegC=60】℃ → 处于放电状态（或静置【CcCLTH_OverTempFltChStAddStandbyNbr=0】，0-静置时不报警，1-静置时报充电过温，2-静置时报放电过温），且电芯最高温度&gt;【CcCLTH_DischOvtempLvl2LimDegC=60】℃
CLTH_DSG_OVER_TEMPERATURE_LEVEL3_FAULT
FaultAssertCriteria：处于放电状态，且电芯最高温度&gt;【CcCLTH_DischOvtempLvl3LimDegC=55】℃ → 处于放电状态（或静置【CcCLTH_OverTempFltChStAddStandbyNbr=0】，0-静置时不报警，1-静置时报充电过温，2-静置时报放电过温），且电芯最高温度&gt;【CcCLTH_DischOvtempLvl3LimDegC=55】℃
CLTH_TEMPERATURE_RISE_TOO_FAST_FAULT
FaultAssertCriteria：电芯温度上升速率为&gt;=【CcCLTH_CellTempRiseChangeRate=10】℃/min → 最高单体温度在【CcCLTH_CellTempRiseDebounceTimeS=60】s内的温升有效且温升速率&gt;【CcCLTH_CellTempRiseChangeRate=10】℃/min，
温升有效：时刻t-T、t-2T/3、t-T/3、t的温度有效且递增，T为温升计算时间间隔。
</t>
  </si>
  <si>
    <t>处于充电状态（或静置【CcCLTH_UnderTempFltChStAddStandbyNbr=0】，0-静置时不报警，1-静置时报充电欠温，2-静置时报放电欠温），且电芯最低温度&lt; 【CcCLTH_ChUnderTLvl1LimDegC=0】℃</t>
    <phoneticPr fontId="2" type="noConversion"/>
  </si>
  <si>
    <t>处于充电状态（或静置【CcCLTH_UnderTempFltChStAddStandbyNbr=0】，0-静置时不报警，1-静置时报充电欠温，2-静置时报放电欠温），且电芯最低温度&lt; 【CcCLTH_ChUnderTLvl2LimDegC=3】℃</t>
    <phoneticPr fontId="2" type="noConversion"/>
  </si>
  <si>
    <t>满足以下条件之一：
1. 处于充电或静置状态，且电芯最低温度&gt;=【CcCLTH_ChUnderTLvl2RcvryLimDegC=6】℃；
2. 转换为放电状态；</t>
    <phoneticPr fontId="2" type="noConversion"/>
  </si>
  <si>
    <t>处于充电状态（或静置【CcCLTH_UnderTempFltChStAddStandbyNbr=0】，0-静置时不报警，1-静置时报充电欠温，2-静置时报放电欠温），且电芯最低温度&lt; 【CcCLTH_ChUnderTLvl3LimDegC=6】℃</t>
    <phoneticPr fontId="2" type="noConversion"/>
  </si>
  <si>
    <t>满足以下条件之一：
1. 处于充电或静置状态，且电芯最低温度&gt;=【CcCLTH_ChUnderTLvl3RcvryLimDegC=9】℃；
2. 转换为放电状态；</t>
    <phoneticPr fontId="2" type="noConversion"/>
  </si>
  <si>
    <t>处于放电状态（或静置【CcCLTH_UnderTempFltChStAddStandbyNbr=0】，0-静置时不报警，1-静置时报充电欠温，2-静置时报放电欠温），且电芯最低温度&lt; 【CcCLTH_DischUnderTLvl1LimDegC=-30】℃</t>
    <phoneticPr fontId="2" type="noConversion"/>
  </si>
  <si>
    <t>处于放电状态（或静置【CcCLTH_UnderTempFltChStAddStandbyNbr=0】，0-静置时不报警，1-静置时报充电欠温，2-静置时报放电欠温），且电芯最低温度&lt; 【CcCLTH_DischUnderTLvl2LimDegC=-27】℃</t>
    <phoneticPr fontId="2" type="noConversion"/>
  </si>
  <si>
    <t>满足以下条件之一：
1. 处于放电或静置状态，且电芯最低温度&gt;=【CcCLTH_DischUnderTLvl2RcvryLimDegC=-24】℃；
2. 转换为充电状态；</t>
    <phoneticPr fontId="2" type="noConversion"/>
  </si>
  <si>
    <t>满足以下条件之一：
1. 处于放电或静置状态，且电芯最低温度&gt;=【CcCLTH_DischUnderTLvl3RcvryLimDegC=3】℃；
2. 转换为充电状态；</t>
    <phoneticPr fontId="2" type="noConversion"/>
  </si>
  <si>
    <t>V9.2.8</t>
  </si>
  <si>
    <t xml:space="preserve">工具选择4个项目：BMS20CN_RBMS，BMS20_RBMS，RTG10CN_RBMS，RTG10_RBMS
【FaultList】
Correct:
CLTH_CHG_UNDER_TEMPERATURE_LEVEL1_FAULT
FaultAssertCriteria：处于充电状态（或静置【CcCLTH_UnderTempFltChStAddStandbyNbr=0】，0-静置时不报警，1-静置时报充电欠温，2-静置时报放电欠温），且电芯最低温度&lt; 【CcCLTH_ChUnderTLvl1LimDegC=-30】℃ → 处于充电状态（或静置【CcCLTH_UnderTempFltChStAddStandbyNbr=0】，0-静置时不报警，1-静置时报充电欠温，2-静置时报放电欠温），且电芯最低温度&lt; 【CcCLTH_ChUnderTLvl1LimDegC=0】℃
CLTH_CHG_UNDER_TEMPERATURE_LEVEL2_FAULT
ChargeSOPCoef(%)：50 → 100
DischargeSOPCoef(%)：50 → 100
FaultAssertCriteria：处于充电状态（或静置【CcCLTH_UnderTempFltChStAddStandbyNbr=0】，0-静置时不报警，1-静置时报充电欠温，2-静置时报放电欠温），且电芯最低温度&lt; 【CcCLTH_ChUnderTLvl2LimDegC=0】℃ → 处于充电状态（或静置【CcCLTH_UnderTempFltChStAddStandbyNbr=0】，0-静置时不报警，1-静置时报充电欠温，2-静置时报放电欠温），且电芯最低温度&lt; 【CcCLTH_ChUnderTLvl2LimDegC=3】℃
FaultDeassertCriteria：满足以下条件之一：
1. 处于充电或静置状态，且电芯最低温度&gt;=【CcCLTH_ChUnderTLvl2RcvryLimDegC=5】℃；
2. 转换为放电状态； → 满足以下条件之一：
1. 处于充电或静置状态，且电芯最低温度&gt;=【CcCLTH_ChUnderTLvl2RcvryLimDegC=6】℃；
2. 转换为放电状态；
CLTH_CHG_UNDER_TEMPERATURE_LEVEL3_FAULT
FaultAssertCriteria：处于充电状态（或静置【CcCLTH_UnderTempFltChStAddStandbyNbr=0】，0-静置时不报警，1-静置时报充电欠温，2-静置时报放电欠温），且电芯最低温度&lt; 【CcCLTH_ChUnderTLvl3LimDegC=5】℃ → 处于充电状态（或静置【CcCLTH_UnderTempFltChStAddStandbyNbr=0】，0-静置时不报警，1-静置时报充电欠温，2-静置时报放电欠温），且电芯最低温度&lt; 【CcCLTH_ChUnderTLvl3LimDegC=6】℃
FaultDeassertCriteria：满足以下条件之一：
1. 处于充电或静置状态，且电芯最低温度&gt;=【CcCLTH_ChUnderTLvl3RcvryLimDegC=10】℃；
2. 转换为放电状态； → 满足以下条件之一：
1. 处于充电或静置状态，且电芯最低温度&gt;=【CcCLTH_ChUnderTLvl3RcvryLimDegC=9】℃；
2. 转换为放电状态；
CLTH_DSG_UNDER_TEMPERATURE_LEVEL1_FAULT
FaultAssertCriteria：处于放电状态（或静置【CcCLTH_UnderTempFltChStAddStandbyNbr=0】，0-静置时不报警，1-静置时报充电欠温，2-静置时报放电欠温），且电芯最低温度&lt; 【CcCLTH_DischUnderTLvl1LimDegC=-35】℃ → 处于放电状态（或静置【CcCLTH_UnderTempFltChStAddStandbyNbr=0】，0-静置时不报警，1-静置时报充电欠温，2-静置时报放电欠温），且电芯最低温度&lt; 【CcCLTH_DischUnderTLvl1LimDegC=-30】℃
CLTH_DSG_UNDER_TEMPERATURE_LEVEL2_FAULT
ChargeSOPCoef(%)：50 → 100
DischargeSOPCoef(%)：50 → 100
FaultAssertCriteria：处于放电状态（或静置【CcCLTH_UnderTempFltChStAddStandbyNbr=0】，0-静置时不报警，1-静置时报充电欠温，2-静置时报放电欠温），且电芯最低温度&lt; 【CcCLTH_DischUnderTLvl2LimDegC=-30】℃ → 处于放电状态（或静置【CcCLTH_UnderTempFltChStAddStandbyNbr=0】，0-静置时不报警，1-静置时报充电欠温，2-静置时报放电欠温），且电芯最低温度&lt; 【CcCLTH_DischUnderTLvl2LimDegC=-27】℃
FaultDeassertCriteria：满足以下条件之一：
1. 处于放电或静置状态，且电芯最低温度&gt;=【CcCLTH_DischUnderTLvl2RcvryLimDegC=-25】℃；
2. 转换为充电状态； → 满足以下条件之一：
1. 处于放电或静置状态，且电芯最低温度&gt;=【CcCLTH_DischUnderTLvl2RcvryLimDegC=-24】℃；
2. 转换为充电状态；
CLTH_DSG_UNDER_TEMPERATURE_LEVEL3_FAULT
FaultDeassertCriteria：满足以下条件之一：
1. 处于放电或静置状态，且电芯最低温度&gt;=【CcCLTH_DischUnderTLvl3RcvryLimDegC=5】℃；
2. 转换为充电状态； → 满足以下条件之一：
1. 处于放电或静置状态，且电芯最低温度&gt;=【CcCLTH_DischUnderTLvl3RcvryLimDegC=3】℃；
2. 转换为充电状态；
</t>
  </si>
  <si>
    <t>[1 4 3 3 3 3 3 3 2 3 4 0 0 0 0 0 0 2 0 0;
 1 3 3 3 3 3 3 3 2 3 4 0 0 0 0 0 0 2 0 0;
 1 4 3 3 3 3 3 3 2 3 3 0 0 0 0 0 0 2 0 0;
 1 4 3 3 3 3 3 3 2 4 4 5 5 0 0 0 0 2 0 0]</t>
    <phoneticPr fontId="2" type="noConversion"/>
  </si>
  <si>
    <t>V9.2.9</t>
  </si>
  <si>
    <t xml:space="preserve">工具选择2个项目：BMS20CN_RBMS，BMS20_RBMS
【SystemParameter】
Correct:
MODULE_TEMPERATURE_SENSOR_SAMPLING_CHANNEL_CONFIGURATION
Value：[1 4 3 3 3 3 3 3 2 3 4 0 0 0 0 0 0 2 0 0;
 1 3 3 3 3 3 3 3 2 3 4 0 0 0 0 0 0 2 0 0;
 1 4 3 3 3 3 3 3 2 3 3 0 0 0 0 0 0 2 0 0;
 1 4 3 3 3 3 3 3 2 3 4 5 5 0 0 0 0 2 0 0] → [1 4 3 3 3 3 3 3 2 3 4 0 0 0 0 0 0 2 0 0;
 1 3 3 3 3 3 3 3 2 3 4 0 0 0 0 0 0 2 0 0;
 1 4 3 3 3 3 3 3 2 3 3 0 0 0 0 0 0 2 0 0;
 1 4 3 3 3 3 3 3 2 4 4 5 5 0 0 0 0 2 0 0]
</t>
  </si>
  <si>
    <t>V9.3.0</t>
  </si>
  <si>
    <t xml:space="preserve">工具选择34个项目：BMS10_BBMS，BMS10_RBMS，BMS11_RBMS，BMS12_RBMS，BMS13_RBMS，BMS14_RBMS，BMS20A_BBMS，BMS20CNA_BBMS，BMS20CNM_BBMS，BMS20CN_RBMS，BMS20M_BBMS，BMS20_RBMS，BMS21CNA_BBMS，BMS21CNM_BBMS，BMS21CN_RBMS，BMS23A_BBMS，BMS23M_BBMS，BMS23_RBMS，BMS24A_BBMS，BMS24M_BBMS，BMS24_RBMS，LC25_BBMS，LC25_RBMS，MIC_RBMS，RTG10A_BBMS，RTG10CNA_BBMS，RTG10CNM_BBMS，RTG10CN_RBMS，RTG10M_BBMS，RTG10_RBMS，SF05T_RBMS，SF05_RBMS，SIB_RBMS，TD_RBMS
【FaultList】
Correct:
ACIS_FIRE_EXTINGUISHER_ALERT_FAULT
Justification：  → 【冗余定义检查】：故障未使用
</t>
  </si>
  <si>
    <t>V9.3.1</t>
  </si>
  <si>
    <t xml:space="preserve">12个项目：BMS10_RBMS，BMS20CN_RBMS，BMS20_RBMS，BMS21CN_RBMS，BMS25_RBMS，LC25_RBMS，RTG10CN_RBMS，RTG10HM_RBMS，RTG10_RBMS，SF05T_RBMS，SF05_RBMS，TD_RBMS
【FaultList】
Add:
EMCR_PCS_TO_BMS_COMMUNICATION_LOST_FAULT
</t>
  </si>
  <si>
    <t>V9.3.2</t>
  </si>
  <si>
    <t xml:space="preserve">工具选择21个项目：BMS10_RBMS，BMS11_RBMS，BMS12_RBMS，BMS13_RBMS，BMS14_RBMS，BMS20CN_RBMS，BMS20_RBMS，BMS21CN_RBMS，BMS23_RBMS，BMS24_RBMS，BMS25_RBMS，BMS26_RBMS，LC25_RBMS，MIC_RBMS，RTG10CN_RBMS，RTG10HM_RBMS，RTG10_RBMS，SF05T_RBMS，SF05_RBMS，SIB_RBMS，TD_RBMS
【FaultList】
Add:
BTCD_SHORT_CIRCUIT_FAULT
BTCS_HALLSENS_OVERRANGE_FAULT
</t>
  </si>
  <si>
    <t>融合开关欠压故障【ScLVPS_RlyPowSplyValV；SbCTSC_CombineSwVoltLowFlt】</t>
    <phoneticPr fontId="2" type="noConversion"/>
  </si>
  <si>
    <t>V9.3.3</t>
  </si>
  <si>
    <t xml:space="preserve">工具选择21个项目：BMS10_RBMS，BMS11_RBMS，BMS12_RBMS，BMS13_RBMS，BMS14_RBMS，BMS20CN_RBMS，BMS20_RBMS，BMS21CN_RBMS，BMS23_RBMS，BMS24_RBMS，BMS25_RBMS，BMS26_RBMS，LC25_RBMS，MIC_RBMS，RTG10CN_RBMS，RTG10HM_RBMS，RTG10_RBMS，SF05T_RBMS，SF05_RBMS，SIB_RBMS，TD_RBMS
【FaultList】
Correct:
CTSC_COMBINE_SWITCH_VOLT_LOW_FAULT
FaultDescription：融合开关欠压故障【故障已删除】 → 融合开关欠压故障【ScLVPS_RlyPowSplyValV；SbCTSC_CombineSwVoltLowFlt】
</t>
  </si>
  <si>
    <t>Classification</t>
    <phoneticPr fontId="2" type="noConversion"/>
  </si>
  <si>
    <t>FaultDescription</t>
    <phoneticPr fontId="2" type="noConversion"/>
  </si>
  <si>
    <t>FaultName</t>
    <phoneticPr fontId="2" type="noConversion"/>
  </si>
  <si>
    <t>DiagnoseEnableCondition</t>
    <phoneticPr fontId="2" type="noConversion"/>
  </si>
  <si>
    <t>FaultAssertCriteria</t>
    <phoneticPr fontId="2" type="noConversion"/>
  </si>
  <si>
    <t>FaultAssertDebounceTime</t>
    <phoneticPr fontId="2" type="noConversion"/>
  </si>
  <si>
    <t>FaultDeassertCriteria</t>
    <phoneticPr fontId="2" type="noConversion"/>
  </si>
  <si>
    <t>FaultDeassertDebounceTime</t>
    <phoneticPr fontId="2" type="noConversion"/>
  </si>
  <si>
    <t>EnableFault</t>
    <phoneticPr fontId="2" type="noConversion"/>
  </si>
  <si>
    <t>FaultID</t>
    <phoneticPr fontId="2" type="noConversion"/>
  </si>
  <si>
    <t>FaultLevel</t>
    <phoneticPr fontId="2" type="noConversion"/>
  </si>
  <si>
    <t>ChargeSOPCoef(%)</t>
    <phoneticPr fontId="2" type="noConversion"/>
  </si>
  <si>
    <t>DischargeSOPCoef(%)</t>
    <phoneticPr fontId="2" type="noConversion"/>
  </si>
  <si>
    <t>Justification</t>
    <phoneticPr fontId="2" type="noConversion"/>
  </si>
  <si>
    <t>bms</t>
    <phoneticPr fontId="2" type="noConversion"/>
  </si>
  <si>
    <t>AFE硬件故障【AFEPreFltFlg；AFEFltFlg】</t>
    <phoneticPr fontId="2" type="noConversion"/>
  </si>
  <si>
    <t>AFES_AFE_FAULT</t>
    <phoneticPr fontId="2" type="noConversion"/>
  </si>
  <si>
    <t>无菊花链通信故障（CRC故障、Counter故障、通信丢失、多点断线）</t>
    <phoneticPr fontId="2" type="noConversion"/>
  </si>
  <si>
    <t>任一AFE故障诊断信息中出现以下任一故障：
AFE电压源故障
AFE电压源超范围故障
AFE内部时钟故障
AFE误进测试模式故障
AFE误进睡眠模式故障
AFE NVM故障
AFE 冗余SPI故障</t>
    <phoneticPr fontId="2" type="noConversion"/>
  </si>
  <si>
    <t>【CcAFES_AFEFltSetTims=3000】ms</t>
    <phoneticPr fontId="2" type="noConversion"/>
  </si>
  <si>
    <t>下电</t>
    <phoneticPr fontId="2" type="noConversion"/>
  </si>
  <si>
    <t>菊花链通信丢失故障【DaisyChainUpdPreFltFlg；DaisyChainUpdFltFlg】</t>
    <phoneticPr fontId="2" type="noConversion"/>
  </si>
  <si>
    <t>AFES_DAISY_CHAIN_NO_UPDATE_FAULT</t>
    <phoneticPr fontId="2" type="noConversion"/>
  </si>
  <si>
    <t>上电</t>
    <phoneticPr fontId="2" type="noConversion"/>
  </si>
  <si>
    <t>主副菊花链都不更新</t>
    <phoneticPr fontId="2" type="noConversion"/>
  </si>
  <si>
    <t>【CcAFES_DaisyChainNoUpdFltSetTims=3000】ms</t>
    <phoneticPr fontId="2" type="noConversion"/>
  </si>
  <si>
    <t>AFE采样CRC故障【AFEMsgCRCPreFltFlg；AFEMsgCRCFltFlg】</t>
    <phoneticPr fontId="2" type="noConversion"/>
  </si>
  <si>
    <t>AFES_CRC_FAULT</t>
    <phoneticPr fontId="2" type="noConversion"/>
  </si>
  <si>
    <t>AFE采样数据的CRC校验不通过</t>
    <phoneticPr fontId="2" type="noConversion"/>
  </si>
  <si>
    <t>【CcAFES_AFECRCFltSetTims=3000】ms</t>
    <phoneticPr fontId="2" type="noConversion"/>
  </si>
  <si>
    <t>电芯电压采样线掉线【CellVSamplgLineOffPreFltFlg；CellVSamplgLineOffFltFlg】</t>
    <phoneticPr fontId="2" type="noConversion"/>
  </si>
  <si>
    <t>AFES_CELL_VOLTAGE_SAMPLING_LINE_OFF_FAULT</t>
    <phoneticPr fontId="2" type="noConversion"/>
  </si>
  <si>
    <t>1.无菊花链通信故障（CRC故障、Counter故障、通信丢失、多点断线）
2. 无AFE硬件故障</t>
    <phoneticPr fontId="2" type="noConversion"/>
  </si>
  <si>
    <t>任一电芯电压采样线掉线</t>
    <phoneticPr fontId="2" type="noConversion"/>
  </si>
  <si>
    <t>【CcAFES_CellVSamplgLineOffFltSetTims=3000】ms</t>
    <phoneticPr fontId="2" type="noConversion"/>
  </si>
  <si>
    <t>菊花链单点断线【DaisyChainSngPointOffPreFltFlg；DaisyChainSngPointOffFltFlg】</t>
    <phoneticPr fontId="2" type="noConversion"/>
  </si>
  <si>
    <t>AFES_DAISY_CHAIN_SINGLE_POINT_OFF_FAULT</t>
    <phoneticPr fontId="2" type="noConversion"/>
  </si>
  <si>
    <t>菊花链回环单点断线</t>
    <phoneticPr fontId="2" type="noConversion"/>
  </si>
  <si>
    <t>【CcAFES_DaisyChainSngPointOffFltSetTims=3000】ms</t>
    <phoneticPr fontId="2" type="noConversion"/>
  </si>
  <si>
    <t>菊花链单点掉线恢复</t>
    <phoneticPr fontId="2" type="noConversion"/>
  </si>
  <si>
    <t>【CcAFES_DaisyChainSngPointOffFltClrTims=3000】ms</t>
    <phoneticPr fontId="2" type="noConversion"/>
  </si>
  <si>
    <t>菊花链多点断线【DaisyChainMplPointOffPreFltFlg；DaisyChainMplPointOffFltFlg】</t>
    <phoneticPr fontId="2" type="noConversion"/>
  </si>
  <si>
    <t>AFES_DAISY_CHAIN_MULTIPLE_POINT_OFF_FAULT</t>
    <phoneticPr fontId="2" type="noConversion"/>
  </si>
  <si>
    <t>菊花链回环多点断线</t>
    <phoneticPr fontId="2" type="noConversion"/>
  </si>
  <si>
    <t>【CcAFES_DaisyChainMplPointOffFltSetTims=3000】ms</t>
    <phoneticPr fontId="2" type="noConversion"/>
  </si>
  <si>
    <t>均衡回路故障【SbCBSS_BalLoopCircPreFailFlg；SbCBSS_BalLoopCircFlt】</t>
    <phoneticPr fontId="2" type="noConversion"/>
  </si>
  <si>
    <t>CBSS_BALANCING_LOOP_CIRCUIT_FAULT</t>
    <phoneticPr fontId="2" type="noConversion"/>
  </si>
  <si>
    <t>均衡回路诊断周期：
1. 上电诊断
2. 每【CcCBSS_BalCircDiagDeltTiMin=1440】min诊断
同时满足以下条件，该timestep均衡回路Flt：
1. Vmin/Vmax &lt;【CcCBSS_CellVmVHighLim=3800】mV 且 &gt;【CcCBSS_CellVmVLowLim=2200】mV
2. 概要电芯电压有效
3. CellV减去CellBalActV &lt;【CcCBSS_BalDiagDltVmVLowLim=100】mV 或 &gt;【CcCBSS_BalDiagDltVmVHighLim=1500】mV
4. 均衡回路反馈状态BalFbStState为1(均衡)
5. AFECellVVldFlg有效
奇数/偶数通道异常计数：
7次中4次异常则该通道该次诊断异常</t>
    <phoneticPr fontId="2" type="noConversion"/>
  </si>
  <si>
    <t>【CcCBSS_CellBalLoopCircFltSetNbr=3】次</t>
    <phoneticPr fontId="2" type="noConversion"/>
  </si>
  <si>
    <t>电芯温度采样短地(STG)【SbCLTS_CellTOorHiLimPreFltFlg；SbCLTS_CellTOorHiFlt】</t>
    <phoneticPr fontId="2" type="noConversion"/>
  </si>
  <si>
    <t>CLTS_CELL_TEMPERATURE_OUT_OF_RANGE_HIGH_FAULT</t>
    <phoneticPr fontId="2" type="noConversion"/>
  </si>
  <si>
    <t>【CcCLTS_CellTOorHiLimFltSetTims=3000】ms</t>
    <phoneticPr fontId="2" type="noConversion"/>
  </si>
  <si>
    <t>电芯温度采样短电源(STB or Oc)【SbCLTS_CellTOorLoLimPreFltFlg；SbCLTS_CellTOorLoFlt】</t>
    <phoneticPr fontId="2" type="noConversion"/>
  </si>
  <si>
    <t>CLTS_CELL_TEMPERATURE_OUT_OF_RANGE_LOW_FAULT</t>
    <phoneticPr fontId="2" type="noConversion"/>
  </si>
  <si>
    <t>电芯温度采样MUX故障【SbCLTS_CellTSamplgMUXPreFltFlg；SbCLTS_CellTMUXFlt】</t>
    <phoneticPr fontId="2" type="noConversion"/>
  </si>
  <si>
    <t>CLTS_CELL_TEMPERATURE_SAMPLING_MUX_FAULT</t>
    <phoneticPr fontId="2" type="noConversion"/>
  </si>
  <si>
    <t>同时满足以下条件的电芯数量&gt;=【CcCLTS_TSampFailJudgCellNbr=1】或Pack数量&gt;=【CcCLTS_TSampFailJudgPackNbr=1】：
1. AFE电芯温度采样有效；
2. 所在MUX对GND采样温度CNT值&gt;【CcCLTS_MuxInVldLimNbr=-9127】</t>
    <phoneticPr fontId="2" type="noConversion"/>
  </si>
  <si>
    <t>【CcCLTS_CellTMUXFltSetTims=3000】ms</t>
    <phoneticPr fontId="2" type="noConversion"/>
  </si>
  <si>
    <t>电芯电压采样超范围【SaCLVS_CellVmV；SbCLVS_CellVOorFlt】</t>
    <phoneticPr fontId="2" type="noConversion"/>
  </si>
  <si>
    <t>CLVS_CELL_VOLTAGE_OUT_OF_RANGE_FAULT</t>
    <phoneticPr fontId="2" type="noConversion"/>
  </si>
  <si>
    <t>AFE电芯电压采样有效</t>
    <phoneticPr fontId="2" type="noConversion"/>
  </si>
  <si>
    <t>相关电芯电压 &gt;= 【CcCLVS_CellVOorHiLimmV=4500】mV or 相关电芯电压&lt;= 【CcCLVS_CellVOorLoLimmV=100】mV</t>
    <phoneticPr fontId="2" type="noConversion"/>
  </si>
  <si>
    <t>【CcCLVS_CellVOorFltSetTims=3000】ms</t>
    <phoneticPr fontId="2" type="noConversion"/>
  </si>
  <si>
    <t>高压采样传感器故障 【BSWSHvBatVRawValVldFlg、BSWSHvLnkPosVRawValVldFlg，SbHVSS_HvSnsrPrefail；SbHVSS_HvSnsrFlt】</t>
    <phoneticPr fontId="2" type="noConversion"/>
  </si>
  <si>
    <t>HVSS_HIGH_VOLTAGE_SENSOR_FAULT</t>
    <phoneticPr fontId="2" type="noConversion"/>
  </si>
  <si>
    <t>以下任意条件满足：
1. Battery电压采集无效；
2. LinkPos电压采集无效；</t>
    <phoneticPr fontId="2" type="noConversion"/>
  </si>
  <si>
    <t>Battery电压超范围故障 【BSWSHvBatVRawValNbr，SbHVSS_HvBatVOorPrefail；SbHVSS_HvBatVOorFlt】</t>
    <phoneticPr fontId="2" type="noConversion"/>
  </si>
  <si>
    <t>HVSS_BATTERY_VOLTAGE_OUT_OF_RANGE_FAULT</t>
    <phoneticPr fontId="2" type="noConversion"/>
  </si>
  <si>
    <t>需同时满足以下条件：
1. Battery电压采集有效；
2. 高压采样芯片供电电压有效；</t>
    <phoneticPr fontId="2" type="noConversion"/>
  </si>
  <si>
    <t>【CcHVSS_HvBatVOorFltSetTims=1000】ms</t>
    <phoneticPr fontId="2" type="noConversion"/>
  </si>
  <si>
    <t>LinkPos电压超范围故障【BSWSHvLnkPosVRawValNbr，SbHVSS_HvLnkPosVOorPrefail；SbHVSS_HvLnkPosVOorFlt】</t>
    <phoneticPr fontId="2" type="noConversion"/>
  </si>
  <si>
    <t>HVSS_LINK_POSITIVE_VOLTAGE_OUT_OF_RANGE_FAULT</t>
    <phoneticPr fontId="2" type="noConversion"/>
  </si>
  <si>
    <t>需同时满足以下条件：
1. LinkPos电压采集有效；
2. 高压采样芯片供电电压有效；</t>
    <phoneticPr fontId="2" type="noConversion"/>
  </si>
  <si>
    <t>peripherals</t>
    <phoneticPr fontId="2" type="noConversion"/>
  </si>
  <si>
    <t>电流传感器通讯丢失故障【BSWSMsgAvlFlg；SbBTCS_MsgToFlt】</t>
    <phoneticPr fontId="2" type="noConversion"/>
  </si>
  <si>
    <t>BTCS_CANMSG_TIMEOUT_FAULT</t>
    <phoneticPr fontId="2" type="noConversion"/>
  </si>
  <si>
    <t>RBMS未收到电流报文</t>
    <phoneticPr fontId="2" type="noConversion"/>
  </si>
  <si>
    <t>【CcBTCS_CANMsgTOFltDiagTims=3000】ms</t>
    <phoneticPr fontId="2" type="noConversion"/>
  </si>
  <si>
    <t>电流传感器硬件故障【BSWSBatIDiagInfoFlg；SbBTCS_BatIsnsRInvalidFlt】</t>
    <phoneticPr fontId="2" type="noConversion"/>
  </si>
  <si>
    <t>BTCS_CANBATI_IMPLY_FAULT</t>
    <phoneticPr fontId="2" type="noConversion"/>
  </si>
  <si>
    <t>电流传感器失效（满足任一失效模式：1、电流超过520A；2、闭环参考电压超范围；3、信号无效超过100ms；4、供电电压超范围。）</t>
    <phoneticPr fontId="2" type="noConversion"/>
  </si>
  <si>
    <t>【CcBTCS_CANBatISnsrHwFltDiagTims=3000】ms</t>
    <phoneticPr fontId="2" type="noConversion"/>
  </si>
  <si>
    <t>电流传感器零漂故障【SbBTCS_CANBatIZeroDriftFlg；SbBTCS_CANBatIZeroDriftFlt】</t>
    <phoneticPr fontId="2" type="noConversion"/>
  </si>
  <si>
    <t>BTCS_CANBATI_ZERODRIFT_FAULT</t>
    <phoneticPr fontId="2" type="noConversion"/>
  </si>
  <si>
    <t>电流传感器无报文超时故障；
电流传感器报文无RollingCounter故障；
电流传感器无CRC故障；
电流传感器诊断OK；</t>
    <phoneticPr fontId="2" type="noConversion"/>
  </si>
  <si>
    <t>高压继电器断开，且电流传感器报文值绝对值大于等于零飘电流值（CURRENT_SENSOR_ZERO_DRIFT_A）</t>
    <phoneticPr fontId="2" type="noConversion"/>
  </si>
  <si>
    <t>【CcBTCS_CANBatIZeroDriftFltDiagTims=3000】ms</t>
    <phoneticPr fontId="2" type="noConversion"/>
  </si>
  <si>
    <t>电流传感器CRC故障【BSWSMsgCRCResFlg；SbBTCS_MsgCRCResFlt】</t>
    <phoneticPr fontId="2" type="noConversion"/>
  </si>
  <si>
    <t>BTCS_CANMSG_CRCRES_FAULT</t>
    <phoneticPr fontId="2" type="noConversion"/>
  </si>
  <si>
    <t>检测到电流传感器RCR故障</t>
    <phoneticPr fontId="2" type="noConversion"/>
  </si>
  <si>
    <t>【CcBTCS_CANMsgCRCResFltDiagTims=3000】ms</t>
    <phoneticPr fontId="2" type="noConversion"/>
  </si>
  <si>
    <t>ACIS_RBMS_SPD1_OPEN_FAULT</t>
    <phoneticPr fontId="2" type="noConversion"/>
  </si>
  <si>
    <t>24V供电电压有效</t>
    <phoneticPr fontId="2" type="noConversion"/>
  </si>
  <si>
    <t>回检异常(HIGH)</t>
    <phoneticPr fontId="2" type="noConversion"/>
  </si>
  <si>
    <t>【CcACIS_Spd1OpenFltSetTims=3000】ms</t>
    <phoneticPr fontId="2" type="noConversion"/>
  </si>
  <si>
    <t>回检正常(Low)</t>
    <phoneticPr fontId="2" type="noConversion"/>
  </si>
  <si>
    <t>【CcACIS_Spd1OpenFltClrTims=3000】ms</t>
    <phoneticPr fontId="2" type="noConversion"/>
  </si>
  <si>
    <t>MCU故障复位原因【故障已删除】</t>
    <phoneticPr fontId="2" type="noConversion"/>
  </si>
  <si>
    <t>MCUD_RESET_FAULT</t>
    <phoneticPr fontId="2" type="noConversion"/>
  </si>
  <si>
    <t>BMU复位</t>
    <phoneticPr fontId="2" type="noConversion"/>
  </si>
  <si>
    <t>【CcMCUD_MCURstFltSetTims=10000】ms</t>
    <phoneticPr fontId="2" type="noConversion"/>
  </si>
  <si>
    <t>【冗余定义检查】：故障已删除</t>
    <phoneticPr fontId="2" type="noConversion"/>
  </si>
  <si>
    <t>MCU内部数据及存储地址错误故障【故障已删除】</t>
    <phoneticPr fontId="2" type="noConversion"/>
  </si>
  <si>
    <t>MCUD_MEMORY_INTERNAL_DATA_FAULT</t>
    <phoneticPr fontId="2" type="noConversion"/>
  </si>
  <si>
    <t>MCU memory and addressing error</t>
    <phoneticPr fontId="2" type="noConversion"/>
  </si>
  <si>
    <t>error detected</t>
    <phoneticPr fontId="2" type="noConversion"/>
  </si>
  <si>
    <t>【CcMCUD_MCUMemIntDataFltSetTims=2000】ms</t>
    <phoneticPr fontId="2" type="noConversion"/>
  </si>
  <si>
    <t>cell</t>
    <phoneticPr fontId="2" type="noConversion"/>
  </si>
  <si>
    <t>单体电压高一级【ScCLVH_MaxCellVmV；SbCLVH_MaxCellVoltageOverLevel1FaultFlg】</t>
    <phoneticPr fontId="2" type="noConversion"/>
  </si>
  <si>
    <t>CLVH_MAXCELLV_OV_LEVEL1_FAULT</t>
    <phoneticPr fontId="2" type="noConversion"/>
  </si>
  <si>
    <t>电压有效</t>
    <phoneticPr fontId="2" type="noConversion"/>
  </si>
  <si>
    <t>最高单体电压&gt;【CcCLVH_MaxCellVOvLvl1FltVmV=3700】mV</t>
    <phoneticPr fontId="2" type="noConversion"/>
  </si>
  <si>
    <t>【CcCLVH_MaxCellVOvLvl1FltDiagTims=3000】ms</t>
    <phoneticPr fontId="2" type="noConversion"/>
  </si>
  <si>
    <t>单体电压高二级【ScCLVH_MaxCellVmV；SbCLVH_MaxCellVoltageOverLevel2FaultFlg】</t>
    <phoneticPr fontId="2" type="noConversion"/>
  </si>
  <si>
    <t>CLVH_MAXCELLV_OV_LEVEL2_FAULT</t>
    <phoneticPr fontId="2" type="noConversion"/>
  </si>
  <si>
    <t>最高单体电压&gt; (FULL_CHARGE_CELLV=3620) mV</t>
    <phoneticPr fontId="2" type="noConversion"/>
  </si>
  <si>
    <t>【CcCLVH_MaxCellVOvLvl2FltDiagTims=3000】ms</t>
    <phoneticPr fontId="2" type="noConversion"/>
  </si>
  <si>
    <t>最高单体电压&lt;=【CcCLVH_MaxCellVOvLvl2FltRcvryVmV=3570】mV</t>
    <phoneticPr fontId="2" type="noConversion"/>
  </si>
  <si>
    <t>【CcCLVH_MaxCellVOvLvl2FltRcvryTims=3000】ms</t>
    <phoneticPr fontId="2" type="noConversion"/>
  </si>
  <si>
    <t>单体电压高三级【ScCLVH_MaxCellVmV；SbCLVH_MaxCellVoltageOverLevel3FaultFlg】</t>
    <phoneticPr fontId="2" type="noConversion"/>
  </si>
  <si>
    <t>CLVH_MAXCELLV_OV_LEVEL3_FAULT</t>
    <phoneticPr fontId="2" type="noConversion"/>
  </si>
  <si>
    <t>最高单体电压&gt;【CcCLVH_MaxCellVOvLvl3FltVmV=3550】mV</t>
    <phoneticPr fontId="2" type="noConversion"/>
  </si>
  <si>
    <t>【CcCLVH_MaxCellVOvLvl3FltDiagTims=3000】ms</t>
    <phoneticPr fontId="2" type="noConversion"/>
  </si>
  <si>
    <t>最高单体电压&lt;=【CcCLVH_MaxCellVOvLvl3FltRcvryVmV=3500】mV</t>
    <phoneticPr fontId="2" type="noConversion"/>
  </si>
  <si>
    <t>【CcCLVH_MaxCellVOvLvl3FltRcvryTims=3000】ms</t>
    <phoneticPr fontId="2" type="noConversion"/>
  </si>
  <si>
    <t>单体电压低一级【ScCLVH_MinCellVmV；SbCLVH_MinCellVoltageUnderLevel1FaultFlg】</t>
    <phoneticPr fontId="2" type="noConversion"/>
  </si>
  <si>
    <t>CLVH_MINCELLV_UV_LEVEL1_FAULT</t>
    <phoneticPr fontId="2" type="noConversion"/>
  </si>
  <si>
    <t>最低单体电压&lt;【CcCLVH_MinCellVUvLvl1FltVmV=2450】mV</t>
    <phoneticPr fontId="2" type="noConversion"/>
  </si>
  <si>
    <t>【CcCLVH_MinCellVUvLvl1FltDiagTims=3000】ms</t>
    <phoneticPr fontId="2" type="noConversion"/>
  </si>
  <si>
    <t>单体电压低二级【ScCLVH_MinCellVmV；SbCLVH_MinCellVoltageUnderLevel2FaultFlg】</t>
    <phoneticPr fontId="2" type="noConversion"/>
  </si>
  <si>
    <t>CLVH_MINCELLV_UV_LEVEL2_FAULT</t>
    <phoneticPr fontId="2" type="noConversion"/>
  </si>
  <si>
    <t>最低单体电压&lt; (FULL_DISCHARGE_CELLV=2500) mV</t>
    <phoneticPr fontId="2" type="noConversion"/>
  </si>
  <si>
    <t>【CcCLVH_MinCellVUvLvl2FltDiagTims=3000】ms</t>
    <phoneticPr fontId="2" type="noConversion"/>
  </si>
  <si>
    <t>最低单体电压&gt;=【CcCLVH_MinCellVUvLvl2FltRcvryVmV=2700】mV</t>
    <phoneticPr fontId="2" type="noConversion"/>
  </si>
  <si>
    <t>【CcCLVH_MinCellVUvLvl2FltRcvryTims=3000】ms</t>
    <phoneticPr fontId="2" type="noConversion"/>
  </si>
  <si>
    <t>单体电压低三级【ScCLVH_MinCellVmV；SbCLVH_MinCellVoltageUnderLevel3FaultFlg】</t>
    <phoneticPr fontId="2" type="noConversion"/>
  </si>
  <si>
    <t>CLVH_MINCELLV_UV_LEVEL3_FAULT</t>
    <phoneticPr fontId="2" type="noConversion"/>
  </si>
  <si>
    <t>最低单体电压&lt;【CcCLVH_MinCellVUvLvl3FltVmV=2900】mV</t>
    <phoneticPr fontId="2" type="noConversion"/>
  </si>
  <si>
    <t>【CcCLVH_MinCellVUvLvl3FltDiagTims=3000】ms</t>
    <phoneticPr fontId="2" type="noConversion"/>
  </si>
  <si>
    <t>最低单体电压&gt;=【CcCLVH_MinCellVUvLvl3FltRcvryVmV=3000】mV</t>
    <phoneticPr fontId="2" type="noConversion"/>
  </si>
  <si>
    <t>【CcCLVH_MinCellVUvLvl3FltRcvryTims=3000】ms</t>
    <phoneticPr fontId="2" type="noConversion"/>
  </si>
  <si>
    <t>单体压差大一级【ScCLVH_MaxCellVmV、ScCLVH_MinCellVmV；SbCLVH_DeltaCellVoltageLargeLevel1FaultFlg】</t>
    <phoneticPr fontId="2" type="noConversion"/>
  </si>
  <si>
    <t>CLVH_DELTACELLV_OL_LEVEL1_FAULT</t>
    <phoneticPr fontId="2" type="noConversion"/>
  </si>
  <si>
    <t>DeltV &gt;【CcCLVH_DeltaCellVOLLvl1FltVmV=800】mV</t>
    <phoneticPr fontId="2" type="noConversion"/>
  </si>
  <si>
    <t>【CcCLVH_DeltaCellVOLLvl1FltDiagTims=3000】ms</t>
    <phoneticPr fontId="2" type="noConversion"/>
  </si>
  <si>
    <t>单体压差大二级【ScCLVH_MaxCellVmV、ScCLVH_MinCellVmV；SbCLVH_DeltaCellVoltageLargeLevel2FaultFlg】</t>
    <phoneticPr fontId="2" type="noConversion"/>
  </si>
  <si>
    <t>CLVH_DELTACELLV_OL_LEVEL2_FAULT</t>
    <phoneticPr fontId="2" type="noConversion"/>
  </si>
  <si>
    <t>DeltV &gt;【CcCLVH_DeltaCellVOLLvl2FltVmV=500】mV</t>
    <phoneticPr fontId="2" type="noConversion"/>
  </si>
  <si>
    <t>【CcCLVH_DeltaCellVOLLvl2FltDiagTims=3000】ms</t>
    <phoneticPr fontId="2" type="noConversion"/>
  </si>
  <si>
    <t>最大单体压差&lt;=【CcCLVH_DeltaCellVOLLvl2FltRcvryVmV=400】mV</t>
    <phoneticPr fontId="2" type="noConversion"/>
  </si>
  <si>
    <t>【CcCLVH_DeltaCellVOLLvl2FltRcvryTims=3000】ms</t>
    <phoneticPr fontId="2" type="noConversion"/>
  </si>
  <si>
    <t>单体压差大三级【ScCLVH_MaxCellVmV、ScCLVH_MinCellVmV；SbCLVH_DeltaCellVoltageLargeLevel3FaultFlg】</t>
    <phoneticPr fontId="2" type="noConversion"/>
  </si>
  <si>
    <t>CLVH_DELTACELLV_OL_LEVEL3_FAULT</t>
    <phoneticPr fontId="2" type="noConversion"/>
  </si>
  <si>
    <t>DeltV &gt;【CcCLVH_DeltaCellVOLLvl3FltVmV=300】mV</t>
    <phoneticPr fontId="2" type="noConversion"/>
  </si>
  <si>
    <t>【CcCLVH_DeltaCellVOLLvl3FltDiagTims=3000】ms</t>
    <phoneticPr fontId="2" type="noConversion"/>
  </si>
  <si>
    <t>最大单体压差&lt;=【CcCLVH_DeltaCellVOLLvl3FltRcvryVmV=200】mV</t>
    <phoneticPr fontId="2" type="noConversion"/>
  </si>
  <si>
    <t>【CcCLVH_DeltaCellVOLLvl3FltRcvryTims=3000】ms</t>
    <phoneticPr fontId="2" type="noConversion"/>
  </si>
  <si>
    <t>单体极限过压【ScCLVH_MaxCellVmV；SbCLVH_MaxCellVoltageOverLevel4FaultFlg】</t>
    <phoneticPr fontId="2" type="noConversion"/>
  </si>
  <si>
    <t>CLVH_MAXCELLV_OV_LEVEL4_FAULT</t>
    <phoneticPr fontId="2" type="noConversion"/>
  </si>
  <si>
    <t>最高单体电压&gt;=【CcCLVH_MaxCellVOvLvl4FltVmV=3800】mV</t>
    <phoneticPr fontId="2" type="noConversion"/>
  </si>
  <si>
    <t>【CcCLVH_MaxCellVOvLvl4FltDiagTims=3000】ms</t>
    <phoneticPr fontId="2" type="noConversion"/>
  </si>
  <si>
    <t>上位机清除</t>
    <phoneticPr fontId="2" type="noConversion"/>
  </si>
  <si>
    <t>单体极限欠压【ScCLVH_MinCellVmV；SbCLVH_MinCellVoltageUnderLevel4FaultFlg】</t>
    <phoneticPr fontId="2" type="noConversion"/>
  </si>
  <si>
    <t>CLVH_MINCELLV_UV_LEVEL4_FAULT</t>
    <phoneticPr fontId="2" type="noConversion"/>
  </si>
  <si>
    <t>最低单体电压&lt;=【CcCLVH_MinCellVUvLvl4FltV1mV=1600】mV(Tmin &lt;= 0℃)
最低单体电压&lt;=【CcCLVH_MinCellVUvLvl4FltV2mV=2000】mV(Tmin &gt; 0℃ or Tmin 无效)</t>
    <phoneticPr fontId="2" type="noConversion"/>
  </si>
  <si>
    <t>【CcCLVH_MinCellVUvLvl4FltDiagTims=3000】ms</t>
    <phoneticPr fontId="2" type="noConversion"/>
  </si>
  <si>
    <t>单体电压和与AFE电压不匹配【SaCLVS_CellVmV、SaCLVS_MdulVmV；SbCLVH_VoltageMismatchFlt】</t>
    <phoneticPr fontId="2" type="noConversion"/>
  </si>
  <si>
    <t>CLVH_VOLTAGE_MISMATCH_FAULT</t>
    <phoneticPr fontId="2" type="noConversion"/>
  </si>
  <si>
    <t>AFE电压大于【CcCLVH_MdulCellSumFltVmV=19500】mv</t>
    <phoneticPr fontId="2" type="noConversion"/>
  </si>
  <si>
    <t>|SumCV-MV| &gt;【CcCLVH_VoltageMismatchFltVmV=1250】mV</t>
    <phoneticPr fontId="2" type="noConversion"/>
  </si>
  <si>
    <t>【CcCLVH_VoltageMismatchFltDiagTims=1000】ms</t>
    <phoneticPr fontId="2" type="noConversion"/>
  </si>
  <si>
    <t>|SumCV-MV| &lt;= 【CcCLVH_VoltageMismatchFltRcvryVmV=500】mV</t>
    <phoneticPr fontId="2" type="noConversion"/>
  </si>
  <si>
    <t>【CcCLVH_VoltageMismatchFltRcvryTims=1000】ms</t>
    <phoneticPr fontId="2" type="noConversion"/>
  </si>
  <si>
    <t>高压回路断路故障【ScCLVH_CellSumV、ScHVSS_HvBatV；SbHVSH_HvLoopBknFlt】</t>
    <phoneticPr fontId="2" type="noConversion"/>
  </si>
  <si>
    <t>HVSH_HIGH_VOLTAGE_LOOP_BROKEN_FAULT</t>
    <phoneticPr fontId="2" type="noConversion"/>
  </si>
  <si>
    <t>下列条件都满足：
1.高压总压有效
2. 电芯概要电压有效</t>
    <phoneticPr fontId="2" type="noConversion"/>
  </si>
  <si>
    <t>【CcHVSH_HvLoopBknFltSetTims=1000】ms</t>
    <phoneticPr fontId="2" type="noConversion"/>
  </si>
  <si>
    <t>电芯电压与Battery电压不匹配【ScHVSS_HvBatV、ScCLVH_CellSumV；SbHVSH_CellSumVWithBatVMismtchFlt】</t>
    <phoneticPr fontId="2" type="noConversion"/>
  </si>
  <si>
    <t>HVSH_CELL_SUM_VOLTAGE_WITH_BATTERY_MISMTCH_FAULT</t>
    <phoneticPr fontId="2" type="noConversion"/>
  </si>
  <si>
    <t>【CcHVSH_CellSumVWithBatVMismtchFltSetTims=1000】ms</t>
    <phoneticPr fontId="2" type="noConversion"/>
  </si>
  <si>
    <t>MSD开路(互锁)故障【BSWSMSDAuxVRawValNbr；SbACIS_MSDOpenFlt】</t>
    <phoneticPr fontId="2" type="noConversion"/>
  </si>
  <si>
    <t>ACIS_MSD_OPEN_FAULT</t>
    <phoneticPr fontId="2" type="noConversion"/>
  </si>
  <si>
    <t>MSD回检到异常高状态（DI7低电平）</t>
    <phoneticPr fontId="2" type="noConversion"/>
  </si>
  <si>
    <t>system</t>
    <phoneticPr fontId="2" type="noConversion"/>
  </si>
  <si>
    <t>总电压过高一级【ScHVSS_HvBatV；SbHVSH_BatOVLvl1Flt】</t>
    <phoneticPr fontId="2" type="noConversion"/>
  </si>
  <si>
    <t>HVSH_BATTERY_OVER_VOLTAGE_LEVEL1_FAULT</t>
    <phoneticPr fontId="2" type="noConversion"/>
  </si>
  <si>
    <t>总电压有效</t>
    <phoneticPr fontId="2" type="noConversion"/>
  </si>
  <si>
    <t>总电压&gt;【CcHVSH_BatOVLvl1FltCfmThdV=3.7】*串数V</t>
    <phoneticPr fontId="2" type="noConversion"/>
  </si>
  <si>
    <t>【CcHVSH_BatOVLvl1FltSetTims=3000】ms</t>
    <phoneticPr fontId="2" type="noConversion"/>
  </si>
  <si>
    <t>总电压过高二级【ScHVSS_HvBatV；SbHVSH_BatOVLvl2Flt】</t>
    <phoneticPr fontId="2" type="noConversion"/>
  </si>
  <si>
    <t>HVSH_BATTERY_OVER_VOLTAGE_LEVEL2_FAULT</t>
    <phoneticPr fontId="2" type="noConversion"/>
  </si>
  <si>
    <t>总电压&gt;【CcHVSH_BatOVLvl2FltCfmThdV=3.62】*串数V</t>
    <phoneticPr fontId="2" type="noConversion"/>
  </si>
  <si>
    <t>【CcHVSH_BatOVLvl2FltSetTims=3000】ms</t>
    <phoneticPr fontId="2" type="noConversion"/>
  </si>
  <si>
    <t>总电压&lt;=【CcHVSH_BatOVLvl2FltRcvrThdV=3.57】*串数V</t>
    <phoneticPr fontId="2" type="noConversion"/>
  </si>
  <si>
    <t>【CcHVSH_BatOVLvl2FltClrTims=3000】ms</t>
    <phoneticPr fontId="2" type="noConversion"/>
  </si>
  <si>
    <t>总电压过高三级【ScHVSS_HvBatV；SbHVSH_BatOVLvl3Flt】</t>
    <phoneticPr fontId="2" type="noConversion"/>
  </si>
  <si>
    <t>HVSH_BATTERY_OVER_VOLTAGE_LEVEL3_FAULT</t>
    <phoneticPr fontId="2" type="noConversion"/>
  </si>
  <si>
    <t>总电压&gt;【CcHVSH_BatOVLvl3FltCfmThdV=3.55】*串数V</t>
    <phoneticPr fontId="2" type="noConversion"/>
  </si>
  <si>
    <t>【CcHVSH_BatOVLvl3FltSetTims=3000】ms</t>
    <phoneticPr fontId="2" type="noConversion"/>
  </si>
  <si>
    <t>总电压&lt;=【CcHVSH_BatOVLvl3FltRcvrThdV=3.5】*串数V</t>
    <phoneticPr fontId="2" type="noConversion"/>
  </si>
  <si>
    <t>【CcHVSH_BatOVLvl3FltClrTims=3000】ms</t>
    <phoneticPr fontId="2" type="noConversion"/>
  </si>
  <si>
    <t>总电压过低一级【ScHVSS_HvBatV；SbHVSH_BatUVLvl1Flt】</t>
    <phoneticPr fontId="2" type="noConversion"/>
  </si>
  <si>
    <t>HVSH_BATTERY_UNDER_VOLTAGE_LEVEL1_FAULT</t>
    <phoneticPr fontId="2" type="noConversion"/>
  </si>
  <si>
    <t>总压电压&lt;【CcHVSH_BatUVLvl1FltCfmThdV=2.45】*串数V</t>
    <phoneticPr fontId="2" type="noConversion"/>
  </si>
  <si>
    <t>【CcHVSH_BatUVLvl1FltSetTims=3000】ms</t>
    <phoneticPr fontId="2" type="noConversion"/>
  </si>
  <si>
    <t>总电压过低二级【ScHVSS_HvBatV；SbHVSH_BatUVLvl2Flt】</t>
    <phoneticPr fontId="2" type="noConversion"/>
  </si>
  <si>
    <t>HVSH_BATTERY_UNDER_VOLTAGE_LEVEL2_FAULT</t>
    <phoneticPr fontId="2" type="noConversion"/>
  </si>
  <si>
    <t>总压电压&lt;【CcHVSH_BatUVLvl2FltCfmThdV=2.5】*串数V</t>
    <phoneticPr fontId="2" type="noConversion"/>
  </si>
  <si>
    <t>【CcHVSH_BatUVLvl2FltSetTims=3000】ms</t>
    <phoneticPr fontId="2" type="noConversion"/>
  </si>
  <si>
    <t>总压电压&gt;=【CcHVSH_BatUVLvl2FltRcvrThdV=2.7】*串数V</t>
    <phoneticPr fontId="2" type="noConversion"/>
  </si>
  <si>
    <t>【CcHVSH_BatUVLvl2FltClrTims=3000】ms</t>
    <phoneticPr fontId="2" type="noConversion"/>
  </si>
  <si>
    <t>总电压过低三级【ScHVSS_HvBatV；SbHVSH_BatUVLvl3Flt】</t>
    <phoneticPr fontId="2" type="noConversion"/>
  </si>
  <si>
    <t>HVSH_BATTERY_UNDER_VOLTAGE_LEVEL3_FAULT</t>
    <phoneticPr fontId="2" type="noConversion"/>
  </si>
  <si>
    <t>总压电压&lt;【CcHVSH_BatUVLvl3FltCfmThdV=2.9】*串数V</t>
    <phoneticPr fontId="2" type="noConversion"/>
  </si>
  <si>
    <t>【CcHVSH_BatUVLvl3FltSetTims=3000】ms</t>
    <phoneticPr fontId="2" type="noConversion"/>
  </si>
  <si>
    <t>总压电压&gt;=【CcHVSH_BatUVLvl3FltRcvrThdV=3.0】*串数V</t>
    <phoneticPr fontId="2" type="noConversion"/>
  </si>
  <si>
    <t>【CcHVSH_BatUVLvl3FltClrTims=3000】ms</t>
    <phoneticPr fontId="2" type="noConversion"/>
  </si>
  <si>
    <t>放电电流大一级【ScBTCS_BatIA；SbBTCD_DChaOvcurLvl1】</t>
    <phoneticPr fontId="2" type="noConversion"/>
  </si>
  <si>
    <t>BTCD_DISCHARGE_OVER_CURRENT_LEVEL1_FAULT</t>
    <phoneticPr fontId="2" type="noConversion"/>
  </si>
  <si>
    <t>电流有效</t>
    <phoneticPr fontId="2" type="noConversion"/>
  </si>
  <si>
    <t>放电电流&gt;【CcBTCD_DchILimLvl1ThdA=451】A</t>
    <phoneticPr fontId="2" type="noConversion"/>
  </si>
  <si>
    <t>【CcBTCD_CurrWarnFltSetTims=3000】ms</t>
    <phoneticPr fontId="2" type="noConversion"/>
  </si>
  <si>
    <t>放电电流大二级【ScBTCS_BatIA；SbBTCD_DChaOvcurLvl2】</t>
    <phoneticPr fontId="2" type="noConversion"/>
  </si>
  <si>
    <t>BTCD_DISCHARGE_OVER_CURRENT_LEVEL2_FAULT</t>
    <phoneticPr fontId="2" type="noConversion"/>
  </si>
  <si>
    <t>放电电流&gt;【CcBTCD_DchILimLvl2ThdA=414】A</t>
    <phoneticPr fontId="2" type="noConversion"/>
  </si>
  <si>
    <t>放电电流&lt;=【CcBTCD_DchIClrLimLvl2ThdA=395】A</t>
    <phoneticPr fontId="2" type="noConversion"/>
  </si>
  <si>
    <t>【CcBTCD_CurrWarnFltClrTims=3000】ms</t>
    <phoneticPr fontId="2" type="noConversion"/>
  </si>
  <si>
    <t>放电电流大三级【ScBTCS_BatIA；SbBTCD_DChaOvcurLvl3】</t>
    <phoneticPr fontId="2" type="noConversion"/>
  </si>
  <si>
    <t>BTCD_DISCHARGE_OVER_CURRENT_LEVEL3_FAULT</t>
    <phoneticPr fontId="2" type="noConversion"/>
  </si>
  <si>
    <t>放电电流&gt;【CcBTCD_DchILimLvl3ThdA=395】A</t>
    <phoneticPr fontId="2" type="noConversion"/>
  </si>
  <si>
    <t>放电电流&lt;=【CcBTCD_DchIClrLimLvl3ThdA=376】A</t>
    <phoneticPr fontId="2" type="noConversion"/>
  </si>
  <si>
    <t>充电电流大一级【ScBTCS_BatIA；SbBTCD_ReChOvcurLvl1】</t>
    <phoneticPr fontId="2" type="noConversion"/>
  </si>
  <si>
    <t>BTCD_RECHARGE_OVER_CURRENT_LEVEL1_FAULT</t>
    <phoneticPr fontId="2" type="noConversion"/>
  </si>
  <si>
    <t>充电电流&gt;【CcBTCD_RchaCurLvl1LimThdA=451】A</t>
    <phoneticPr fontId="2" type="noConversion"/>
  </si>
  <si>
    <t>充电电流大二级【ScBTCS_BatIA；SbBTCD_ReChOvcurLvl2】</t>
    <phoneticPr fontId="2" type="noConversion"/>
  </si>
  <si>
    <t>BTCD_RECHARGE_OVER_CURRENT_LEVEL2_FAULT</t>
    <phoneticPr fontId="2" type="noConversion"/>
  </si>
  <si>
    <t>充电电流&gt;【CcBTCD_RchaCurLvl2LimThdA=414】A</t>
    <phoneticPr fontId="2" type="noConversion"/>
  </si>
  <si>
    <t>充电电流&lt;=【CcBTCD_RchaCurClrLvl2LimThdA=395】A</t>
    <phoneticPr fontId="2" type="noConversion"/>
  </si>
  <si>
    <t>充电电流大三级【ScBTCS_BatIA；SbBTCD_ReChOvcurLvl3】</t>
    <phoneticPr fontId="2" type="noConversion"/>
  </si>
  <si>
    <t>BTCD_RECHARGE_OVER_CURRENT_LEVEL3_FAULT</t>
    <phoneticPr fontId="2" type="noConversion"/>
  </si>
  <si>
    <t>充电电流&gt;【CcBTCD_RchaCurLvl3LimThdA=395】A</t>
    <phoneticPr fontId="2" type="noConversion"/>
  </si>
  <si>
    <t>充电电流&lt;=【CcBTCD_RchaCurClrLvl3LimThdA=376】A</t>
    <phoneticPr fontId="2" type="noConversion"/>
  </si>
  <si>
    <t>电芯极限过温【ScCLTH_MaxCellTDegC；SbCLTH_OvtempLvl0】</t>
    <phoneticPr fontId="2" type="noConversion"/>
  </si>
  <si>
    <t>CLTH_OVER_TEMPERATURE_LEVEL0_FAULT</t>
    <phoneticPr fontId="2" type="noConversion"/>
  </si>
  <si>
    <t>1. 任一电芯温度有效；
2. 电流有效；</t>
    <phoneticPr fontId="2" type="noConversion"/>
  </si>
  <si>
    <t>满足以下条件之一：
1. 处于放电或静置状态，且电芯最高温度&gt;=【CcCLTH_DischOvtempLvl0LimDegC=70】℃；
2. 处于充电状态，且电芯最高温度&gt;=【CcCLTH_ChOvtempLvl0LimDegC=70】℃ ；</t>
    <phoneticPr fontId="2" type="noConversion"/>
  </si>
  <si>
    <t>【CcCLTH_TempWarnJudgeDur=3000】ms</t>
    <phoneticPr fontId="2" type="noConversion"/>
  </si>
  <si>
    <t>电芯温度差异大一级【ScCLTH_MaxCellTDegC、ScCLTH_MinCellTDegC；SbCLTH_DeltaCellTTooMuchLvl1Flt】</t>
    <phoneticPr fontId="2" type="noConversion"/>
  </si>
  <si>
    <t>CLTH_DELTA_TEMPERATURE_TOO_MUCH_LEVEL1_FAULT</t>
    <phoneticPr fontId="2" type="noConversion"/>
  </si>
  <si>
    <t>温度有效</t>
    <phoneticPr fontId="2" type="noConversion"/>
  </si>
  <si>
    <t>电芯温差&gt; 【CcCLTH_TempDiffLvl1LimDegC=15】℃</t>
    <phoneticPr fontId="2" type="noConversion"/>
  </si>
  <si>
    <t>电芯温度差异大二级【ScCLTH_MaxCellTDegC、ScCLTH_MinCellTDegC；SbCLTH_DeltaCellTTooMuchLvl2Flt】</t>
    <phoneticPr fontId="2" type="noConversion"/>
  </si>
  <si>
    <t>CLTH_DELTA_TEMPERATURE_TOO_MUCH_LEVEL2_FAULT</t>
    <phoneticPr fontId="2" type="noConversion"/>
  </si>
  <si>
    <t>电芯温差&gt; 【CcCLTH_TempDiffLvl2LimDegC=10】℃</t>
    <phoneticPr fontId="2" type="noConversion"/>
  </si>
  <si>
    <t>电芯温差&lt;=【CcCLTH_TempDiffLvl2RcvryLimDegC=8】℃</t>
    <phoneticPr fontId="2" type="noConversion"/>
  </si>
  <si>
    <t>【CcCLTH_TempWarnRcvryDur=3000】ms</t>
    <phoneticPr fontId="2" type="noConversion"/>
  </si>
  <si>
    <t>电芯温度差异大三级【ScCLTH_MaxCellTDegC、ScCLTH_MinCellTDegC；SbCLTH_DeltaCellTTooMuchLvl3Flt】</t>
    <phoneticPr fontId="2" type="noConversion"/>
  </si>
  <si>
    <t>CLTH_DELTA_TEMPERATURE_TOO_MUCH_LEVEL3_FAULT</t>
    <phoneticPr fontId="2" type="noConversion"/>
  </si>
  <si>
    <t>电芯温差&gt; 【CcCLTH_TempDiffLvl3LimDegC=8】℃</t>
    <phoneticPr fontId="2" type="noConversion"/>
  </si>
  <si>
    <t>电芯温差&lt;=【CcCLTH_TempDiffLvl3RcvryLimDegC=5】℃</t>
    <phoneticPr fontId="2" type="noConversion"/>
  </si>
  <si>
    <t>电芯温升过快【ScCLTH_MaxCellTDegC、ScCLTH_MinCellTDegC；SbCLTH_CellTempRiseTooFastFlt】</t>
    <phoneticPr fontId="2" type="noConversion"/>
  </si>
  <si>
    <t>CLTH_TEMPERATURE_RISE_TOO_FAST_FAULT</t>
    <phoneticPr fontId="2" type="noConversion"/>
  </si>
  <si>
    <t>【CcCLTH_CellTempRiseTooFastJudgeDur=1000】ms</t>
    <phoneticPr fontId="2" type="noConversion"/>
  </si>
  <si>
    <t>电芯热失控故障【ScCLVH_MinCellVmV、ScCLTS_MaxCellTDegC、EbCLTH_CellTempRunAwayFlt；SbCLTH_CellTempRunAwayFlt】</t>
    <phoneticPr fontId="2" type="noConversion"/>
  </si>
  <si>
    <t>CLTH_THERMAL_RUNAWAY_FAULT</t>
    <phoneticPr fontId="2" type="noConversion"/>
  </si>
  <si>
    <t>1. 最低单体电压降在【CcCLTH_CellTempRunAwayDebounceTimeS=3】s内超过初始值的25%；
2. 最高单体温度&gt;=【CcCLTH_TempRunAwayOvtempLimDegC=75】℃；
3. 最高单体温度温升速率&gt;=【CcCLTH_TempRunAwayRiseChangeRate=1】℃/s，持续【CcCLTH_CellTempRunAwayDebounceTimeS=3】s以上；
以上同时满足2个及以上条件</t>
    <phoneticPr fontId="2" type="noConversion"/>
  </si>
  <si>
    <t>【CcCLTH_TempRunAwayJudgeDur=1000】ms</t>
    <phoneticPr fontId="2" type="noConversion"/>
  </si>
  <si>
    <t>从板均衡温度高一级【SbCLTH_PCBBdTVldFlg、ScCLTH_MaxPCBTDegC；SbCLTH_PCBOvrTFlt】</t>
    <phoneticPr fontId="2" type="noConversion"/>
  </si>
  <si>
    <t>CLTH_PCB_BOARD_OVER_TEMPERATURE1_FAULT</t>
    <phoneticPr fontId="2" type="noConversion"/>
  </si>
  <si>
    <t>PCB板温&gt;【CcCLTH_PCBOvtempLim1DegC=100】℃</t>
    <phoneticPr fontId="2" type="noConversion"/>
  </si>
  <si>
    <t>PCB板温&lt;=【CcCLTH_PCBOvtempRcvryLim1DegC=95】℃</t>
    <phoneticPr fontId="2" type="noConversion"/>
  </si>
  <si>
    <t>从板均衡温度高二级【SbCLTH_PCBBdTVldFlg、ScCLTH_MaxPCBTDegC；SbCLTH_PCBOvrTLvl2Flt】</t>
    <phoneticPr fontId="2" type="noConversion"/>
  </si>
  <si>
    <t>CLTH_PCB_BOARD_OVER_TEMPERATURE2_FAULT</t>
    <phoneticPr fontId="2" type="noConversion"/>
  </si>
  <si>
    <t>PCB板温&gt;【CcCLTH_PCBOvtempLim2DegC=95】℃</t>
    <phoneticPr fontId="2" type="noConversion"/>
  </si>
  <si>
    <t>PCB板温&lt;=【CcCLTH_PCBOvtempRcvryLim2DegC=90】℃</t>
    <phoneticPr fontId="2" type="noConversion"/>
  </si>
  <si>
    <t>AFE芯片过温报警【ChipTOverPreFltFlg；ChipTOverFltFlg】</t>
    <phoneticPr fontId="2" type="noConversion"/>
  </si>
  <si>
    <t>AFES_AFE_OVER_TEMPERATURE_FAULT</t>
    <phoneticPr fontId="2" type="noConversion"/>
  </si>
  <si>
    <t>AFE芯片采样温度有效</t>
    <phoneticPr fontId="2" type="noConversion"/>
  </si>
  <si>
    <t>AFE Chip温度&gt;【CcAFES_AFEOvTempLimDegC=120】℃</t>
    <phoneticPr fontId="2" type="noConversion"/>
  </si>
  <si>
    <t>【CcAFES_TempWarnJudgeDur=3000】ms</t>
    <phoneticPr fontId="2" type="noConversion"/>
  </si>
  <si>
    <t>pdu</t>
    <phoneticPr fontId="2" type="noConversion"/>
  </si>
  <si>
    <t>高压盒过温一级【ScCLTH_CtlBoxTMaxDegC；SbCLTH_AmbientOvTLvl1Flt】</t>
    <phoneticPr fontId="2" type="noConversion"/>
  </si>
  <si>
    <t>CLTH_HV_BOX_AMBIENT_OVER_TEMP_LEVEL1_FAULT</t>
    <phoneticPr fontId="2" type="noConversion"/>
  </si>
  <si>
    <t>高压盒温度有效</t>
    <phoneticPr fontId="2" type="noConversion"/>
  </si>
  <si>
    <t>T&gt;【CcCLTH_CtlBoxOvTempLvl1DegC=105】℃</t>
    <phoneticPr fontId="2" type="noConversion"/>
  </si>
  <si>
    <t>【CcCLTH_CtlBoxTWarnJudgeDur=5000】ms</t>
    <phoneticPr fontId="2" type="noConversion"/>
  </si>
  <si>
    <t>T&lt;=【CcCLTH_CtlBoxOvTempRcvryLvl1DegC=100】℃</t>
    <phoneticPr fontId="2" type="noConversion"/>
  </si>
  <si>
    <t>【CcCLTH_CtlBoxTWarnRcvryDur=5000】ms</t>
    <phoneticPr fontId="2" type="noConversion"/>
  </si>
  <si>
    <t>高压盒过温二级【ScCLTH_CtlBoxTMaxDegC；SbCLTH_AmbientOvTLvl2Flt】</t>
    <phoneticPr fontId="2" type="noConversion"/>
  </si>
  <si>
    <t>CLTH_HV_BOX_AMBIENT_OVER_TEMP_LEVEL2_FAULT</t>
    <phoneticPr fontId="2" type="noConversion"/>
  </si>
  <si>
    <t>T&gt;【CcCLTH_CtlBoxOvTempLvl2DegC=100】℃</t>
    <phoneticPr fontId="2" type="noConversion"/>
  </si>
  <si>
    <t>T&lt;=【CcCLTH_CtlBoxOvTempRcvryLvl2DegC=95】℃</t>
    <phoneticPr fontId="2" type="noConversion"/>
  </si>
  <si>
    <t>高压盒过温三级【ScCLTH_CtlBoxTMaxDegC；SbCLTH_AmbientOvTLvl3Flt】</t>
    <phoneticPr fontId="2" type="noConversion"/>
  </si>
  <si>
    <t>CLTH_HV_BOX_AMBIENT_OVER_TEMP_LEVEL3_FAULT</t>
    <phoneticPr fontId="2" type="noConversion"/>
  </si>
  <si>
    <t>T&gt;【CcCLTH_CtlBoxOvTempLvl3DegC=95】℃</t>
    <phoneticPr fontId="2" type="noConversion"/>
  </si>
  <si>
    <t>T&lt;=【CcCLTH_CtlBoxOvTempRcvryLvl3DegC=90】℃</t>
    <phoneticPr fontId="2" type="noConversion"/>
  </si>
  <si>
    <t>继电器供电电压过高故障【ScLVPS_RlyPowSplyValV、SbLVPS_RlyPowSplyVldFlg、SbMCUD_MCUChipADCPrefailFlg；SbLVPH_RlyPowSplyOVFlt】</t>
    <phoneticPr fontId="2" type="noConversion"/>
  </si>
  <si>
    <t>LVPH_RELAY_POWER_SUPPLY_OVER_VOLTAGE_FAULT</t>
    <phoneticPr fontId="2" type="noConversion"/>
  </si>
  <si>
    <t>1、无MCU芯片ADC模块故障；
2、无继电器供电电压超范围故障；</t>
    <phoneticPr fontId="2" type="noConversion"/>
  </si>
  <si>
    <t>继电器供电电压大于【CcLVPH_RlyPowSplyOVFltCfmThdV=32】V</t>
    <phoneticPr fontId="2" type="noConversion"/>
  </si>
  <si>
    <t>【CcLVPH_RlyPowSplyOVFltSetTims=1000】ms</t>
    <phoneticPr fontId="2" type="noConversion"/>
  </si>
  <si>
    <t>继电器供电电压过低故障【ScLVPS_RlyPowSplyValV、SbLVPS_RlyPowSplyVldFlg、SbMCUD_MCUChipADCPrefailFlg；SbLVPH_RlyPowSplyUVFlt】</t>
    <phoneticPr fontId="2" type="noConversion"/>
  </si>
  <si>
    <t>LVPH_RELAY_POWER_SUPPLY_UNDER_VOLTAGE_FAULT</t>
    <phoneticPr fontId="2" type="noConversion"/>
  </si>
  <si>
    <t>继电器供电电压小于【CcLVPH_RlyPowSplyUVFltCfmThdV=20】V</t>
    <phoneticPr fontId="2" type="noConversion"/>
  </si>
  <si>
    <t>【CcLVPH_RlyPowSplyUVFltSetTims=1000】ms</t>
    <phoneticPr fontId="2" type="noConversion"/>
  </si>
  <si>
    <t>电流传感器供电电压过高故障【ScLVPS_CurrSnsrPowSplyValV、SbLVPS_CurrSnsrPowSplyVldFlg、SbMCUD_MCUChipADCPrefailFlg；SbLVPH_CurrSnsrPowSplyOVFlt】</t>
    <phoneticPr fontId="2" type="noConversion"/>
  </si>
  <si>
    <t>LVPH_CURRENT_SENSOR_POWER_SUPPLY_OVER_VOLTAGE_FAULT</t>
    <phoneticPr fontId="2" type="noConversion"/>
  </si>
  <si>
    <t>1、无MCU芯片ADC模块故障；
2、无电流传感器供电电压超范围故障；</t>
    <phoneticPr fontId="2" type="noConversion"/>
  </si>
  <si>
    <t>电流传感器供电电压大于【CcLVPH_CurrSnsrPowSplyOVFltCfmThdV=18】V</t>
    <phoneticPr fontId="2" type="noConversion"/>
  </si>
  <si>
    <t>【CcLVPH_CurrSnsrPowSplyOVFltSetTims=3000】ms</t>
    <phoneticPr fontId="2" type="noConversion"/>
  </si>
  <si>
    <t>电流传感器供电电压过低故障【ScLVPS_CurrSnsrPowSplyValV、SbLVPS_CurrSnsrPowSplyVldFlg、SbMCUD_MCUChipADCPrefailFlg；SbLVPH_CurrSnsrPowSplyUVFlt】</t>
    <phoneticPr fontId="2" type="noConversion"/>
  </si>
  <si>
    <t>LVPH_CURRENT_SENSOR_POWER_SUPPLY_UNDER_VOLTAGE_FAULT</t>
    <phoneticPr fontId="2" type="noConversion"/>
  </si>
  <si>
    <t>电流传感器供电电压小于【CcLVPH_CurrSnsrPowSplyUVFltCfmThdV=7.2】V</t>
    <phoneticPr fontId="2" type="noConversion"/>
  </si>
  <si>
    <t>【CcLVPH_CurrSnsrPowSplyUVFltSetTims=3000】ms</t>
    <phoneticPr fontId="2" type="noConversion"/>
  </si>
  <si>
    <t>RBMS供电电压过高故障【ScLVPS_24VIntPowSplyValV、SbLVPS_24VIntPowSplyVldFlg、SbMCUD_MCUChipADCPrefailFlg；SbLVPH_24VIntPowSplyOVFlt】</t>
    <phoneticPr fontId="2" type="noConversion"/>
  </si>
  <si>
    <t>LVPH_24V_INTERNAL_POWER_SUPPLY_OVER_VOLTAGE_FAULT</t>
    <phoneticPr fontId="2" type="noConversion"/>
  </si>
  <si>
    <t>1、无MCU芯片ADC模块故障；
2、无RBMS供电电压超范围故障；</t>
    <phoneticPr fontId="2" type="noConversion"/>
  </si>
  <si>
    <t>电源供电电压大于【CcLVPH_24VIntPowSplyOVFltCfmThdV=32】V</t>
    <phoneticPr fontId="2" type="noConversion"/>
  </si>
  <si>
    <t>【CcLVPH_24VIntPowSplyOVFltSetTims=3000】ms</t>
    <phoneticPr fontId="2" type="noConversion"/>
  </si>
  <si>
    <t>RBMS供电电压过低故障【ScLVPS_24VIntPowSplyValV、SbMCUD_MCUChipADCPrefailFlg、SbLVPS_24VIntPowSplyVldFlg；SbLVPH_24VIntPowSplyUVFlt】</t>
    <phoneticPr fontId="2" type="noConversion"/>
  </si>
  <si>
    <t>LVPH_24V_INTERNAL_POWER_SUPPLY_UNDER_VOLTAGE_FAULT</t>
    <phoneticPr fontId="2" type="noConversion"/>
  </si>
  <si>
    <t>电源供电电压小于【CcLVPH_24VIntPowSplyUVFltCfmThdV=18】V</t>
    <phoneticPr fontId="2" type="noConversion"/>
  </si>
  <si>
    <t>【CcLVPH_24VIntPowSplyUVFltSetTims=3000】ms</t>
    <phoneticPr fontId="2" type="noConversion"/>
  </si>
  <si>
    <t>高压采样芯片供电电压过低故障【ScLVPS_HvSnsrPowSplyValV；SbLVPH_HvSnsrPowSplyUVFlt】</t>
    <phoneticPr fontId="2" type="noConversion"/>
  </si>
  <si>
    <t>LVPH_HIGH_VOLTAGE_SENSOR_POWER_SUPPLY_UNDER_VOLTAGE_FAULT</t>
    <phoneticPr fontId="2" type="noConversion"/>
  </si>
  <si>
    <t>【CcLVPH_HvSnsrPowSplyUVFltSetTims=1000】ms</t>
    <phoneticPr fontId="2" type="noConversion"/>
  </si>
  <si>
    <t>【CcLVPH_HvSnsrPowSplyUVFltClrTims=1000】ms</t>
    <phoneticPr fontId="2" type="noConversion"/>
  </si>
  <si>
    <t>高压绝缘低一级【ScISOH_IslnMeastValkOhms；SbISOH_IsLow1Flt】</t>
    <phoneticPr fontId="2" type="noConversion"/>
  </si>
  <si>
    <t>ISOH_ISOLATION_LOW_LEVEL1_FAULT</t>
    <phoneticPr fontId="2" type="noConversion"/>
  </si>
  <si>
    <t>绝缘电压有效</t>
    <phoneticPr fontId="2" type="noConversion"/>
  </si>
  <si>
    <t>最低绝缘 &lt;= 【CcISOH_ErrorOhmsPerV=1000】Ω/V</t>
    <phoneticPr fontId="2" type="noConversion"/>
  </si>
  <si>
    <t>【CcISOH_ErrorConNbr=2】次</t>
    <phoneticPr fontId="2" type="noConversion"/>
  </si>
  <si>
    <t>高压绝缘低二级【ScISOH_IslnMeastValkOhms；SbISOH_IsLow2FltFlg】</t>
    <phoneticPr fontId="2" type="noConversion"/>
  </si>
  <si>
    <t>ISOH_ISOLATION_LOW_LEVEL2_FAULT</t>
    <phoneticPr fontId="2" type="noConversion"/>
  </si>
  <si>
    <t>【CcISOH_WarningConNbr=2】次</t>
    <phoneticPr fontId="2" type="noConversion"/>
  </si>
  <si>
    <t>最低绝缘 &gt;【CcISOH_WarningOhmsDsstPerV= 3000】Ω/V</t>
    <phoneticPr fontId="2" type="noConversion"/>
  </si>
  <si>
    <t>【CcISOH_WarningClrNbr=2】次</t>
    <phoneticPr fontId="2" type="noConversion"/>
  </si>
  <si>
    <t>高压绝缘低三级【ScISOH_IslnMeastValkOhms；SbISOH_IsLow3Flt】</t>
    <phoneticPr fontId="2" type="noConversion"/>
  </si>
  <si>
    <t>ISOH_ISOLATION_LOW_LEVEL3_FAULT</t>
    <phoneticPr fontId="2" type="noConversion"/>
  </si>
  <si>
    <t>【CcISOH_LowConNbr=2】次</t>
    <phoneticPr fontId="2" type="noConversion"/>
  </si>
  <si>
    <t>【CcISOH_LowClrNbr=2】次</t>
    <phoneticPr fontId="2" type="noConversion"/>
  </si>
  <si>
    <t>绝缘无效故障【ScISOH_IslnFinalPosV、ScISOH_IslnFinalNegV；SbISOH_IslnVOorFlt】</t>
    <phoneticPr fontId="2" type="noConversion"/>
  </si>
  <si>
    <t>ISOH_ISOLATION_VALUE_INVALID_FAULT</t>
    <phoneticPr fontId="2" type="noConversion"/>
  </si>
  <si>
    <t>【CcISOH_IslnVInvldConTims=200】ms</t>
    <phoneticPr fontId="2" type="noConversion"/>
  </si>
  <si>
    <t>电芯自放电差异过大一级【ScCBCC_MaxCellSelfDischRtoPct；SbCBCC_CellSelfDischOverHighLvl1Flt】</t>
    <phoneticPr fontId="2" type="noConversion"/>
  </si>
  <si>
    <t>CBCC_SELF_DISCHARGE_DIFFERENCE_OVER_HIGH1_FAULT</t>
    <phoneticPr fontId="2" type="noConversion"/>
  </si>
  <si>
    <t>自放电差异&gt;【CcCBCC_CellSelfDischOverHighLvl1EnaThdValPct=15】%</t>
    <phoneticPr fontId="2" type="noConversion"/>
  </si>
  <si>
    <t>【CcCBCC_CellSelfDischOverHighEnaDbnTims=5000】ms</t>
    <phoneticPr fontId="2" type="noConversion"/>
  </si>
  <si>
    <t>电芯自放电差异过大二级【ScCBCC_MaxCellSelfDischRtoPct；SbCBCC_CellSelfDischOverHighLvl2Flt】</t>
    <phoneticPr fontId="2" type="noConversion"/>
  </si>
  <si>
    <t>CBCC_SELF_DISCHARGE_DIFFERENCE_OVER_HIGH2_FAULT</t>
    <phoneticPr fontId="2" type="noConversion"/>
  </si>
  <si>
    <t>自放电差异&gt;【CcCBCC_CellSelfDischOverHighLvl2EnaThdValPct=12】%</t>
    <phoneticPr fontId="2" type="noConversion"/>
  </si>
  <si>
    <t>自放电差异&lt;=【CcCBCC_CellSelfDischOverHighLvl2RecThdValPct=10】%</t>
    <phoneticPr fontId="2" type="noConversion"/>
  </si>
  <si>
    <t>【CcCBCC_CellSelfDischOverHighRecDbnTims=5000】ms</t>
    <phoneticPr fontId="2" type="noConversion"/>
  </si>
  <si>
    <t>电芯自放电差异过大三级【ScCBCC_MaxCellSelfDischRtoPct；SbCBCC_CellSelfDischOverHighLvl3Flt】</t>
    <phoneticPr fontId="2" type="noConversion"/>
  </si>
  <si>
    <t>CBCC_SELF_DISCHARGE_DIFFERENCE_OVER_HIGH3_FAULT</t>
    <phoneticPr fontId="2" type="noConversion"/>
  </si>
  <si>
    <t>自放电差异&gt;【CcCBCC_CellSelfDischOverHighLvl3EnaThdValPct=8】%</t>
    <phoneticPr fontId="2" type="noConversion"/>
  </si>
  <si>
    <t>自放电差异&lt;=【CcCBCC_CellSelfDischOverHighLvl3RecThdValPct=6】%</t>
    <phoneticPr fontId="2" type="noConversion"/>
  </si>
  <si>
    <t>Rack过充【；SbSOCA_OverChgFltFlg】</t>
    <phoneticPr fontId="2" type="noConversion"/>
  </si>
  <si>
    <t>SOCA_RACK_OVER_CHARGE_FAULT</t>
    <phoneticPr fontId="2" type="noConversion"/>
  </si>
  <si>
    <t>Overcharge &gt;【CcSOCA_OverChgFltEnaThdValPct=15】% since full charge asserted</t>
    <phoneticPr fontId="2" type="noConversion"/>
  </si>
  <si>
    <t>【CcSOCA_OverChgFltEnaDbnTims=5000】ms</t>
    <phoneticPr fontId="2" type="noConversion"/>
  </si>
  <si>
    <t>预充超时故障【SbCTSC_PrechOverTiPreFailFlg；SbCTSC_PrechOverTiFlt】</t>
    <phoneticPr fontId="2" type="noConversion"/>
  </si>
  <si>
    <t>CTSC_PRECHARGE_OVER_TIME_FAULT</t>
    <phoneticPr fontId="2" type="noConversion"/>
  </si>
  <si>
    <t>在【CcCTSC_PrechOnceMaxTims=2000】ms内未完成主正内外侧压差没有达到【CcCTSC_PrechDoneVThdV=10】V以内,且连续【CcCTSC_PrechOverTiMaxCt=3】次</t>
    <phoneticPr fontId="2" type="noConversion"/>
  </si>
  <si>
    <t>1 cycle
【CcCTSC_PrechOverTiFltSetTims=10】ms</t>
    <phoneticPr fontId="2" type="noConversion"/>
  </si>
  <si>
    <t>预充过流故障【SbCTSC_PrechOverCurrPreFailFlg；SbCTSC_PrechOverCurrFlt】</t>
    <phoneticPr fontId="2" type="noConversion"/>
  </si>
  <si>
    <t>CTSC_PRECHARGE_OVER_CURRENT_FAULT</t>
    <phoneticPr fontId="2" type="noConversion"/>
  </si>
  <si>
    <t>下列条件都满足：
1.预充继电器命令为闭合
2.主负继电器命令为闭合
3.主回路控制状态机为precharge状态（SeCTSC_MainRlyCtrlStState == Precharge）
4.总线电流有效</t>
    <phoneticPr fontId="2" type="noConversion"/>
  </si>
  <si>
    <t>总线电流&gt;【CcCTSC_PrechOverCurrThdA=10】A</t>
    <phoneticPr fontId="2" type="noConversion"/>
  </si>
  <si>
    <t>【CcCTSC_PrechOverCurrFltSetTims=200】ms</t>
    <phoneticPr fontId="2" type="noConversion"/>
  </si>
  <si>
    <t>主控EPO开 【故障已删除】</t>
    <phoneticPr fontId="2" type="noConversion"/>
  </si>
  <si>
    <t>CTSC_RBMS_EPO_OPEN_FAULT</t>
    <phoneticPr fontId="2" type="noConversion"/>
  </si>
  <si>
    <t>回检异常(High)</t>
    <phoneticPr fontId="2" type="noConversion"/>
  </si>
  <si>
    <t>【CcCTSC_RBMSEPOOpenFltSetTims=3000】ms</t>
    <phoneticPr fontId="2" type="noConversion"/>
  </si>
  <si>
    <t>隔离开关开【BSWSQSAuxVRawValNbr；SbACIS_QSOpenFlt】</t>
    <phoneticPr fontId="2" type="noConversion"/>
  </si>
  <si>
    <t>ACIS_RBMS_QS_OPEN_FAULT</t>
    <phoneticPr fontId="2" type="noConversion"/>
  </si>
  <si>
    <t>Bank通信丢失故障【BBMS_Heartbeat；SbEMCR_CommLostFlg】</t>
    <phoneticPr fontId="2" type="noConversion"/>
  </si>
  <si>
    <t>EMCR_RANK_TO_BANK_COMMUNICATION_LOST_FAULT</t>
    <phoneticPr fontId="2" type="noConversion"/>
  </si>
  <si>
    <t>上电一分钟</t>
    <phoneticPr fontId="2" type="noConversion"/>
  </si>
  <si>
    <t>rack与bank之间通讯心跳信号丢失</t>
    <phoneticPr fontId="2" type="noConversion"/>
  </si>
  <si>
    <t>Bank通信CRC异常故障【BSWSExtMsgCRCResFlg；SbEMCR_CRCResFlg】</t>
    <phoneticPr fontId="2" type="noConversion"/>
  </si>
  <si>
    <t>EMCR_CRC_FAULT</t>
    <phoneticPr fontId="2" type="noConversion"/>
  </si>
  <si>
    <t>CRC校验结果为1：Not ok</t>
    <phoneticPr fontId="2" type="noConversion"/>
  </si>
  <si>
    <t>【CcEMCR_CRCResJudgeDur=10000】ms</t>
    <phoneticPr fontId="2" type="noConversion"/>
  </si>
  <si>
    <t>绝缘正对地电压故障【BSWSIslnPosVRawValVldFlg；SbISOH_InvlIsoPosVFlt】</t>
    <phoneticPr fontId="2" type="noConversion"/>
  </si>
  <si>
    <t>ISOH_INVALID_ISOLATION_POSV_FAULT</t>
    <phoneticPr fontId="2" type="noConversion"/>
  </si>
  <si>
    <t>正对地电压有效性无效</t>
    <phoneticPr fontId="2" type="noConversion"/>
  </si>
  <si>
    <t>【CcISOH_InvldPosVConTims=3000】ms</t>
    <phoneticPr fontId="2" type="noConversion"/>
  </si>
  <si>
    <t>绝缘负对地电压故障【BSWSIslnNegVRawValVldFlg；SbISOH_InvalIsoNegVFlt】</t>
    <phoneticPr fontId="2" type="noConversion"/>
  </si>
  <si>
    <t>ISOH_INVALID_ISOLATION_NEGV_FAULT</t>
    <phoneticPr fontId="2" type="noConversion"/>
  </si>
  <si>
    <t>负对地电压有效性无效</t>
    <phoneticPr fontId="2" type="noConversion"/>
  </si>
  <si>
    <t>【CcISOH_InvldNegVClrTims=3000】ms</t>
    <phoneticPr fontId="2" type="noConversion"/>
  </si>
  <si>
    <t>电芯单体温度与电芯极柱温度偏差过大一级故障【ScCLTH_MaxCellTDegC、ScCLTH_MinCellTDegC、ScCLTH_MaxPoleTDegC、ScCLTH_MinPoleTDegC；SbCLTH_CellPoleOvTempDiffLvl1】</t>
    <phoneticPr fontId="2" type="noConversion"/>
  </si>
  <si>
    <t>CLTH_CELL_POLE_DELTA_TEMPERATURE_OVER_LEVEL1_FAULT</t>
    <phoneticPr fontId="2" type="noConversion"/>
  </si>
  <si>
    <t>电芯温度与极柱温度有效</t>
    <phoneticPr fontId="2" type="noConversion"/>
  </si>
  <si>
    <t>电芯单体温度与电芯极柱温度偏差大于【CcCLTH_CellPoleTempDiffLvl3LimDegC=30】℃</t>
    <phoneticPr fontId="2" type="noConversion"/>
  </si>
  <si>
    <t>【CcCLTH_CellPoleTempDiffWarnJudgeDur=30000】ms</t>
    <phoneticPr fontId="2" type="noConversion"/>
  </si>
  <si>
    <t>电芯单体温度与电芯极柱温度偏差小于【CcCLTH_CellPoleTempDiffLvl3RcvryLimDegC=25】℃</t>
    <phoneticPr fontId="2" type="noConversion"/>
  </si>
  <si>
    <t>【CcCLTH_CellPoleTempDiffWarnRcvryDur=3000】ms</t>
    <phoneticPr fontId="2" type="noConversion"/>
  </si>
  <si>
    <t>SOC低一级【ScSOCA_DispSysSOCPct；SbSOCA_SOCTooLowLvl1FltFlg】</t>
    <phoneticPr fontId="2" type="noConversion"/>
  </si>
  <si>
    <t>SOCA_SOC_TOO_LOW_LEVEL1_FAULT</t>
    <phoneticPr fontId="2" type="noConversion"/>
  </si>
  <si>
    <t>SOC&lt;=【CcSOCA_SOCOverLowLvl1EnaThdValPct=5】%</t>
    <phoneticPr fontId="2" type="noConversion"/>
  </si>
  <si>
    <t>【CcSOCA_SOCOverLowEnaDbnTims=3000】ms</t>
    <phoneticPr fontId="2" type="noConversion"/>
  </si>
  <si>
    <t>SOC&gt;【CcSOCA_SOCOverLowLvl1RecThdValPct=8】%</t>
    <phoneticPr fontId="2" type="noConversion"/>
  </si>
  <si>
    <t>【CcSOCA_SOCOverLowRecDbnTims=3000】ms</t>
    <phoneticPr fontId="2" type="noConversion"/>
  </si>
  <si>
    <t>SOC低二级【ScSOCA_DispSysSOCPct；SbSOCA_SOCTooLowLvl2FltFlg】</t>
    <phoneticPr fontId="2" type="noConversion"/>
  </si>
  <si>
    <t>SOCA_SOC_TOO_LOW_LEVEL2_FAULT</t>
    <phoneticPr fontId="2" type="noConversion"/>
  </si>
  <si>
    <t>SOC&lt;=【CcSOCA_SOCOverLowLvl2EnaThdValPct=3】%</t>
    <phoneticPr fontId="2" type="noConversion"/>
  </si>
  <si>
    <t>SOC&gt;【CcSOCA_SOCOverLowLvl2RecThdValPct=5】%</t>
    <phoneticPr fontId="2" type="noConversion"/>
  </si>
  <si>
    <t>SOC差异过大【ScSOCA_SysMaxSOCPct，ScSOCA_SysMinSOCPct；SbSOCA_SOCDifferValueOverHighFltFlg】</t>
    <phoneticPr fontId="2" type="noConversion"/>
  </si>
  <si>
    <t>SOCA_SOC_DIFFER_VALUE_OVER_HIGH_FAULT</t>
    <phoneticPr fontId="2" type="noConversion"/>
  </si>
  <si>
    <t>最大SOC与最小SOC差异&gt; 【CcSOCA_SOCDiffOverHighEnaThdValPct=10】%</t>
    <phoneticPr fontId="2" type="noConversion"/>
  </si>
  <si>
    <t>【CcSOCA_SOCDiffOverHighEnaDbnTims=5000】ms</t>
    <phoneticPr fontId="2" type="noConversion"/>
  </si>
  <si>
    <t>最大SOC与最小SOC差异&lt;=【CcSOCA_SOCDiffOverHighRecThdValPct=5】%</t>
    <phoneticPr fontId="2" type="noConversion"/>
  </si>
  <si>
    <t>【CcSOCA_SOCDiffOverHighRecDbnTims=3000】ms</t>
    <phoneticPr fontId="2" type="noConversion"/>
  </si>
  <si>
    <t>SOH低一级【ScSOHA_RealSysSOHCPct；SbSOHA_SOHTooLowLvl1Flt】</t>
    <phoneticPr fontId="2" type="noConversion"/>
  </si>
  <si>
    <t>SOHA_SOH_TOO_LOW_LEVEL1_FAULT</t>
    <phoneticPr fontId="2" type="noConversion"/>
  </si>
  <si>
    <t>最小SOHC&lt; 【CcSOHA_SOHCOverLowLvl1EnaThdValPct=40】%</t>
    <phoneticPr fontId="2" type="noConversion"/>
  </si>
  <si>
    <t>【CcSOHA_SOHCOverLowEnaDbnTims=5000】ms</t>
    <phoneticPr fontId="2" type="noConversion"/>
  </si>
  <si>
    <t>SOH低二级【ScSOHA_RealSysSOHCPct；SbSOHA_SOHTooLowLvl2Flt】</t>
    <phoneticPr fontId="2" type="noConversion"/>
  </si>
  <si>
    <t>SOHA_SOH_TOO_LOW_LEVEL2_FAULT</t>
    <phoneticPr fontId="2" type="noConversion"/>
  </si>
  <si>
    <t>最小SOHC&lt; 【CcSOHA_SOHCOverLowLvl2EnaThdValPct=55】%</t>
    <phoneticPr fontId="2" type="noConversion"/>
  </si>
  <si>
    <t>SOH低三级【ScSOHA_RealSysSOHCPct；SbSOHA_SOHTooLowLvl3Flt】</t>
    <phoneticPr fontId="2" type="noConversion"/>
  </si>
  <si>
    <t>SOHA_SOH_TOO_LOW_LEVEL3_FAULT</t>
    <phoneticPr fontId="2" type="noConversion"/>
  </si>
  <si>
    <t>最小SOHC&lt; 【CcSOHA_SOHCOverLowLvl3EnaThdValPct=60】%</t>
    <phoneticPr fontId="2" type="noConversion"/>
  </si>
  <si>
    <t>CTSC_COMBINE_SWITCH_VOLT_LOW_FAULT</t>
    <phoneticPr fontId="2" type="noConversion"/>
  </si>
  <si>
    <t>电动模式下且24V电压有效</t>
    <phoneticPr fontId="2" type="noConversion"/>
  </si>
  <si>
    <t>当输入电压低于【CcCTSC_CombineSwitchVoltLowFltSetThd=15.5】V时会触发端子Pin7、Pin8输出故障报警信，即干接点Pin7、Pin8将断路；</t>
    <phoneticPr fontId="2" type="noConversion"/>
  </si>
  <si>
    <t>【CcCTSC_CombineSwitchVoltLowFltSetTims=5000】ms</t>
    <phoneticPr fontId="2" type="noConversion"/>
  </si>
  <si>
    <t>输入电压大于【CcCTSC_CombineSwitchVoltLowFltClrThd=19.3】V时报警信号自动解除，控制器干接点Pin7、Pin8将导通</t>
    <phoneticPr fontId="2" type="noConversion"/>
  </si>
  <si>
    <t>【CcCTSC_CombineSwitchVoltLowFltClrTims=5000】ms</t>
    <phoneticPr fontId="2" type="noConversion"/>
  </si>
  <si>
    <t>SOC低三级【ScSOCA_DispSysSOCPct；SbSOCA_SOCTooLowLvl3FltFlg】</t>
    <phoneticPr fontId="2" type="noConversion"/>
  </si>
  <si>
    <t>SOCA_SOC_TOO_LOW_LEVEL3_FAULT</t>
    <phoneticPr fontId="2" type="noConversion"/>
  </si>
  <si>
    <t>SOC&lt;=【CcSOCA_SOCOverLowLvl3EnaThdValPct=5】%</t>
    <phoneticPr fontId="2" type="noConversion"/>
  </si>
  <si>
    <t>SOC&gt;【CcSOCA_SOCOverLowLvl3RecThdValPct=7】%</t>
    <phoneticPr fontId="2" type="noConversion"/>
  </si>
  <si>
    <t>SOC高一级【ScSOCA_DispSysSOCPct；SbSOCA_SOCTooHighLvl1FltFlg】</t>
    <phoneticPr fontId="2" type="noConversion"/>
  </si>
  <si>
    <t>SOCA_SOC_TOO_HIGH_LEVEL1_FAULT</t>
    <phoneticPr fontId="2" type="noConversion"/>
  </si>
  <si>
    <t>SOC&gt;=【CcSOCA_SOCOverHighLvl1EnaThdValPct=97】%</t>
    <phoneticPr fontId="2" type="noConversion"/>
  </si>
  <si>
    <t>【CcSOCA_SOCOverHighEnaDbnTims=3000】ms</t>
    <phoneticPr fontId="2" type="noConversion"/>
  </si>
  <si>
    <t>SOC&lt;【CcSOCA_SOCOverHighLvl1RecThdValPct=95】%</t>
    <phoneticPr fontId="2" type="noConversion"/>
  </si>
  <si>
    <t>【CcSOCA_SOCOverHighRecDbnTims=2000】ms</t>
    <phoneticPr fontId="2" type="noConversion"/>
  </si>
  <si>
    <t>SOC高二级【ScSOCA_DispSysSOCPct；SbSOCA_SOCTooHighLvl2FltFlg】</t>
    <phoneticPr fontId="2" type="noConversion"/>
  </si>
  <si>
    <t>SOCA_SOC_TOO_HIGH_LEVEL2_FAULT</t>
    <phoneticPr fontId="2" type="noConversion"/>
  </si>
  <si>
    <t>SOC&gt;=【CcSOCA_SOCOverHighLvl2EnaThdValPct=98】%</t>
    <phoneticPr fontId="2" type="noConversion"/>
  </si>
  <si>
    <t>SOC&lt;【CcSOCA_SOCOverHighLvl2RecThdValPct=96】%</t>
    <phoneticPr fontId="2" type="noConversion"/>
  </si>
  <si>
    <t>SOC高三级【ScSOCA_DispSysSOCPct；SbSOCA_SOCTooHighLvl3FltFlg】</t>
    <phoneticPr fontId="2" type="noConversion"/>
  </si>
  <si>
    <t>SOCA_SOC_TOO_HIGH_LEVEL3_FAULT</t>
    <phoneticPr fontId="2" type="noConversion"/>
  </si>
  <si>
    <t>SOC&gt;=【CcSOCA_SOCOverHighLvl3EnaThdValPct=96】%</t>
    <phoneticPr fontId="2" type="noConversion"/>
  </si>
  <si>
    <t>SOC&lt;【CcSOCA_SOCOverHighLvl3RecThdValPct=94】%</t>
    <phoneticPr fontId="2" type="noConversion"/>
  </si>
  <si>
    <t>极柱温度过温一级告警【ScCLTH_MaxPoleTDegC；SbCLTH_PoleOverTempLvl1FltFlg】</t>
    <phoneticPr fontId="2" type="noConversion"/>
  </si>
  <si>
    <t>CLTH_POLE_OVER_TEMPERATURE_LEVEL1_FAULT</t>
    <phoneticPr fontId="2" type="noConversion"/>
  </si>
  <si>
    <t>极柱温度有效</t>
    <phoneticPr fontId="2" type="noConversion"/>
  </si>
  <si>
    <t>极柱最高温度&gt;【CcCLTH_PoleOvtempLvl1LimDegC=80】℃</t>
    <phoneticPr fontId="2" type="noConversion"/>
  </si>
  <si>
    <t>极柱最高温度&lt;=【CcCLTH_PoleOvtempLvl1RcvryLimDegC=75】℃</t>
    <phoneticPr fontId="2" type="noConversion"/>
  </si>
  <si>
    <t>极柱温度过温二级告警【ScCLTH_MaxPoleTDegC；SbCLTH_PoleOverTempLvl2FltFlg】</t>
    <phoneticPr fontId="2" type="noConversion"/>
  </si>
  <si>
    <t>CLTH_POLE_OVER_TEMPERATURE_LEVEL2_FAULT</t>
    <phoneticPr fontId="2" type="noConversion"/>
  </si>
  <si>
    <t>极柱最高温度&gt;【CcCLTH_PoleOvtempLvl2LimDegC=70】℃</t>
    <phoneticPr fontId="2" type="noConversion"/>
  </si>
  <si>
    <t>极柱最高温度&lt;=【CcCLTH_PoleOvtempLvl2RcvryLimDegC=65】℃</t>
    <phoneticPr fontId="2" type="noConversion"/>
  </si>
  <si>
    <t>极柱温度过温三级告警【ScCLTH_MaxPoleTDegC；SbCLTH_PoleOverTempLvl3FltFlg】</t>
    <phoneticPr fontId="2" type="noConversion"/>
  </si>
  <si>
    <t>CLTH_POLE_OVER_TEMPERATURE_LEVEL3_FAULT</t>
    <phoneticPr fontId="2" type="noConversion"/>
  </si>
  <si>
    <t>极柱最高温度&gt;【CcCLTH_PoleOvtempLvl3LimDegC=65】℃</t>
    <phoneticPr fontId="2" type="noConversion"/>
  </si>
  <si>
    <t>极柱最高温度&lt;=【CcCLTH_PoleOvtempLvl3RcvryLimDegC=60】℃</t>
    <phoneticPr fontId="2" type="noConversion"/>
  </si>
  <si>
    <t>电芯充电温度过高一级报警【ScCLTH_MaxCellTDegC；SbCLTH_ChgOvtempLvl1】</t>
    <phoneticPr fontId="2" type="noConversion"/>
  </si>
  <si>
    <t>CLTH_CHG_OVER_TEMPERATURE_LEVEL1_FAULT</t>
    <phoneticPr fontId="2" type="noConversion"/>
  </si>
  <si>
    <t>电芯充电温度过高二级报警【ScCLTH_MaxCellTDegC；SbCLTH_ChgOvtempLvl2】</t>
    <phoneticPr fontId="2" type="noConversion"/>
  </si>
  <si>
    <t>CLTH_CHG_OVER_TEMPERATURE_LEVEL2_FAULT</t>
    <phoneticPr fontId="2" type="noConversion"/>
  </si>
  <si>
    <t>满足以下条件之一：
1. 处于充电或静置状态，且电芯最高温度&lt;=【CcCLTH_ChOvtempLvl2RcvryLimDegC=55】℃；
2. 转换为放电状态；</t>
    <phoneticPr fontId="2" type="noConversion"/>
  </si>
  <si>
    <t>电芯充电温度过高三级报警【ScCLTH_MaxCellTDegC；SbCLTH_ChgOvtempLvl3】</t>
    <phoneticPr fontId="2" type="noConversion"/>
  </si>
  <si>
    <t>CLTH_CHG_OVER_TEMPERATURE_LEVEL3_FAULT</t>
    <phoneticPr fontId="2" type="noConversion"/>
  </si>
  <si>
    <t>满足以下条件之一：
1. 处于充电或静置状态，且电芯最高温度&lt;=【CcCLTH_ChOvtempLvl3RcvryLimDegC=50】℃；
2. 转换为放电状态；</t>
    <phoneticPr fontId="2" type="noConversion"/>
  </si>
  <si>
    <t>电芯放电温度过高一级报警【ScCLTH_MaxCellTDegC；SbCLTH_DsgOvtempLvl1】</t>
    <phoneticPr fontId="2" type="noConversion"/>
  </si>
  <si>
    <t>CLTH_DSG_OVER_TEMPERATURE_LEVEL1_FAULT</t>
    <phoneticPr fontId="2" type="noConversion"/>
  </si>
  <si>
    <t>电芯放电温度过高二级报警【ScCLTH_MaxCellTDegC；SbCLTH_DsgOvtempLvl2】</t>
    <phoneticPr fontId="2" type="noConversion"/>
  </si>
  <si>
    <t>CLTH_DSG_OVER_TEMPERATURE_LEVEL2_FAULT</t>
    <phoneticPr fontId="2" type="noConversion"/>
  </si>
  <si>
    <t>满足以下条件之一：
1. 处于放电或静置状态，且电芯最高温度&lt;=【CcCLTH_DischOvtempLvl2RcvryLimDegC=55】℃；
2. 转换为充电状态；</t>
    <phoneticPr fontId="2" type="noConversion"/>
  </si>
  <si>
    <t>电芯放电温度过高三级报警【ScCLTH_MaxCellTDegC；SbCLTH_DsgOvtempLvl3】</t>
    <phoneticPr fontId="2" type="noConversion"/>
  </si>
  <si>
    <t>CLTH_DSG_OVER_TEMPERATURE_LEVEL3_FAULT</t>
    <phoneticPr fontId="2" type="noConversion"/>
  </si>
  <si>
    <t>满足以下条件之一：
1. 处于放电或静置状态，且电芯最高温度&lt;=【CcCLTH_DischOvtempLvl3RcvryLimDegC=50】℃；
2. 转换为充电状态；</t>
    <phoneticPr fontId="2" type="noConversion"/>
  </si>
  <si>
    <t>电芯充电温度过低一级报警【ScCLTH_MinCellTDegC；SbCLTH_ChgUndertempLvl1】</t>
    <phoneticPr fontId="2" type="noConversion"/>
  </si>
  <si>
    <t>CLTH_CHG_UNDER_TEMPERATURE_LEVEL1_FAULT</t>
    <phoneticPr fontId="2" type="noConversion"/>
  </si>
  <si>
    <t>电芯充电温度过低二级报警【ScCLTH_MinCellTDegC；SbCLTH_ChgUndertempLvl2】</t>
    <phoneticPr fontId="2" type="noConversion"/>
  </si>
  <si>
    <t>CLTH_CHG_UNDER_TEMPERATURE_LEVEL2_FAULT</t>
    <phoneticPr fontId="2" type="noConversion"/>
  </si>
  <si>
    <t>电芯充电温度过低三级报警【ScCLTH_MinCellTDegC；SbCLTH_ChgUndertempLvl3】</t>
    <phoneticPr fontId="2" type="noConversion"/>
  </si>
  <si>
    <t>CLTH_CHG_UNDER_TEMPERATURE_LEVEL3_FAULT</t>
    <phoneticPr fontId="2" type="noConversion"/>
  </si>
  <si>
    <t>电芯放电温度过低一级报警【ScCLTH_MinCellTDegC；SbCLTH_DsgUndertempLvl1】</t>
    <phoneticPr fontId="2" type="noConversion"/>
  </si>
  <si>
    <t>CLTH_DSG_UNDER_TEMPERATURE_LEVEL1_FAULT</t>
    <phoneticPr fontId="2" type="noConversion"/>
  </si>
  <si>
    <t>电芯放电温度过低二级报警【ScCLTH_MinCellTDegC；SbCLTH_DsgUndertempLvl2】</t>
    <phoneticPr fontId="2" type="noConversion"/>
  </si>
  <si>
    <t>CLTH_DSG_UNDER_TEMPERATURE_LEVEL2_FAULT</t>
    <phoneticPr fontId="2" type="noConversion"/>
  </si>
  <si>
    <t>电芯放电温度过低三级报警【ScCLTH_MinCellTDegC；SbCLTH_DsgUndertempLvl3】</t>
    <phoneticPr fontId="2" type="noConversion"/>
  </si>
  <si>
    <t>CLTH_DSG_UNDER_TEMPERATURE_LEVEL3_FAULT</t>
    <phoneticPr fontId="2" type="noConversion"/>
  </si>
  <si>
    <t>pack</t>
    <phoneticPr fontId="2" type="noConversion"/>
  </si>
  <si>
    <t>模组电压高一级【ScCLVH_MaxCellVmV；SbCLVH_ModuleOverVoltageLevel1FaultFlg】</t>
    <phoneticPr fontId="2" type="noConversion"/>
  </si>
  <si>
    <t>CLVH_MODULE_OVER_VOLTAGE_LEVEL1_FAULT</t>
    <phoneticPr fontId="2" type="noConversion"/>
  </si>
  <si>
    <t>模组电压有效</t>
    <phoneticPr fontId="2" type="noConversion"/>
  </si>
  <si>
    <t>任意模组电压&gt;【CcCLVH_MaxCellVOvLvl1FltVmV=3700】*模组内串数 mV</t>
    <phoneticPr fontId="2" type="noConversion"/>
  </si>
  <si>
    <t>模组电压高二级【ScCLVH_MaxCellVmV；SbCLVH_ModuleOverVoltageLevel2FaultFlg】</t>
    <phoneticPr fontId="2" type="noConversion"/>
  </si>
  <si>
    <t>CLVH_MODULE_OVER_VOLTAGE_LEVEL2_FAULT</t>
    <phoneticPr fontId="2" type="noConversion"/>
  </si>
  <si>
    <t>任意模组电压&gt; (FULL_CHARGE_CELLV=3620)*模组内串数 mV</t>
    <phoneticPr fontId="2" type="noConversion"/>
  </si>
  <si>
    <t>所有模组电压&lt;=【CcCLVH_MaxCellVOvLvl2FltRcvryVmV=3570】*模组内串数 mV</t>
    <phoneticPr fontId="2" type="noConversion"/>
  </si>
  <si>
    <t>模组电压高三级【ScCLVH_MaxCellVmV；SbCLVH_ModuleOverVoltageLevel3FaultFlg】</t>
    <phoneticPr fontId="2" type="noConversion"/>
  </si>
  <si>
    <t>CLVH_MODULE_OVER_VOLTAGE_LEVEL3_FAULT</t>
    <phoneticPr fontId="2" type="noConversion"/>
  </si>
  <si>
    <t>任意模组电压&gt;【CcCLVH_MaxCellVOvLvl3FltVmV=3550】*模组内串数 mV</t>
    <phoneticPr fontId="2" type="noConversion"/>
  </si>
  <si>
    <t>所有模组电压&lt;=【CcCLVH_MaxCellVOvLvl3FltRcvryVmV=3500】*模组内串数 mV</t>
    <phoneticPr fontId="2" type="noConversion"/>
  </si>
  <si>
    <t>模组电压低一级【ScCLVH_MinCellVmV；SbCLVH_ModuleUnderVoltageLevel1FaultFlg】</t>
    <phoneticPr fontId="2" type="noConversion"/>
  </si>
  <si>
    <t>CLVH_MODULE_UNDER_VOLTAGE_LEVEL1_FAULT</t>
    <phoneticPr fontId="2" type="noConversion"/>
  </si>
  <si>
    <t>任意模组电压&lt;【CcCLVH_MinCellVUvLvl1FltVmV=2450】*模组内串数 mV</t>
    <phoneticPr fontId="2" type="noConversion"/>
  </si>
  <si>
    <t>模组电压低二级【ScCLVH_MinCellVmV；SbCLVH_ModuleUnderVoltageLevel2FaultFlg】</t>
    <phoneticPr fontId="2" type="noConversion"/>
  </si>
  <si>
    <t>CLVH_MODULE_UNDER_VOLTAGE_LEVEL2_FAULT</t>
    <phoneticPr fontId="2" type="noConversion"/>
  </si>
  <si>
    <t>任意模组电压&lt; (FULL_DISCHARGE_CELLV=2500)*模组内串数 mV</t>
    <phoneticPr fontId="2" type="noConversion"/>
  </si>
  <si>
    <t>所有模组电压&gt;=【CcCLVH_MinCellVUvLvl2FltRcvryVmV=2700】*模组内串数 mV</t>
    <phoneticPr fontId="2" type="noConversion"/>
  </si>
  <si>
    <t>模组电压低三级【ScCLVH_MinCellVmV；SbCLVH_ModuleUnderVoltageLevel3FaultFlg】</t>
    <phoneticPr fontId="2" type="noConversion"/>
  </si>
  <si>
    <t>CLVH_MODULE_UNDER_VOLTAGE_LEVEL3_FAULT</t>
    <phoneticPr fontId="2" type="noConversion"/>
  </si>
  <si>
    <t>任意模组电压&lt;【CcCLVH_MinCellVUvLvl3FltVmV=2900】*模组内串数 mV</t>
    <phoneticPr fontId="2" type="noConversion"/>
  </si>
  <si>
    <t>所有模组电压&gt;=【CcCLVH_MinCellVUvLvl3FltRcvryVmV=3000】*模组内串数 mV</t>
    <phoneticPr fontId="2" type="noConversion"/>
  </si>
  <si>
    <t>主负继电器粘连故障【SbCTSC_MainNegRelayStuckClosePrefail；SbCTSC_MainNegRelayStuckCloseFlt】</t>
    <phoneticPr fontId="2" type="noConversion"/>
  </si>
  <si>
    <t>CTSC_MAIN_NEGATIVE_RELAY_STUCK_CLOSE_FAULT</t>
    <phoneticPr fontId="2" type="noConversion"/>
  </si>
  <si>
    <t>上一时刻主负继电器控制命令为断开，当前时刻主负继电器状态为闭合</t>
    <phoneticPr fontId="2" type="noConversion"/>
  </si>
  <si>
    <t>【CcCTSC_MainNegRelayStuckCloseFltSetTims=300】ms</t>
    <phoneticPr fontId="2" type="noConversion"/>
  </si>
  <si>
    <t>主负继电器开路故障【SbCTSC_MainNegRelayStuckOpenPrefail；SbCTSC_MainNegRelayStuckOpenFlt】</t>
    <phoneticPr fontId="2" type="noConversion"/>
  </si>
  <si>
    <t>CTSC_MAIN_NEGATIVE_RELAY_STUCK_OPEN_FAULT</t>
    <phoneticPr fontId="2" type="noConversion"/>
  </si>
  <si>
    <t>上一时刻主负继电器控制命令为闭合，当前时刻主负继电器状态为断开</t>
    <phoneticPr fontId="2" type="noConversion"/>
  </si>
  <si>
    <t>【CcCTSC_MainNegRelayStuckOpenFltSetTims=300】ms</t>
    <phoneticPr fontId="2" type="noConversion"/>
  </si>
  <si>
    <t>主正继电器粘连故障【SbCTSC_MainPosRelayStuckClosePrefail；SbCTSC_MainPosRelayStuckCloseFlt】</t>
    <phoneticPr fontId="2" type="noConversion"/>
  </si>
  <si>
    <t>CTSC_MAIN_POSITIVE_RELAY_STUCK_CLOSE_FAULT</t>
    <phoneticPr fontId="2" type="noConversion"/>
  </si>
  <si>
    <t>上一时刻主正继电器控制命令为断开，当前时刻主正继电器状态为闭合</t>
    <phoneticPr fontId="2" type="noConversion"/>
  </si>
  <si>
    <t>【CcCTSC_MainPosRelayStuckCloseFltSetTims=300】ms</t>
    <phoneticPr fontId="2" type="noConversion"/>
  </si>
  <si>
    <t>主正继电器开路故障【SbCTSC_MainPosRelayStuckOpenPrefail；SbCTSC_MainPosRelayStuckOpenFlt】</t>
    <phoneticPr fontId="2" type="noConversion"/>
  </si>
  <si>
    <t>CTSC_MAIN_POSITIVE_RELAY_STUCK_OPEN_FAULT</t>
    <phoneticPr fontId="2" type="noConversion"/>
  </si>
  <si>
    <t>上一时刻主正继电器控制命令为闭合，当前时刻主正继电器状态为断开</t>
    <phoneticPr fontId="2" type="noConversion"/>
  </si>
  <si>
    <t>【CcCTSC_MainPosRelayStuckOpenFltSetTims=300】ms</t>
    <phoneticPr fontId="2" type="noConversion"/>
  </si>
  <si>
    <t>主正继电器辅助触点电路故障【故障已删除】</t>
    <phoneticPr fontId="2" type="noConversion"/>
  </si>
  <si>
    <t>CTSC_MAINPOS_AUX_CONTACT_ST_FAULT</t>
    <phoneticPr fontId="2" type="noConversion"/>
  </si>
  <si>
    <t>供电电压有效</t>
    <phoneticPr fontId="2" type="noConversion"/>
  </si>
  <si>
    <t>上低压后继电器控制命令断开时收到主正继电器干接点反馈为Low</t>
    <phoneticPr fontId="2" type="noConversion"/>
  </si>
  <si>
    <t>【CcCTSC_MainPosAuxContractFltSetTims=300】ms</t>
    <phoneticPr fontId="2" type="noConversion"/>
  </si>
  <si>
    <t>主负继电器辅助触点电路故障【故障已删除】</t>
    <phoneticPr fontId="2" type="noConversion"/>
  </si>
  <si>
    <t>CTSC_MAINNEG_AUX_CONTACT_ST_FAULT</t>
    <phoneticPr fontId="2" type="noConversion"/>
  </si>
  <si>
    <t>上低压后继电器控制命令断开时收到主负继电器干接点反馈为Low</t>
    <phoneticPr fontId="2" type="noConversion"/>
  </si>
  <si>
    <t>【CcCTSC_MainNegAuxContractFltSetTims=300】ms</t>
    <phoneticPr fontId="2" type="noConversion"/>
  </si>
  <si>
    <t>ACIS_RBMS_DOOR_OPEN_FAULT</t>
    <phoneticPr fontId="2" type="noConversion"/>
  </si>
  <si>
    <t>门禁开启（高电平）</t>
    <phoneticPr fontId="2" type="noConversion"/>
  </si>
  <si>
    <t>【CcACIS_DoorOpenFltSetTims=3000】ms</t>
    <phoneticPr fontId="2" type="noConversion"/>
  </si>
  <si>
    <t>门禁关闭（低电平）</t>
    <phoneticPr fontId="2" type="noConversion"/>
  </si>
  <si>
    <t>【CcACIS_DoorOpenFltClrTims=3000】ms</t>
    <phoneticPr fontId="2" type="noConversion"/>
  </si>
  <si>
    <t>AFE电压采样超范围【SaCLVS_MdulVmV；SbCLVS_MdulVOorFlt】</t>
    <phoneticPr fontId="2" type="noConversion"/>
  </si>
  <si>
    <t>CLVS_AFE_VOLTAGE_OUT_OF_RANGE_FAULT</t>
    <phoneticPr fontId="2" type="noConversion"/>
  </si>
  <si>
    <t>AFE模组电压采样有效</t>
    <phoneticPr fontId="2" type="noConversion"/>
  </si>
  <si>
    <t>【CcCLVS_AFEVOorFltSetTims=2000】ms</t>
    <phoneticPr fontId="2" type="noConversion"/>
  </si>
  <si>
    <t>【CcCLVS_AFEVOorFltClrTims=2000】ms</t>
    <phoneticPr fontId="2" type="noConversion"/>
  </si>
  <si>
    <t>充电极限过流报警【ScBTCS_BatIA；SbBTCD_ReChOvcurLvl0】</t>
    <phoneticPr fontId="2" type="noConversion"/>
  </si>
  <si>
    <t>BTCD_RECHARGE_OVER_CURRENT_LEVEL0_FAULT</t>
    <phoneticPr fontId="2" type="noConversion"/>
  </si>
  <si>
    <t>充电电流&gt;【CcBTCD_RchaCurLvl0LimThdA=1500】A</t>
    <phoneticPr fontId="2" type="noConversion"/>
  </si>
  <si>
    <t>放电极限过流报警【ScBTCS_BatIA；SbBTCD_DChaOvcurLvl0】</t>
    <phoneticPr fontId="2" type="noConversion"/>
  </si>
  <si>
    <t>BTCD_DISCHARGE_OVER_CURRENT_LEVEL0_FAULT</t>
    <phoneticPr fontId="2" type="noConversion"/>
  </si>
  <si>
    <t>放电电流&gt;【CcBTCD_DchILimLvl0ThdA=1500】A</t>
    <phoneticPr fontId="2" type="noConversion"/>
  </si>
  <si>
    <t>继电器供电电压超范围故障【BSWSRlyPowSplyRawValVCnt，SbLVPS_RlyPwrSplyOvUnFltPreFlg；SbLVPS_RlyPwrSplyOvUnFlt】</t>
    <phoneticPr fontId="2" type="noConversion"/>
  </si>
  <si>
    <t>LVPS_RELAY_POWER_SUPPLY_OVERORUNDER_VOLTAGE_FAULT</t>
    <phoneticPr fontId="2" type="noConversion"/>
  </si>
  <si>
    <t>电压值&lt;【CcLVPS_RlyPwrSupplyUnThd=0】或
电压值&gt;【CcLVPS_RlyPwrSupplyOvThd=39.5】</t>
    <phoneticPr fontId="2" type="noConversion"/>
  </si>
  <si>
    <t>【CcLVPS_RlyPwrSupplyOVorUVFltSetTims=3000】ms</t>
    <phoneticPr fontId="2" type="noConversion"/>
  </si>
  <si>
    <t>电流传感器供电电压超范围故障【BSWSCurrSnsrPowSplyRawValVCnt，SbLVPS_24VIntPowSplyOvUnFltPreFlg；SbLVPS_CurrSnsrPowSplyOvUnFlt】</t>
    <phoneticPr fontId="2" type="noConversion"/>
  </si>
  <si>
    <t>LVPS_CURRENT_SENSOR_POWER_SUPPLY_OVERORUNDER_VOLTAGE_FAULT</t>
    <phoneticPr fontId="2" type="noConversion"/>
  </si>
  <si>
    <t>电压值&lt;【CcLVPS_CurrSnsrPowSplyUnThd=0】或 
电压值&gt;【CcLVPS_CurrSnsrPowSplyOvThd=18.6】</t>
    <phoneticPr fontId="2" type="noConversion"/>
  </si>
  <si>
    <t>【CcLVPS_CurrSnsrPwrSplyOVorUVFltSetTims=3000】ms</t>
    <phoneticPr fontId="2" type="noConversion"/>
  </si>
  <si>
    <t>RBMS供电电压超范围故障【BSWS24VIntPowSplyRawValVCnt，SbLVPS_CurrSnsrPowSplyOvUnFltPreFlg；SbLVPS_24VIntPowSplyOvUnFlt】</t>
    <phoneticPr fontId="2" type="noConversion"/>
  </si>
  <si>
    <t>LVPS_24V_INTERNAL_POWER_SUPPLY_OVERORUNDER_VOLTAGE_FAULT</t>
    <phoneticPr fontId="2" type="noConversion"/>
  </si>
  <si>
    <t>电压值&lt;【CcLVPS_24VIntPwrSplyUnThd=0】或
电压值&gt;【CcLVPS_24VIntPwrSplyOvThd=39.5】</t>
    <phoneticPr fontId="2" type="noConversion"/>
  </si>
  <si>
    <t>【CcLVPS_24VIntPwrSplyOVorUVFltSetTims=3000】ms</t>
    <phoneticPr fontId="2" type="noConversion"/>
  </si>
  <si>
    <t>电芯极限欠温【ScCLTH_MinCellTDegC；SbCLTH_UndertempLvl0】</t>
    <phoneticPr fontId="2" type="noConversion"/>
  </si>
  <si>
    <t>CLTH_UNDER_TEMPERATURE_LEVEL0_FAULT</t>
    <phoneticPr fontId="2" type="noConversion"/>
  </si>
  <si>
    <t>满足以下条件之一：
1. 处于放电或静置状态，且电芯最低温度&lt;【CcCLTH_DischUndertempLvl0LimDegC=-40】℃；
2. 处于充电状态，且电芯最低温度&lt;【CcCLTH_ChUndertempLvl0LimDegC=-40】℃；</t>
    <phoneticPr fontId="2" type="noConversion"/>
  </si>
  <si>
    <t>电芯温度冗余检测故障【SbCLTS_CellTRedunChkPreFltFlg；SbCLTS_CellTRedunChkFlt】</t>
    <phoneticPr fontId="2" type="noConversion"/>
  </si>
  <si>
    <t>CLTS_CELL_TEMPERATURE_REDUNDANT_DETECT_FAULT</t>
    <phoneticPr fontId="2" type="noConversion"/>
  </si>
  <si>
    <t>任一组配对的两个电芯同时满足以下条件：
1. AFE电芯温度采样有效；
2. 无电芯温度采样MUX故障；
3. 无电芯温度采样超范围故障：无电芯温度采样短地(STG)、电芯温度采样短电源(STB or Oc)故障；
4. 温度差值的绝对值&gt;【CcCLTS_NTCRedunChkThrdDegC=25】℃</t>
    <phoneticPr fontId="2" type="noConversion"/>
  </si>
  <si>
    <t>【CcCLTS_NTCRedunChkAssertTims=3000】ms</t>
    <phoneticPr fontId="2" type="noConversion"/>
  </si>
  <si>
    <t>紧急关断信号CAN通信超时故障【BSWSEmgShdnSigTimeoutFlg、SbEMCR_EmgShdnSigTimeoutFltFlg】</t>
    <phoneticPr fontId="2" type="noConversion"/>
  </si>
  <si>
    <t>EMCR_EMERGENCY_SHUTDOWN_SIGNAL_TIMEOUT_FAULT</t>
    <phoneticPr fontId="2" type="noConversion"/>
  </si>
  <si>
    <t>紧急关断信号（从三级板传递过来）CAN通信timeout</t>
    <phoneticPr fontId="2" type="noConversion"/>
  </si>
  <si>
    <t>【CcEMCR_EmgShdnSigTimeoutJudgeDurms=3000】ms</t>
    <phoneticPr fontId="2" type="noConversion"/>
  </si>
  <si>
    <t>紧急关断信号CAN通信CRC故障【BSWSEmgShdnSigCRCErrFlg、SbEMCR_EmgShdnSigCRCErrFltFlg】</t>
    <phoneticPr fontId="2" type="noConversion"/>
  </si>
  <si>
    <t>EMCR_EMERGENCY_SHUTDOWN_SIGNAL_CRC_FAULT</t>
    <phoneticPr fontId="2" type="noConversion"/>
  </si>
  <si>
    <t>紧急关断信号（从三级板传递过来）CAN通信CRC错误</t>
    <phoneticPr fontId="2" type="noConversion"/>
  </si>
  <si>
    <t>【CcEMCR_EmgShdnSigCRCErrJudgeDurms=3000】ms</t>
    <phoneticPr fontId="2" type="noConversion"/>
  </si>
  <si>
    <t>紧急关断信号CAN通信Counter故障【BSWSEmgShdnSigCounterErrFlg、SbEMCR_EmgShdnSigCounterErrFltFlg】</t>
    <phoneticPr fontId="2" type="noConversion"/>
  </si>
  <si>
    <t>EMCR_EMERGENCY_SHUTDOWN_SIGNAL_COUNTER_FAULT</t>
    <phoneticPr fontId="2" type="noConversion"/>
  </si>
  <si>
    <t>紧急关断信号（从三级板传递过来）CAN通信Counter错误</t>
    <phoneticPr fontId="2" type="noConversion"/>
  </si>
  <si>
    <t>【CcEMCR_EmgShdnSigCounterErrJudgeDurms=3000】ms</t>
    <phoneticPr fontId="2" type="noConversion"/>
  </si>
  <si>
    <t>MCU初始化故障【BSWSMCUInitFltNbr；SbMCUD_MCUInitFlt】</t>
    <phoneticPr fontId="2" type="noConversion"/>
  </si>
  <si>
    <t>MCUD_INIT_FAULT</t>
    <phoneticPr fontId="2" type="noConversion"/>
  </si>
  <si>
    <t>上电（CRC校验值已默认仅在MCU上电或复位时检测）</t>
    <phoneticPr fontId="2" type="noConversion"/>
  </si>
  <si>
    <t>片外FLASH存储的安全数据CRC校验错误（以下为或关系）：
  1. 极限欠压flag的CRC校验值错误；
  2. 极限过压flag的CRC校验值错误；
  3. 极限欠温flag的CRC校验值错误；
  4. 极限过温flag的CRC校验值错误；
  5. 极限充电过流flag的CRC校验值错误；
  6. 极限放电过流flag的CRC校验值错误；</t>
    <phoneticPr fontId="2" type="noConversion"/>
  </si>
  <si>
    <t>【CcMCUD_MCUInitFltSetTims=2000】ms</t>
    <phoneticPr fontId="2" type="noConversion"/>
  </si>
  <si>
    <t>MCU芯片GPIO模块故障【BSWSMCUChipFltNbr；SbMCUD_MCUChipGPIOFlt】</t>
    <phoneticPr fontId="2" type="noConversion"/>
  </si>
  <si>
    <t>MCUD_CHIP_GPIO_FAULT</t>
    <phoneticPr fontId="2" type="noConversion"/>
  </si>
  <si>
    <t>1、GPIO模块配置寄存器回读校验错误；或者
2、GPIO alternate function寄存器回读校验错误</t>
    <phoneticPr fontId="2" type="noConversion"/>
  </si>
  <si>
    <t>【CcMCUD_MCUChipFltSetTims=3000】ms</t>
    <phoneticPr fontId="2" type="noConversion"/>
  </si>
  <si>
    <t>MCU芯片SPI模块故障【BSWSMCUChipFltNbr；SbMCUD_MCUChipSPIFlt】</t>
    <phoneticPr fontId="2" type="noConversion"/>
  </si>
  <si>
    <t>MCUD_CHIP_SPI_FAULT</t>
    <phoneticPr fontId="2" type="noConversion"/>
  </si>
  <si>
    <t>1、SPI模块配置寄存器回读校验错误；或者
2、SPI模块Protocol error signals置位（SPI硬件固件）</t>
    <phoneticPr fontId="2" type="noConversion"/>
  </si>
  <si>
    <t>MCU芯片CAN模块故障【BSWSMCUChipFltNbr；SbMCUD_MCUChipCANFlt】</t>
    <phoneticPr fontId="2" type="noConversion"/>
  </si>
  <si>
    <t>MCUD_CHIP_CAN_FAULT</t>
    <phoneticPr fontId="2" type="noConversion"/>
  </si>
  <si>
    <t>1、CAN模块配置寄存器回读校验错误；或者
2、CAN模块Protocol error signals置位（CAN硬件固件）</t>
    <phoneticPr fontId="2" type="noConversion"/>
  </si>
  <si>
    <t>MCU芯片ADC模块故障【BSWSMCUChipFltNbr；SbMCUD_MCUChipADCFlt】</t>
    <phoneticPr fontId="2" type="noConversion"/>
  </si>
  <si>
    <t>MCUD_CHIP_ADC_FAULT</t>
    <phoneticPr fontId="2" type="noConversion"/>
  </si>
  <si>
    <t>1、ADC模块配置寄存器回读校验错误；或者
2、voltage reference buffer模块配置寄存器回读校验错误</t>
    <phoneticPr fontId="2" type="noConversion"/>
  </si>
  <si>
    <t>主正继电器驱动电路故障【SbCTSC_MainPosRlyDrvCrctFltPreFailFlg；SbCTSC_MainPosRlyDriverCircuitFlt】</t>
    <phoneticPr fontId="2" type="noConversion"/>
  </si>
  <si>
    <t>CTSC_MAIN_POSITIVE_RELAY_DRIVER_CIRCUIT_FAULT</t>
    <phoneticPr fontId="2" type="noConversion"/>
  </si>
  <si>
    <t>常开继电器满足以下任一条件：
1.当主正继电器的高低边控制命令都为闭合 或者都为断开时 或者高边断开低边闭合，主正低边采集的电压&gt;【CcCTSC_MainPosRlyLsdDrvVoltZeroDriftValueV=1】V；
2.当主正继电器的高边闭合，低边断开时，主正低边采集的电压&lt;=【CcCTSC_MainPosRlyLsdDrvVoltZeroDriftValueV=1】V
3.当主正继电器的高低边控制命令至少一个为断开时，主正高边采集的电流&gt;【CcCTSC_MainPosRlyHsdDrvCurZeroDriftValuemA=10】mA；
4.当主正继电器的高低边控制命令都为闭合时，主正驱动电流&gt;【CcCTSC_MainPosRlyDriveCurrOverThdmA=429】mA或主正驱动电流&lt;【CcCTSC_MainPosRlyDriveCurrUnderThdmA=146】mA；
常闭继电器满足以下任一条件：
1.当主正继电器的高低边控制命令都为闭合 或者高边断开低边闭合，主正低边采集的电压&gt;【CcCTSC_MainPosRlyLsdDrvVoltZeroDriftValueV=1】V；
2.当主正继电器的高边闭合低边断开 或者都为断开时，主正低边采集的电压&lt;=【CcCTSC_MainPosRlyLsdDrvVoltZeroDriftValueV=1】V
3.当主正继电器的高低边控制命令至少一个为断开时，主正高边采集的电流&gt;【CcCTSC_MainPosRlyHsdDrvCurZeroDriftValuemA=10】mA；
4.当主正继电器的高低边控制命令都为闭合时，主正驱动电流&gt;【CcCTSC_MainPosRlyDriveCurrOverThdmA=429】mA或主正驱动电流&lt;【CcCTSC_MainPosRlyDriveCurrUnderThdmA=146】mA；</t>
    <phoneticPr fontId="2" type="noConversion"/>
  </si>
  <si>
    <t>【CcCTSC_MainPosRlyDriverCircuitFltSetTims=3000】ms</t>
    <phoneticPr fontId="2" type="noConversion"/>
  </si>
  <si>
    <t>主负继电器驱动电路故障【SbCTSC_MainNegRlyDrvCrctFltPreFailFlg；SbCTSC_MainNegRlyDriverCircuitFlt】</t>
    <phoneticPr fontId="2" type="noConversion"/>
  </si>
  <si>
    <t>CTSC_MAIN_NEGATIVE_RELAY_DRIVER_CIRCUIT_FAULT</t>
    <phoneticPr fontId="2" type="noConversion"/>
  </si>
  <si>
    <t>常开继电器满足以下任一条件：
1.当主负继电器的高低边控制命令都为闭合 或者都为断开时 或者高边断开低边闭合，主负低边采集的电压&gt;【CcCTSC_MainNegRlyLsdDrvVoltZeroDriftValueV=1】V；
2.当主负继电器的高边闭合，低边断开时，主负低边采集的电压&lt;=【CcCTSC_MainNegRlyLsdDrvVoltZeroDriftValueV=1】V
3.当主负继电器的高低边控制命令至少一个为断开时，主负高边采集的电流&gt;【CcCTSC_MainNegRlyHsdDrvCurZeroDriftValuemA=10】mA；
4.当主负继电器的高低边控制命令都为闭合时，主负驱动电流&gt;【CcCTSC_MainNegRlyDriveCurrOverThdmA=429】mA或主负驱动电流&lt;【CcCTSC_MainNegRlyDriveCurrUnderThdmA=146】mA；
常闭继电器满足以下任一条件：
1.当主负继电器的高低边控制命令都为闭合 或者高边断开低边闭合，主负低边采集的电压&gt;【CcCTSC_MainNegRlyLsdDrvVoltZeroDriftValueV=1】V；
2.当主负继电器的高边闭合低边断开 或者都为断开时，主负低边采集的电压&lt;=【CcCTSC_MainNegRlyLsdDrvVoltZeroDriftValueV=1】V
3.当主负继电器的高低边控制命令至少一个为断开时，主负高边采集的电流&gt;【CcCTSC_MainNegRlyHsdDrvCurZeroDriftValuemA=10】mA；
4.当主负继电器的高低边控制命令都为闭合时，主负驱动电流&gt;【CcCTSC_MainNegRlyDriveCurrOverThdmA=429】mA或主负驱动电流&lt;【CcCTSC_MainNegRlyDriveCurrUnderThdmA=146】mA；</t>
    <phoneticPr fontId="2" type="noConversion"/>
  </si>
  <si>
    <t>【CcCTSC_MainNegRlyDriverCircuitFltSetTims=3000】ms</t>
    <phoneticPr fontId="2" type="noConversion"/>
  </si>
  <si>
    <t>继电器驱动回采选通故障【SbCTSC_RlyDrvSmplSlctChnnlPreFailFlg；SbCTSC_RlyDrvSmplSlctChnnlFlt】</t>
    <phoneticPr fontId="2" type="noConversion"/>
  </si>
  <si>
    <t>CTSC_RELAY_DRIVER_SAMPLING_SELECT_CHANNEL_FAULT</t>
    <phoneticPr fontId="2" type="noConversion"/>
  </si>
  <si>
    <t>MCU软件选择特定通道（该通道接地），判断读取的电压值是否接近0V，如果电压不接近0，即电压阈值&gt;=【CcCTSC_RlyDrvSmplSlctChnnlFltThdmV=1646】mV，则说明回采电路故障。</t>
    <phoneticPr fontId="2" type="noConversion"/>
  </si>
  <si>
    <t>【CcCTSC_RlyDrvSmplSlctChnnlFltSetTims=3000】ms</t>
    <phoneticPr fontId="2" type="noConversion"/>
  </si>
  <si>
    <t>消防一级故障【BSWSFireExtAlertFlg；SbACIS_FireExtAlertFlt】</t>
    <phoneticPr fontId="2" type="noConversion"/>
  </si>
  <si>
    <t>ACIS_FIRE_EXTINGUISHER_ALERT_FAULT</t>
    <phoneticPr fontId="2" type="noConversion"/>
  </si>
  <si>
    <t>消防二级信号低电平</t>
    <phoneticPr fontId="2" type="noConversion"/>
  </si>
  <si>
    <t>【CcACIS_FireExtAlertFltConTims=3000】ms</t>
    <phoneticPr fontId="2" type="noConversion"/>
  </si>
  <si>
    <t>【冗余定义检查】：故障未使用</t>
    <phoneticPr fontId="2" type="noConversion"/>
  </si>
  <si>
    <t>RTC时间无效故障【RTCTimeInvalidPreFltFlg；RTCTimeInvalidFltFlg】</t>
    <phoneticPr fontId="2" type="noConversion"/>
  </si>
  <si>
    <t>SGPC_RTC_TIME_INVALID_FAULT</t>
    <phoneticPr fontId="2" type="noConversion"/>
  </si>
  <si>
    <t>RTC时间无效</t>
    <phoneticPr fontId="2" type="noConversion"/>
  </si>
  <si>
    <t>【CcSGPC_RTCTimeFltSetTims=1000】ms</t>
    <phoneticPr fontId="2" type="noConversion"/>
  </si>
  <si>
    <t>RTC时间有效</t>
    <phoneticPr fontId="2" type="noConversion"/>
  </si>
  <si>
    <t>【CcSGPC_RTCTimeFltRcvryTims=1000】ms</t>
    <phoneticPr fontId="2" type="noConversion"/>
  </si>
  <si>
    <t>高压箱熔断器故障【BSWSHighVFuseFlg；SbACIS_HighVFuseFlt】</t>
    <phoneticPr fontId="2" type="noConversion"/>
  </si>
  <si>
    <t>ACIS_HV_FUSE_FAULT</t>
    <phoneticPr fontId="2" type="noConversion"/>
  </si>
  <si>
    <t>熔断器状态反馈干接点断开</t>
    <phoneticPr fontId="2" type="noConversion"/>
  </si>
  <si>
    <t>【CcACIS_HighVFuseFltConTims=3000】ms</t>
    <phoneticPr fontId="2" type="noConversion"/>
  </si>
  <si>
    <t>Pack正负极连接件温度过温一级告警【ScCLTH_PackPosNegConnTDegC；SbCLTH_PackPosNegConnOverTempLvl1FltFlg】</t>
    <phoneticPr fontId="2" type="noConversion"/>
  </si>
  <si>
    <t>CLTH_PACKPOSNEGCONN_OVER_TEMPERATURE_LEVEL1_FAULT</t>
    <phoneticPr fontId="2" type="noConversion"/>
  </si>
  <si>
    <t>Pack正负极连接件温度有效</t>
    <phoneticPr fontId="2" type="noConversion"/>
  </si>
  <si>
    <t>任一Pack正负极连接件温度&gt;【CcCLTH_PackPosNegConnOvtempLvl1LimDegC=100】℃</t>
    <phoneticPr fontId="2" type="noConversion"/>
  </si>
  <si>
    <t>Pack正负极连接件温度过温二级告警【ScCLTH_PackPosNegConnTDegC；SbCLTH_PackPosNegConnOverTempLvl2FltFlg】</t>
    <phoneticPr fontId="2" type="noConversion"/>
  </si>
  <si>
    <t>CLTH_PACKPOSNEGCONN_OVER_TEMPERATURE_LEVEL2_FAULT</t>
    <phoneticPr fontId="2" type="noConversion"/>
  </si>
  <si>
    <t>任一Pack正负极连接件温度&gt;【CcCLTH_PackPosNegConnOvtempLvl2LimDegC=90】℃</t>
    <phoneticPr fontId="2" type="noConversion"/>
  </si>
  <si>
    <t>任一Pack正负极连接件温度&lt;=【CcCLTH_PackPosNegConnOvtempLvl2RcvryLimDegC=85】℃</t>
    <phoneticPr fontId="2" type="noConversion"/>
  </si>
  <si>
    <t>Pack正负极连接件温度过温三级告警【ScCLTH_PackPosNegConnTDegC；SbCLTH_PackPosNegConnOverTempLvl3FltFlg】</t>
    <phoneticPr fontId="2" type="noConversion"/>
  </si>
  <si>
    <t>CLTH_PACKPOSNEGCONN_OVER_TEMPERATURE_LEVEL3_FAULT</t>
    <phoneticPr fontId="2" type="noConversion"/>
  </si>
  <si>
    <t>任一Pack正负极连接件温度&gt;【CcCLTH_PackPosNegConnOvtempLvl3LimDegC=80】℃</t>
    <phoneticPr fontId="2" type="noConversion"/>
  </si>
  <si>
    <t>任一Pack正负极连接件温度&lt;=【CcCLTH_PackPosNegConnOvtempLvl3RcvryLimDegC=75】℃</t>
    <phoneticPr fontId="2" type="noConversion"/>
  </si>
  <si>
    <t>从板均衡温度采样短地(STG)【BSWSTRawValNbr；SbCLTS_PCBBdTSTGFlt】</t>
    <phoneticPr fontId="2" type="noConversion"/>
  </si>
  <si>
    <t>CLTS_PCB_BOARD_TEMP_SENSOR_SHORT_TO_GROUND_FAULT</t>
    <phoneticPr fontId="2" type="noConversion"/>
  </si>
  <si>
    <t>PCB板温CNT值&lt; -9057</t>
    <phoneticPr fontId="2" type="noConversion"/>
  </si>
  <si>
    <t>【CcCLTS_TempSnsrSTGFltSetTims=5000】ms</t>
    <phoneticPr fontId="2" type="noConversion"/>
  </si>
  <si>
    <t>从板均衡温度采样短电源(STB or Oc)【BSWSTRawValNbr；SbCLTS_PCBBdTSTBFlt】</t>
    <phoneticPr fontId="2" type="noConversion"/>
  </si>
  <si>
    <t>CLTS_PCB_BOARD_TEMP_SENSOR_SHORT_TO_BATTERY_FAULT</t>
    <phoneticPr fontId="2" type="noConversion"/>
  </si>
  <si>
    <t>PCB板温CNT值 &gt;9429</t>
    <phoneticPr fontId="2" type="noConversion"/>
  </si>
  <si>
    <t>【CcCLTS_TempSnsrSTBFltSetTims=5000】ms</t>
    <phoneticPr fontId="2" type="noConversion"/>
  </si>
  <si>
    <t>模组压差大一级【ScCLVH_MaxModuleVmV、ScCLVH_MinModuleVmV；SbCLVH_DeltaModuleVoltageLargeLevel1FaultFlg】</t>
    <phoneticPr fontId="2" type="noConversion"/>
  </si>
  <si>
    <t>CLVH_DELTAMODULEV_OL_LEVEL1_FAULT</t>
    <phoneticPr fontId="2" type="noConversion"/>
  </si>
  <si>
    <t>DeltaV &gt;【CcCLVH_DeltaCellVOLLvl1FltVmV=800】*模组内串数 mV</t>
    <phoneticPr fontId="2" type="noConversion"/>
  </si>
  <si>
    <t>模组压差大二级【ScCLVH_MaxModuleVmV、ScCLVH_MinModuleVmV；SbCLVH_DeltaModuleVoltageLargeLevel2FaultFlg】</t>
    <phoneticPr fontId="2" type="noConversion"/>
  </si>
  <si>
    <t>CLVH_DELTAMODULEV_OL_LEVEL2_FAULT</t>
    <phoneticPr fontId="2" type="noConversion"/>
  </si>
  <si>
    <t>DeltaV &gt;【CcCLVH_DeltaCellVOLLvl2FltVmV=500】*模组内串数 mV</t>
    <phoneticPr fontId="2" type="noConversion"/>
  </si>
  <si>
    <t>DeltaV &lt;=【CcCLVH_DeltaCellVOLLvl2FltRcvryVmV=400】*模组内串数 mV</t>
    <phoneticPr fontId="2" type="noConversion"/>
  </si>
  <si>
    <t>模组压差大三级【ScCLVH_MaxModuleVmV、ScCLVH_MinModuleVmV；SbCLVH_DeltaModuleVoltageLargeLevel3FaultFlg】</t>
    <phoneticPr fontId="2" type="noConversion"/>
  </si>
  <si>
    <t>CLVH_DELTAMODULEV_OL_LEVEL3_FAULT</t>
    <phoneticPr fontId="2" type="noConversion"/>
  </si>
  <si>
    <t>DeltaV &gt;【CcCLVH_DeltaCellVOLLvl3FltVmV=300】*模组内串数 mV</t>
    <phoneticPr fontId="2" type="noConversion"/>
  </si>
  <si>
    <t>DeltaV &lt;=【CcCLVH_DeltaCellVOLLvl3FltRcvryVmV=200】*模组内串数 mV</t>
    <phoneticPr fontId="2" type="noConversion"/>
  </si>
  <si>
    <t>菊花链通信Counter故障【DaisyChainCounterPreFltFlg；DaisyChainCounterFltFlg】</t>
    <phoneticPr fontId="2" type="noConversion"/>
  </si>
  <si>
    <t>AFES_DAISY_CHAIN_COUNTER_ERROR_FAULT</t>
    <phoneticPr fontId="2" type="noConversion"/>
  </si>
  <si>
    <t>菊花链通信Counter错误</t>
    <phoneticPr fontId="2" type="noConversion"/>
  </si>
  <si>
    <t>【CcAFES_DaisyChainCounterErrorFltSetTims=3000】ms</t>
    <phoneticPr fontId="2" type="noConversion"/>
  </si>
  <si>
    <t>电芯电压冗余检测故障【CellADCSampleErrorPreFltFlg；CellADCSampleErrorFltFlg】</t>
    <phoneticPr fontId="2" type="noConversion"/>
  </si>
  <si>
    <t>AFES_CELL_VOLTAGE_REDUNDABCY_DETECT_FAULT</t>
    <phoneticPr fontId="2" type="noConversion"/>
  </si>
  <si>
    <t>1.无菊花链通信故障（CRC故障、counter故障、通信丢失、多点断线）
2. 无AFE硬件故障</t>
    <phoneticPr fontId="2" type="noConversion"/>
  </si>
  <si>
    <t>任一电芯电压冗余检测异常</t>
    <phoneticPr fontId="2" type="noConversion"/>
  </si>
  <si>
    <t>【CcAFES_CellADCSampleErrorFltSetTims=3000】ms</t>
    <phoneticPr fontId="2" type="noConversion"/>
  </si>
  <si>
    <t>NTC供电故障【NTCPowerSupplyPreFltFlg；NTCPowerSupplyFltFlg】</t>
    <phoneticPr fontId="2" type="noConversion"/>
  </si>
  <si>
    <t>AFES_NTC_POWER_SUPPLY_FAULT</t>
    <phoneticPr fontId="2" type="noConversion"/>
  </si>
  <si>
    <t>任一AFE的NTC供电故障</t>
    <phoneticPr fontId="2" type="noConversion"/>
  </si>
  <si>
    <t>【CcAFES_NTCPowerSupplyFltSetTims=3000】ms</t>
    <phoneticPr fontId="2" type="noConversion"/>
  </si>
  <si>
    <t>主正连接母线断路故障【SbHVSH_MainPosBusBknPreFlt；SbHVSH_MainPosBusBknFlt】</t>
    <phoneticPr fontId="2" type="noConversion"/>
  </si>
  <si>
    <t>HVSH_MAIN_POSITIVE_BUS_BROKEN_FAULT</t>
    <phoneticPr fontId="2" type="noConversion"/>
  </si>
  <si>
    <t>下列条件都满足：1.主回路状态为闭合；2.总电压采集有效；3.LinkPos电压采集有效</t>
    <phoneticPr fontId="2" type="noConversion"/>
  </si>
  <si>
    <t>【CcHVSH_MainPosBusBknFltSetTims=100】ms</t>
    <phoneticPr fontId="2" type="noConversion"/>
  </si>
  <si>
    <t>散热风扇故障【BSWSCoolingFanFlg；SbACIS_CoolingFanFlt】</t>
    <phoneticPr fontId="2" type="noConversion"/>
  </si>
  <si>
    <t>ACIS_COOL_FAN_FAULT</t>
    <phoneticPr fontId="2" type="noConversion"/>
  </si>
  <si>
    <t>散热风扇告警</t>
    <phoneticPr fontId="2" type="noConversion"/>
  </si>
  <si>
    <t>【CcACIS_CoolingFanFltConTims=3000】ms</t>
    <phoneticPr fontId="2" type="noConversion"/>
  </si>
  <si>
    <t>检测恢复</t>
    <phoneticPr fontId="2" type="noConversion"/>
  </si>
  <si>
    <t>【CcACIS_CoolingFanFltClrTims=3000】ms</t>
    <phoneticPr fontId="2" type="noConversion"/>
  </si>
  <si>
    <t>烟感故障【BSWSSmokeFdbkFlg；SbACIS_SmokeFdbkFlt】</t>
    <phoneticPr fontId="2" type="noConversion"/>
  </si>
  <si>
    <t>ACIS_SMOKE_FEEDBACK_FAULT</t>
    <phoneticPr fontId="2" type="noConversion"/>
  </si>
  <si>
    <t>烟感告警</t>
    <phoneticPr fontId="2" type="noConversion"/>
  </si>
  <si>
    <t>【CcACIS_SmokeFdbkFltConTims=3000】ms</t>
    <phoneticPr fontId="2" type="noConversion"/>
  </si>
  <si>
    <t>温感故障【BSWSTempFdbkFlg；SbACIS_TempFdbkFlt】</t>
    <phoneticPr fontId="2" type="noConversion"/>
  </si>
  <si>
    <t>ACIS_TEMP_FEEDBACK_FAULT</t>
    <phoneticPr fontId="2" type="noConversion"/>
  </si>
  <si>
    <t>温感告警</t>
    <phoneticPr fontId="2" type="noConversion"/>
  </si>
  <si>
    <t>【CcACIS_TempFdbkFltConTims=3000】ms</t>
    <phoneticPr fontId="2" type="noConversion"/>
  </si>
  <si>
    <t>急停故障【BSWSEStopFlg】</t>
    <phoneticPr fontId="2" type="noConversion"/>
  </si>
  <si>
    <t>ACIS_ESTOP_FAULT</t>
    <phoneticPr fontId="2" type="noConversion"/>
  </si>
  <si>
    <t>急停告警（高电平）</t>
    <phoneticPr fontId="2" type="noConversion"/>
  </si>
  <si>
    <t>【CcACIS_EStopFltConTims=3000】ms</t>
    <phoneticPr fontId="2" type="noConversion"/>
  </si>
  <si>
    <t>水浸告警故障【BSWSWtrFldFlg】</t>
    <phoneticPr fontId="2" type="noConversion"/>
  </si>
  <si>
    <t>ACIS_WATER_FLOOD_FAULT</t>
    <phoneticPr fontId="2" type="noConversion"/>
  </si>
  <si>
    <t>水浸告警（低电平）</t>
    <phoneticPr fontId="2" type="noConversion"/>
  </si>
  <si>
    <t>【CcACIS_WtrFldFltConNbr=300】s</t>
    <phoneticPr fontId="2" type="noConversion"/>
  </si>
  <si>
    <t>QF1断路器故障【BSWSQF1BrkFlg】</t>
    <phoneticPr fontId="2" type="noConversion"/>
  </si>
  <si>
    <t>ACIS_QF1_BREAKER_FAULT</t>
    <phoneticPr fontId="2" type="noConversion"/>
  </si>
  <si>
    <t>QF1断路器闭合（低电平）</t>
    <phoneticPr fontId="2" type="noConversion"/>
  </si>
  <si>
    <t>【CcACIS_QF1BrkFltConTims=3000】ms</t>
    <phoneticPr fontId="2" type="noConversion"/>
  </si>
  <si>
    <t>QF1断路器断开（高电平）</t>
    <phoneticPr fontId="2" type="noConversion"/>
  </si>
  <si>
    <t>【CcACIS_QF1BrkFltClrTims=3000】ms</t>
    <phoneticPr fontId="2" type="noConversion"/>
  </si>
  <si>
    <t>ACIS_AEROSOL_FAULT</t>
    <phoneticPr fontId="2" type="noConversion"/>
  </si>
  <si>
    <t>检测无输入</t>
    <phoneticPr fontId="2" type="noConversion"/>
  </si>
  <si>
    <t>【CcACIS_AerosolFltConTims=3000】ms</t>
    <phoneticPr fontId="2" type="noConversion"/>
  </si>
  <si>
    <t>ACIS_AEROSOL2_FAULT</t>
    <phoneticPr fontId="2" type="noConversion"/>
  </si>
  <si>
    <t>【CcACIS_Aerosol2FltConTims=3000】ms</t>
    <phoneticPr fontId="2" type="noConversion"/>
  </si>
  <si>
    <t>除湿机通讯节点丢失故障【BSWSDehumidifierMsgAvlFlg、SbEMCR_DehumidifierComLostFltFlg】</t>
    <phoneticPr fontId="2" type="noConversion"/>
  </si>
  <si>
    <t>EMCR_DEHUMIDIFIER_TO_BMS_COMMUNICATION_LOST_FAULT</t>
    <phoneticPr fontId="2" type="noConversion"/>
  </si>
  <si>
    <t>与除湿机通讯丢失</t>
    <phoneticPr fontId="2" type="noConversion"/>
  </si>
  <si>
    <t>【CcEMCR_DehumidifierCommLostJudgeDurms=3000】ms</t>
    <phoneticPr fontId="2" type="noConversion"/>
  </si>
  <si>
    <t>与除湿机通讯正常</t>
    <phoneticPr fontId="2" type="noConversion"/>
  </si>
  <si>
    <t>【CcEMCR_DehumidifierCommLostRcvryDurms=3000】ms</t>
    <phoneticPr fontId="2" type="noConversion"/>
  </si>
  <si>
    <t>IO模块通讯节点丢失故障【BSWSIOModuleMsgAvlFlg、SbEMCR_IOModuleComLostFltFlg】</t>
    <phoneticPr fontId="2" type="noConversion"/>
  </si>
  <si>
    <t>EMCR_IOModule_TO_BMS_COMMUNICATION_LOST_FAULT</t>
    <phoneticPr fontId="2" type="noConversion"/>
  </si>
  <si>
    <t>与IO模块通讯丢失</t>
    <phoneticPr fontId="2" type="noConversion"/>
  </si>
  <si>
    <t>PCS通信丢失故障【BSWSPCSHeartbeat】</t>
    <phoneticPr fontId="2" type="noConversion"/>
  </si>
  <si>
    <t>EMCR_PCS_TO_BMS_COMMUNICATION_LOST_FAULT</t>
    <phoneticPr fontId="2" type="noConversion"/>
  </si>
  <si>
    <t>PCS通讯故障配置使能</t>
    <phoneticPr fontId="2" type="noConversion"/>
  </si>
  <si>
    <t>与PCS通讯丢失</t>
    <phoneticPr fontId="2" type="noConversion"/>
  </si>
  <si>
    <t>【CcEMCR_PCSCommLostJudgeDurms=10000】ms</t>
    <phoneticPr fontId="2" type="noConversion"/>
  </si>
  <si>
    <t>总线短路故障【ScBTCS_BatIA；SbBTCD_ShortCircuitFlt】</t>
    <phoneticPr fontId="2" type="noConversion"/>
  </si>
  <si>
    <t>BTCD_SHORT_CIRCUIT_FAULT</t>
    <phoneticPr fontId="2" type="noConversion"/>
  </si>
  <si>
    <t>电流绝对值&gt;【CcBTCD_ShortCircuitThdA=1200】A</t>
    <phoneticPr fontId="2" type="noConversion"/>
  </si>
  <si>
    <t>【CcBTCD_ShortCircuitFltDiagTims=100】ms</t>
    <phoneticPr fontId="2" type="noConversion"/>
  </si>
  <si>
    <t>电流传感器超量程故障【BSWSOverCurIndFlg；SbBTCS_HallSensOverRangeFlt】</t>
    <phoneticPr fontId="2" type="noConversion"/>
  </si>
  <si>
    <t>BTCS_HALLSENS_OVERRANGE_FAULT</t>
    <phoneticPr fontId="2" type="noConversion"/>
  </si>
  <si>
    <t>检测到霍尔电流传感器超量程（过流信号BSWSOverCurIndFlg置1）</t>
    <phoneticPr fontId="2" type="noConversion"/>
  </si>
  <si>
    <t>【CcBTCS_HallSensOverRangeFltDiagTims=3000】ms</t>
    <phoneticPr fontId="2" type="noConversion"/>
  </si>
  <si>
    <t>检测到霍尔电流传感器未超量程（过流信号BSWSOverCurIndFlg置0）</t>
    <phoneticPr fontId="2" type="noConversion"/>
  </si>
  <si>
    <t>【CcBTCS_HallSensOverRangeFltClrTims=3000】ms</t>
    <phoneticPr fontId="2" type="noConversion"/>
  </si>
  <si>
    <t>所有项目FaultDeassertCriteria ‘下电’ ‘上位机清除’的FaultDeassertDebounceTime改为‘NA’</t>
    <phoneticPr fontId="2" type="noConversion"/>
  </si>
  <si>
    <t>V9.3.4</t>
  </si>
  <si>
    <t>是否通过CAN0通道发送数据帧，用于Pack下线测试</t>
  </si>
  <si>
    <t>ENABLE_CAN3_SEND</t>
  </si>
  <si>
    <t>V9.3.5</t>
  </si>
  <si>
    <t xml:space="preserve">工具选择21个项目：BMS10_RBMS，BMS11_RBMS，BMS12_RBMS，BMS13_RBMS，BMS14_RBMS，BMS20CN_RBMS，BMS20_RBMS，BMS21CN_RBMS，BMS23_RBMS，BMS24_RBMS，BMS25_RBMS，BMS26_RBMS，LC25_RBMS，MIC_RBMS，RTG10CN_RBMS，RTG10HM_RBMS，RTG10_RBMS，SF05T_RBMS，SF05_RBMS，SIB_RBMS，TD_RBMS
【SystemParameter】
Add:
ENABLE_CAN3_SEND
</t>
  </si>
  <si>
    <t>boolean</t>
  </si>
  <si>
    <t>Fault status disable array (0: Enable, 1: Disable)</t>
  </si>
  <si>
    <t>[Tab_FaultList.EnableFault==0, ones(1, FAULT_NUMBER_RESERVED)]</t>
  </si>
  <si>
    <t>CaFDCH_FltStsDisaAryFlg</t>
  </si>
  <si>
    <t>Import_Safety</t>
  </si>
  <si>
    <t>Safety fault status disable array (0: Enable, 1: Disable)</t>
  </si>
  <si>
    <t>CaFDCH_FltStsDisaArySftyFlg</t>
  </si>
  <si>
    <t>Fault recovery mode array (0: 可在线恢复, 1: 下电恢复)</t>
  </si>
  <si>
    <t>[contains(Tab_FaultList.FaultDeassertCriteria,'下电'), zeros(1, FAULT_NUMBER_RESERVED)]</t>
  </si>
  <si>
    <t>CaFDCH_FltRcvryModeFlg</t>
  </si>
  <si>
    <t>Safety fault recovery mode array (0: 可在线恢复, 1: 下电恢复)</t>
  </si>
  <si>
    <t>CaFDCH_FltRcvryModeSftyFlg</t>
  </si>
  <si>
    <t>Charge SOP coefficient when fault asserted</t>
  </si>
  <si>
    <t>[1 FAULT_NUMBER_USED]</t>
  </si>
  <si>
    <t>pct</t>
  </si>
  <si>
    <t>Tab_FaultList("ChargeSOPCoef(%)")</t>
  </si>
  <si>
    <t>FAULT_CH_SOP_COEF</t>
  </si>
  <si>
    <t>Discharge SOP coefficient when fault asserted</t>
  </si>
  <si>
    <t>Tab_FaultList("DischargeSOPCoef(%)")</t>
  </si>
  <si>
    <t>FAULT_DCHA_SOP_COEF</t>
  </si>
  <si>
    <t>System fault level when fault asserted</t>
  </si>
  <si>
    <t>Tab_FaultList.FaultLevel</t>
  </si>
  <si>
    <t>FRLM_FLT_LIST_LVL</t>
  </si>
  <si>
    <t>Used fault number</t>
  </si>
  <si>
    <t>height(Tab_FaultList.FaultLevel)</t>
  </si>
  <si>
    <t>FAULT_NUMBER_USED</t>
  </si>
  <si>
    <t>Reserved fault number</t>
  </si>
  <si>
    <t>FAULT_TOTAL_NUMBER - FAULT_NUMBER_USED</t>
  </si>
  <si>
    <t>FAULT_NUMBER_RESERVED</t>
  </si>
  <si>
    <t>V9.3.6</t>
  </si>
  <si>
    <t xml:space="preserve">工具选择43个项目：BMS10_BBMS，BMS10_RBMS，BMS11_RBMS，BMS12_RBMS，BMS13_RBMS，BMS14_RBMS，BMS20A_BBMS，BMS20CNA_BBMS，BMS20CNM_BBMS，BMS20CN_RBMS，BMS20M_BBMS，BMS20_RBMS，BMS21CNA_BBMS，BMS21CNM_BBMS，BMS21CN_RBMS，BMS23A_BBMS，BMS23M_BBMS，BMS23_RBMS，BMS24A_BBMS，BMS24M_BBMS，BMS24_RBMS，BMS25A_BBMS，BMS25M_BBMS，BMS25_RBMS，BMS26A_BBMS，BMS26M_BBMS，BMS26_RBMS，LC25_BBMS，LC25_RBMS，MIC_RBMS，RTG10A_BBMS，RTG10CNA_BBMS，RTG10CNM_BBMS，RTG10CN_RBMS，RTG10HMA_BBMS，RTG10HMM_BBMS，RTG10HM_RBMS，RTG10M_BBMS，RTG10_RBMS，SF05T_RBMS，SF05_RBMS，SIB_RBMS，TD_RBMS
【SystemParameter】
Add:
CaFDCH_FltStsDisaAryFlg
CaFDCH_FltStsDisaArySftyFlg
CaFDCH_FltRcvryModeFlg
CaFDCH_FltRcvryModeSftyFlg
FAULT_CH_SOP_COEF
FAULT_DCHA_SOP_COEF
FRLM_FLT_LIST_LVL
FAULT_NUMBER_USED
FAULT_NUMBER_RESERVED
</t>
  </si>
  <si>
    <t>高压总压和电芯电压累加和之差&gt;【CcHVSH_CellSumVWithBatVMismtchFltCfmThdV=50】V</t>
    <phoneticPr fontId="2" type="noConversion"/>
  </si>
  <si>
    <t>高压总压和电芯电压累加和之差&lt;=【CcHVSH_CellSumVWithBatVMismtchFltRcvrThdV=30】V</t>
    <phoneticPr fontId="2" type="noConversion"/>
  </si>
  <si>
    <t>【CcHVSH_CellSumVWithBatVMismtchFltClrTims=1000】ms</t>
    <phoneticPr fontId="2" type="noConversion"/>
  </si>
  <si>
    <t>高压总压 &lt;【CcHVSH_HvLoopBknVRatNbr=0.4】* 电芯电压累加和</t>
    <phoneticPr fontId="2" type="noConversion"/>
  </si>
  <si>
    <t>V9.3.7</t>
  </si>
  <si>
    <t xml:space="preserve">工具选择21个项目：BMS10_RBMS，BMS11_RBMS，BMS12_RBMS，BMS13_RBMS，BMS14_RBMS，BMS20CN_RBMS，BMS20_RBMS，BMS21CN_RBMS，BMS23_RBMS，BMS24_RBMS，BMS25_RBMS，BMS26_RBMS，LC25_RBMS，MIC_RBMS，RTG10CN_RBMS，RTG10HM_RBMS，RTG10_RBMS，SF05T_RBMS，SF05_RBMS，SIB_RBMS，TD_RBMS
【FaultList】
Correct:
HVSH_CELL_SUM_VOLTAGE_WITH_BATTERY_MISMTCH_FAULT
FaultAssertCriteria：高压总压和电芯电压累加和之差大于【CcHVSH_CellSumVWithBatVMismtchFltCfmThdV=50】V → 高压总压和电芯电压累加和之差&gt;【CcHVSH_CellSumVWithBatVMismtchFltCfmThdV=50】V
FaultDeassertCriteria：高压总压和电芯电压累加和之差小于等于【CcHVSH_CellSumVWithBatVMismtchFltRcvrThdV=30】V → 高压总压和电芯电压累加和之差&lt;=【CcHVSH_CellSumVWithBatVMismtchFltRcvrThdV=30】V
FaultDeassertDebounceTime：1s → 【CcHVSH_CellSumVWithBatVMismtchFltClrTims=1000】ms
HVSH_HIGH_VOLTAGE_LOOP_BROKEN_FAULT
FaultAssertCriteria：pack电压 &lt;【CcHVSH_HvLoopBknVRatNbr=0.4】* 电芯电压累加和 → 高压总压 &lt;【CcHVSH_HvLoopBknVRatNbr=0.4】* 电芯电压累加和
</t>
  </si>
  <si>
    <t>[1 200]</t>
    <phoneticPr fontId="2" type="noConversion"/>
  </si>
  <si>
    <t>[1 200]</t>
    <phoneticPr fontId="2" type="noConversion"/>
  </si>
  <si>
    <t>[1 200]</t>
    <phoneticPr fontId="2" type="noConversion"/>
  </si>
  <si>
    <t>[1 200]</t>
    <phoneticPr fontId="2" type="noConversion"/>
  </si>
  <si>
    <t>V9.3.8</t>
  </si>
  <si>
    <t xml:space="preserve">工具选择43个项目：BMS10_BBMS，BMS10_RBMS，BMS11_RBMS，BMS12_RBMS，BMS13_RBMS，BMS14_RBMS，BMS20A_BBMS，BMS20CNA_BBMS，BMS20CNM_BBMS，BMS20CN_RBMS，BMS20M_BBMS，BMS20_RBMS，BMS21CNA_BBMS，BMS21CNM_BBMS，BMS21CN_RBMS，BMS23A_BBMS，BMS23M_BBMS，BMS23_RBMS，BMS24A_BBMS，BMS24M_BBMS，BMS24_RBMS，BMS25A_BBMS，BMS25M_BBMS，BMS25_RBMS，BMS26A_BBMS，BMS26M_BBMS，BMS26_RBMS，LC25_BBMS，LC25_RBMS，MIC_RBMS，RTG10A_BBMS，RTG10CNA_BBMS，RTG10CNM_BBMS，RTG10CN_RBMS，RTG10HMA_BBMS，RTG10HMM_BBMS，RTG10HM_RBMS，RTG10M_BBMS，RTG10_RBMS，SF05T_RBMS，SF05_RBMS，SIB_RBMS，TD_RBMS
【SystemParameter】
Correct:
CaFDCH_FltStsDisaAryFlg
Dimensions：[1 FAULT_TOTAL_NUMBER] → [1 200]
CaFDCH_FltStsDisaArySftyFlg
Dimensions：[1 FAULT_TOTAL_NUMBER] → [1 200]
CaFDCH_FltRcvryModeFlg
Dimensions：[1 FAULT_TOTAL_NUMBER] → [1 200]
CaFDCH_FltRcvryModeSftyFlg
Dimensions：[1 FAULT_TOTAL_NUMBER] → [1 200]
</t>
  </si>
  <si>
    <t>相关模组电压&gt;= 【CcCLVS_AFEVOorHiLimmV=48000】mV or 相关模组电压&lt;=【CcCLVS_AFEVOorLoLimmV=13000】mV</t>
    <phoneticPr fontId="2" type="noConversion"/>
  </si>
  <si>
    <t>相关模组电压【CcCLVS_AFEVOorLoLimmV=13000】mV &lt; V &lt; 【CcCLVS_AFEVOorHiLimmV=48000】mV</t>
    <phoneticPr fontId="2" type="noConversion"/>
  </si>
  <si>
    <t>V9.3.9</t>
  </si>
  <si>
    <t xml:space="preserve">工具选择21个项目：BMS10_RBMS，BMS11_RBMS，BMS12_RBMS，BMS13_RBMS，BMS14_RBMS，BMS20CN_RBMS，BMS20_RBMS，BMS21CN_RBMS，BMS23_RBMS，BMS24_RBMS，BMS25_RBMS，BMS26_RBMS，LC25_RBMS，MIC_RBMS，RTG10CN_RBMS，RTG10HM_RBMS，RTG10_RBMS，SF05T_RBMS，SF05_RBMS，SIB_RBMS，TD_RBMS
【FaultList】
Correct:
CLVS_AFE_VOLTAGE_OUT_OF_RANGE_FAULT
FaultAssertCriteria：相关模组电压&gt;= 【CcCLVS_AFEVOorHiLimmV=48000】mV or 相关模组电压&lt;=【CcCLVS_AFEVOorLoLimmV=1】mV → 相关模组电压&gt;= 【CcCLVS_AFEVOorHiLimmV=48000】mV or 相关模组电压&lt;=【CcCLVS_AFEVOorLoLimmV=13000】mV
FaultDeassertCriteria：相关模组电压【CcCLVS_AFEVOorLoLimmV=1】mV &lt; V &lt; 【CcCLVS_AFEVOorHiLimmV=48000】mV → 相关模组电压【CcCLVS_AFEVOorLoLimmV=13000】mV &lt; V &lt; 【CcCLVS_AFEVOorHiLimmV=48000】mV
</t>
  </si>
  <si>
    <t>【CcEMCR_CommLostJudgeDur=30000】ms</t>
    <phoneticPr fontId="2" type="noConversion"/>
  </si>
  <si>
    <t>V9.4.0</t>
  </si>
  <si>
    <t xml:space="preserve">工具选择10个项目：BMS20CN_RBMS，BMS20_RBMS，BMS21CN_RBMS，BMS23_RBMS，BMS24_RBMS，BMS25_RBMS，BMS26_RBMS，RTG10CN_RBMS，RTG10HM_RBMS，RTG10_RBMS
【FaultList】
Correct:
EMCR_RANK_TO_BANK_COMMUNICATION_LOST_FAULT
FaultAssertDebounceTime：【CcEMCR_CommLostJudgeDur=40000】ms → 【CcEMCR_CommLostJudgeDur=30000】ms
</t>
  </si>
  <si>
    <t>气溶胶故障1【BSWSAerosolFlg；SbACIS_AerosolFlt】</t>
    <phoneticPr fontId="2" type="noConversion"/>
  </si>
  <si>
    <t>气溶胶故障2【BSWSAerosol2Flg；SbACIS_Aerosol2Flt】</t>
    <phoneticPr fontId="2" type="noConversion"/>
  </si>
  <si>
    <t>V9.4.1</t>
  </si>
  <si>
    <t xml:space="preserve">工具选择20个项目：BMS10_RBMS，BMS11_RBMS，BMS12_RBMS，BMS13_RBMS，BMS14_RBMS，BMS20CN_RBMS，BMS20_RBMS，BMS21CN_RBMS，BMS23_RBMS，BMS24_RBMS，BMS25_RBMS，BMS26_RBMS，LC25_RBMS，MIC_RBMS，RTG10CN_RBMS，RTG10HM_RBMS，RTG10_RBMS，SF05_RBMS，SIB_RBMS，TD_RBMS
【FaultList】
Correct:
ACIS_AEROSOL_FAULT
FaultDescription：气溶胶故障【BSWSAerosolFlg；SbACIS_AerosolFlt】 → 气溶胶故障1【BSWSAerosolFlg；SbACIS_AerosolFlt】
ACIS_AEROSOL2_FAULT
FaultDescription：气溶胶故障【BSWSAerosol2Flg；SbACIS_Aerosol2Flt】 → 气溶胶故障2【BSWSAerosol2Flg；SbACIS_Aerosol2Flt】
</t>
  </si>
  <si>
    <t>V9.4.2</t>
  </si>
  <si>
    <t xml:space="preserve">工具选择19个项目：BMS10_RBMS，BMS11_RBMS，BMS12_RBMS，BMS13_RBMS，BMS14_RBMS，BMS20CN_RBMS，BMS20_RBMS，BMS21CN_RBMS，BMS23_RBMS，BMS24_RBMS，BMS25_RBMS，BMS26_RBMS，LC25_RBMS，MIC_RBMS，RTG10CN_RBMS，RTG10HM_RBMS，RTG10_RBMS，SF05_RBMS，SIB_RBMS
【FaultList】
Correct:
CLVH_MAXCELLV_OV_LEVEL2_FAULT
ChargeSOPCoef(%)：0 → 0
DischargeSOPCoef(%)：50 → 100
CLVH_MINCELLV_UV_LEVEL2_FAULT
ChargeSOPCoef(%)：50 → 100
DischargeSOPCoef(%)：0 → 0
HVSH_BATTERY_OVER_VOLTAGE_LEVEL2_FAULT
ChargeSOPCoef(%)：0 → 0
DischargeSOPCoef(%)：50 → 100
HVSH_BATTERY_UNDER_VOLTAGE_LEVEL2_FAULT
ChargeSOPCoef(%)：50 → 100
DischargeSOPCoef(%)：0 → 0
CLVH_MODULE_OVER_VOLTAGE_LEVEL2_FAULT
ChargeSOPCoef(%)：50 → 0
DischargeSOPCoef(%)：50 → 100
CLVH_MODULE_UNDER_VOLTAGE_LEVEL2_FAULT
ChargeSOPCoef(%)：50 → 100
DischargeSOPCoef(%)：50 → 0
</t>
  </si>
  <si>
    <t>[1]</t>
    <phoneticPr fontId="2" type="noConversion"/>
  </si>
  <si>
    <t>V9.4.3</t>
  </si>
  <si>
    <t xml:space="preserve">工具选择21个项目：BMS10_RBMS，BMS11_RBMS，BMS12_RBMS，BMS13_RBMS，BMS14_RBMS，BMS20CN_RBMS，BMS20_RBMS，BMS21CN_RBMS，BMS23_RBMS，BMS24_RBMS，BMS25_RBMS，BMS26_RBMS，BMS27_RBMS，LC25_RBMS，MIC_RBMS，RTG10CN_RBMS，RTG10HM_RBMS，RTG10_RBMS，SF05_RBMS，SIB_RBMS，TD_RBMS
【FaultList】
Correct:
CTSC_MAIN_NEGATIVE_RELAY_STUCK_CLOSE_FAULT
FaultDeassertCriteria：下电 → 上位机清除
CTSC_MAIN_POSITIVE_RELAY_STUCK_CLOSE_FAULT
FaultDeassertCriteria：下电 → 上位机清除
【SystemParameter】
Correct:
CTSC_RLYLSD_NORMAL_CLOSE
Value：[0] → [1]
</t>
  </si>
  <si>
    <t>Power and current degrate based on BBMS fault level</t>
  </si>
  <si>
    <t>SOPC_DEGRATE_BASE_BBMS_FAULT</t>
  </si>
  <si>
    <t>V9.4.4</t>
  </si>
  <si>
    <t xml:space="preserve">工具选择21个项目：BMS10_RBMS，BMS11_RBMS，BMS12_RBMS，BMS13_RBMS，BMS14_RBMS，BMS20CN_RBMS，BMS20_RBMS，BMS21CN_RBMS，BMS23_RBMS，BMS24_RBMS，BMS25_RBMS，BMS26_RBMS，BMS27_RBMS，LC25_RBMS，MIC_RBMS，RTG10CN_RBMS，RTG10HM_RBMS，RTG10_RBMS，SF05_RBMS，SIB_RBMS，TD_RBMS
【SystemParameter】
Add:
SOPC_DEGRATE_BASE_BBMS_FAULT
</t>
  </si>
  <si>
    <t>NA</t>
    <phoneticPr fontId="2" type="noConversion"/>
  </si>
  <si>
    <t>（0：常规继电器；1：融合开关含预充回路（全融合方式）；2：融合开关不含预充回路（半融合方式））</t>
    <phoneticPr fontId="2" type="noConversion"/>
  </si>
  <si>
    <t>V9.4.5</t>
  </si>
  <si>
    <t xml:space="preserve">工具选择21个项目：BMS10_RBMS，BMS11_RBMS，BMS12_RBMS，BMS13_RBMS，BMS14_RBMS，BMS20CN_RBMS，BMS20_RBMS，BMS21CN_RBMS，BMS23_RBMS，BMS24_RBMS，BMS25_RBMS，BMS26_RBMS，BMS27_RBMS，LC25_RBMS，MIC_RBMS，RTG10CN_RBMS，RTG10HM_RBMS，RTG10_RBMS，SF05_RBMS，SIB_RBMS，TD_RBMS
【SystemParameter】
Correct:
FUSE_TYPE
Description：1是融合开关，0是其他 → （0：常规继电器；1：融合开关含预充回路（全融合方式）；2：融合开关不含预充回路（半融合方式））
</t>
  </si>
  <si>
    <t>高压采样芯片供电电压有效</t>
  </si>
  <si>
    <t>高压采样芯片供电电压有效</t>
    <phoneticPr fontId="2" type="noConversion"/>
  </si>
  <si>
    <t>高压采样芯片供电电压 &lt;【CcLVPH_HvSnsrPowSplyUVFltCfmThdV=4.2】V</t>
    <phoneticPr fontId="2" type="noConversion"/>
  </si>
  <si>
    <t>高压采样芯片供电电压 &gt;=【CcLVPH_HvSnsrPowSplyUVFltRcvrThdV=4.4】V</t>
    <phoneticPr fontId="2" type="noConversion"/>
  </si>
  <si>
    <t>bms</t>
  </si>
  <si>
    <t>高压采样芯片供电电压 &gt;【CcLVPH_HvSnsrPowSplyOVFltCfmThdV=5.3】V</t>
  </si>
  <si>
    <t>【CcLVPH_HvSnsrPowSplyOVFltSetTims=1000】ms</t>
  </si>
  <si>
    <t>高压采样芯片供电电压 &lt;=【CcLVPH_HvSnsrPowSplyOVFltRcvrThdV=5.15】V</t>
  </si>
  <si>
    <t>【CcLVPH_HvSnsrPowSplyOVFltClrTims=1000】ms</t>
  </si>
  <si>
    <t>高压采样芯片供电电压过高故障【ScLVPS_HvSnsrPowSplyValV；SbLVPH_HvSnsrPowSplyOVFlt】</t>
  </si>
  <si>
    <t>LVPH_HIGH_VOLTAGE_SENSOR_POWER_SUPPLY_OVER_VOLTAGE_FAULT</t>
  </si>
  <si>
    <t>V9.4.6</t>
  </si>
  <si>
    <t xml:space="preserve">工具选择21个项目：BMS10_RBMS，BMS11_RBMS，BMS12_RBMS，BMS13_RBMS，BMS14_RBMS，BMS20CN_RBMS，BMS20_RBMS，BMS21CN_RBMS，BMS23_RBMS，BMS24_RBMS，BMS25_RBMS，BMS26_RBMS，BMS27_RBMS，LC25_RBMS，MIC_RBMS，RTG10CN_RBMS，RTG10HM_RBMS，RTG10_RBMS，SF05_RBMS，SIB_RBMS，TD_RBMS
【FaultList】
Add:
LVPH_HIGH_VOLTAGE_SENSOR_POWER_SUPPLY_OVER_VOLTAGE_FAULT
Correct:
LVPH_HIGH_VOLTAGE_SENSOR_POWER_SUPPLY_UNDER_VOLTAGE_FAULT
DiagnoseEnableCondition：24V供电电压有效 → 高压采样芯片供电电压有效
FaultAssertCriteria：高压采样芯片供电电压小于【CcLVPH_HvSnsrPowSplyUVFltCfmThdV=4.2】V → 高压采样芯片供电电压 &lt;【CcLVPH_HvSnsrPowSplyUVFltCfmThdV=4.2】V
FaultDeassertCriteria：高压采样芯片供电电压恢复到【CcLVPH_HvSnsrPowSplyUVFltRcvrThdV=4.8】V → 高压采样芯片供电电压 &gt;=【CcLVPH_HvSnsrPowSplyUVFltRcvrThdV=4.4】V
</t>
  </si>
  <si>
    <t>继电器供电电压未超范围 And 电池串电压有效 And LinkPos电压有效</t>
  </si>
  <si>
    <t>主正继电器为断开状态 &amp;&amp; 预充继电器控制指令为断开 &amp;&amp; LinkPos电压&gt;电池串电压*【CcCTSC_PreChrgStuckCloseCoeffRto=0.5】</t>
  </si>
  <si>
    <t>【CcCTSC_PreChrgRelayStuckCloseFltSetTims=300】ms</t>
  </si>
  <si>
    <t>下电</t>
  </si>
  <si>
    <t>预充继电器粘连故障【SbCTSC_PreChrgRlyStuckClosePreFailFlg；SbCTSC_PreChrgRlyStuckCloseFlt】</t>
  </si>
  <si>
    <t>CTSC_PRECHRG_RELAY_STUCK_CLOSE_FAULT</t>
  </si>
  <si>
    <t>V9.4.7</t>
  </si>
  <si>
    <t xml:space="preserve">工具选择32个项目：BMS20CNM_BBMS，BMS20M_BBMS，BMS21CNM_BBMS，BMS23M_BBMS，BMS24M_BBMS，BMS25M_BBMS，BMS26M_BBMS，BMS27M_BBMS，RTG10CNM_BBMS，RTG10HMM_BBMS，RTG10M_BBMS，BMS10_RBMS，BMS11_RBMS，BMS12_RBMS，BMS13_RBMS，BMS14_RBMS，BMS20CN_RBMS，BMS20_RBMS，BMS21CN_RBMS，BMS23_RBMS，BMS24_RBMS，BMS25_RBMS，BMS26_RBMS，BMS27_RBMS，LC25_RBMS，MIC_RBMS，RTG10CN_RBMS，RTG10HM_RBMS，RTG10_RBMS，SF05_RBMS，SIB_RBMS，TD_RBMS
【FaultList】
Add:
CTSC_PRECHRG_RELAY_STUCK_CLOSE_FAULT
</t>
  </si>
  <si>
    <t>Battery电压&gt;【CcHVSS_HVOorHiCfmThdV=1884】V</t>
    <phoneticPr fontId="2" type="noConversion"/>
  </si>
  <si>
    <t>Linkpos电压 &gt;【CcHVSS_HVOorHiCfmThdV=1884】V</t>
    <phoneticPr fontId="2" type="noConversion"/>
  </si>
  <si>
    <t>V9.4.8</t>
  </si>
  <si>
    <t xml:space="preserve">工具选择21个项目：BMS10_RBMS，BMS11_RBMS，BMS12_RBMS，BMS13_RBMS，BMS14_RBMS，BMS20CN_RBMS，BMS20_RBMS，BMS21CN_RBMS，BMS23_RBMS，BMS24_RBMS，BMS25_RBMS，BMS26_RBMS，BMS27_RBMS，LC25_RBMS，MIC_RBMS，RTG10CN_RBMS，RTG10HM_RBMS，RTG10_RBMS，SF05_RBMS，SIB_RBMS，TD_RBMS
【FaultList】
Correct:
HVSS_BATTERY_VOLTAGE_OUT_OF_RANGE_FAULT
FaultAssertCriteria：Battery电压&gt;【CcHVSS_BatVOorHiCfmCellThdmV=4326】*TOTAL_SERIES_CELL_NUMBER_PER_RACK_BMS/1000 V → Battery电压&gt;【CcHVSS_HVOorHiCfmThdV=1884】V
HVSS_LINK_POSITIVE_VOLTAGE_OUT_OF_RANGE_FAULT
FaultAssertCriteria：Linkpos电压 &gt;【CcHVSS_LnkPosVOorCfmThdV=1800】V → Linkpos电压 &gt;【CcHVSS_HVOorHiCfmThdV=1884】V
</t>
  </si>
  <si>
    <t>同时满足以下条件的温度数量&gt;=【CcCLTS_TSampFailJudgCellNbr=1】或Pack数量&gt;=【CcCLTS_TSampFailJudgPackNbr=1】：
1. AFE电芯温度采样有效；
2. 采样温度CNT值&lt;高于125℃的CNT值</t>
    <phoneticPr fontId="2" type="noConversion"/>
  </si>
  <si>
    <t>同时满足以下条件的温度数量&gt;=【CcCLTS_TSampFailJudgCellNbr=1】或Pack数量&gt;=【CcCLTS_TSampFailJudgPackNbr=1】：
1. AFE电芯温度采样有效；
2. 采样温度CNT值 &gt;低于-40℃的CNT值</t>
    <phoneticPr fontId="2" type="noConversion"/>
  </si>
  <si>
    <t>V9.4.9</t>
  </si>
  <si>
    <t xml:space="preserve">工具选择21个项目：BMS10_RBMS，BMS11_RBMS，BMS12_RBMS，BMS13_RBMS，BMS14_RBMS，BMS20CN_RBMS，BMS20_RBMS，BMS21CN_RBMS，BMS23_RBMS，BMS24_RBMS，BMS25_RBMS，BMS26_RBMS，BMS27_RBMS，LC25_RBMS，MIC_RBMS，RTG10CN_RBMS，RTG10HM_RBMS，RTG10_RBMS，SF05_RBMS，SIB_RBMS，TD_RBMS
【FaultList】
Correct:
CLTS_CELL_TEMPERATURE_OUT_OF_RANGE_HIGH_FAULT
FaultAssertCriteria：同时满足以下条件的电芯数量&gt;=【CcCLTS_TSampFailJudgCellNbr=1】或Pack数量&gt;=【CcCLTS_TSampFailJudgPackNbr=1】：
1. AFE电芯温度采样有效；
2. 电芯采样温度CNT值&lt;-9126(&gt;125℃) → 同时满足以下条件的温度数量&gt;=【CcCLTS_TSampFailJudgCellNbr=1】或Pack数量&gt;=【CcCLTS_TSampFailJudgPackNbr=1】：
1. AFE电芯温度采样有效；
2. 采样温度CNT值&lt;高于125℃的CNT值
CLTS_CELL_TEMPERATURE_OUT_OF_RANGE_LOW_FAULT
FaultAssertCriteria：同时满足以下条件的电芯数量&gt;=【CcCLTS_TSampFailJudgCellNbr=1】或Pack数量&gt;=【CcCLTS_TSampFailJudgPackNbr=1】：
1. AFE电芯温度采样有效；
2. 电芯采样温度CNT值 &gt;9494(&lt;-40℃) → 同时满足以下条件的温度数量&gt;=【CcCLTS_TSampFailJudgCellNbr=1】或Pack数量&gt;=【CcCLTS_TSampFailJudgPackNbr=1】：
1. AFE电芯温度采样有效；
2. 采样温度CNT值 &gt;低于-40℃的CNT值
</t>
  </si>
  <si>
    <t>NA</t>
    <phoneticPr fontId="2" type="noConversion"/>
  </si>
  <si>
    <t>[32]</t>
    <phoneticPr fontId="2" type="noConversion"/>
  </si>
  <si>
    <t>NA</t>
    <phoneticPr fontId="2" type="noConversion"/>
  </si>
  <si>
    <t>[77 85 49 48 87 49 57 48]</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</si>
</sst>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x14ac:knownFonts="1">
    <font>
      <sz val="11"/>
      <color theme="1"/>
      <name val="等线"/>
      <family val="2"/>
      <scheme val="minor"/>
    </font>
    <font>
      <sz val="11"/>
      <color theme="1"/>
      <name val="等线"/>
      <family val="2"/>
      <charset val="134"/>
      <scheme val="minor"/>
    </font>
    <font>
      <sz val="9"/>
      <name val="等线"/>
      <family val="3"/>
      <charset val="134"/>
      <scheme val="minor"/>
    </font>
    <font>
      <b/>
      <sz val="11"/>
      <color theme="1"/>
      <name val="等线"/>
      <family val="3"/>
      <charset val="134"/>
      <scheme val="minor"/>
    </font>
    <font>
      <sz val="11"/>
      <color theme="1"/>
      <name val="等线"/>
      <family val="2"/>
      <charset val="134"/>
      <scheme val="minor"/>
    </font>
    <font>
      <sz val="11"/>
      <color theme="1"/>
      <name val="等线"/>
      <family val="3"/>
      <charset val="134"/>
      <scheme val="minor"/>
    </font>
    <font>
      <sz val="11"/>
      <name val="微软雅黑"/>
      <family val="2"/>
      <charset val="134"/>
    </font>
    <font>
      <b/>
      <sz val="11"/>
      <color theme="1"/>
      <name val="微软雅黑"/>
      <family val="2"/>
      <charset val="134"/>
    </font>
    <font>
      <sz val="11"/>
      <color theme="1"/>
      <name val="微软雅黑"/>
      <family val="2"/>
      <charset val="134"/>
    </font>
    <font>
      <sz val="10.5"/>
      <name val="微软雅黑"/>
      <family val="2"/>
      <charset val="134"/>
    </font>
    <font>
      <b/>
      <sz val="11"/>
      <name val="微软雅黑"/>
      <family val="2"/>
      <charset val="134"/>
    </font>
    <font>
      <b/>
      <sz val="11"/>
      <color theme="1"/>
      <name val="Arial"/>
      <family val="2"/>
    </font>
    <font>
      <sz val="11"/>
      <color theme="1"/>
      <name val="等线"/>
      <family val="2"/>
      <scheme val="minor"/>
    </font>
    <font>
      <b/>
      <sz val="11"/>
      <color theme="1"/>
      <name val="等线"/>
      <family val="2"/>
      <scheme val="minor"/>
    </font>
  </fonts>
  <fills count="7">
    <fill>
      <patternFill patternType="none"/>
    </fill>
    <fill>
      <patternFill patternType="gray125"/>
    </fill>
    <fill>
      <patternFill patternType="solid">
        <fgColor theme="0"/>
        <bgColor indexed="64"/>
      </patternFill>
    </fill>
    <fill>
      <patternFill patternType="solid">
        <fgColor theme="4" tint="0.39997558519241921"/>
        <bgColor indexed="64"/>
      </patternFill>
    </fill>
    <fill>
      <patternFill patternType="solid">
        <fgColor rgb="FFFFFFFF"/>
        <bgColor indexed="64"/>
      </patternFill>
    </fill>
    <fill>
      <patternFill patternType="solid">
        <fgColor rgb="FFD9D9D9"/>
        <bgColor indexed="64"/>
      </patternFill>
    </fill>
    <fill>
      <patternFill patternType="solid">
        <fgColor theme="2" tint="-9.9978637043366805E-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diagonal/>
    </border>
  </borders>
  <cellStyleXfs count="5">
    <xf numFmtId="0" fontId="0" fillId="0" borderId="0"/>
    <xf numFmtId="0" fontId="4" fillId="0" borderId="0">
      <alignment vertical="center"/>
    </xf>
    <xf numFmtId="0" fontId="1" fillId="0" borderId="0">
      <alignment vertical="center"/>
    </xf>
    <xf numFmtId="0" fontId="5" fillId="0" borderId="0"/>
    <xf numFmtId="0" fontId="12" fillId="0" borderId="2"/>
  </cellStyleXfs>
  <cellXfs count="35">
    <xf numFmtId="0" fontId="0" fillId="0" borderId="0" xfId="0"/>
    <xf numFmtId="0" fontId="0" fillId="0" borderId="0" xfId="0" applyAlignment="1">
      <alignment wrapText="1"/>
    </xf>
    <xf numFmtId="0" fontId="6" fillId="0" borderId="0" xfId="0" applyFont="1" applyFill="1" applyAlignment="1">
      <alignment vertical="center"/>
    </xf>
    <xf numFmtId="0" fontId="7" fillId="0" borderId="0" xfId="0" applyFont="1" applyAlignment="1" applyProtection="1">
      <alignment wrapText="1"/>
      <protection locked="0"/>
    </xf>
    <xf numFmtId="0" fontId="6" fillId="2" borderId="1" xfId="0" applyFont="1" applyFill="1" applyBorder="1" applyAlignment="1" applyProtection="1">
      <alignment horizontal="center" vertical="center" wrapText="1"/>
      <protection locked="0"/>
    </xf>
    <xf numFmtId="0" fontId="6" fillId="0" borderId="1" xfId="0" applyFont="1" applyBorder="1" applyAlignment="1" applyProtection="1">
      <alignment horizontal="center" vertical="center" wrapText="1"/>
      <protection locked="0"/>
    </xf>
    <xf numFmtId="0" fontId="8" fillId="0" borderId="0" xfId="0" applyFont="1" applyAlignment="1" applyProtection="1">
      <alignment wrapText="1"/>
      <protection locked="0"/>
    </xf>
    <xf numFmtId="0" fontId="6" fillId="3" borderId="1" xfId="0" applyFont="1" applyFill="1" applyBorder="1" applyAlignment="1" applyProtection="1">
      <alignment horizontal="center" vertical="center" wrapText="1"/>
      <protection locked="0"/>
    </xf>
    <xf numFmtId="0" fontId="6" fillId="0" borderId="1" xfId="0" applyFont="1" applyFill="1" applyBorder="1" applyAlignment="1" applyProtection="1">
      <alignment horizontal="center" vertical="center" wrapText="1"/>
      <protection locked="0"/>
    </xf>
    <xf numFmtId="0" fontId="6" fillId="0" borderId="1" xfId="0" applyFont="1" applyFill="1" applyBorder="1" applyAlignment="1" applyProtection="1">
      <alignment horizontal="left" vertical="center" wrapText="1"/>
      <protection locked="0"/>
    </xf>
    <xf numFmtId="0" fontId="8" fillId="0" borderId="0" xfId="0" applyFont="1" applyFill="1" applyAlignment="1" applyProtection="1">
      <alignment wrapText="1"/>
      <protection locked="0"/>
    </xf>
    <xf numFmtId="0" fontId="10" fillId="0" borderId="1" xfId="0" applyFont="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9" fillId="0" borderId="1" xfId="0" applyFont="1" applyFill="1" applyBorder="1" applyAlignment="1" applyProtection="1">
      <alignment horizontal="left" vertical="center" wrapText="1"/>
      <protection locked="0"/>
    </xf>
    <xf numFmtId="0" fontId="10" fillId="0" borderId="1" xfId="0" applyFont="1" applyFill="1" applyBorder="1" applyAlignment="1" applyProtection="1">
      <alignment horizontal="left" vertical="center" wrapText="1"/>
      <protection locked="0"/>
    </xf>
    <xf numFmtId="0" fontId="6" fillId="0" borderId="1" xfId="0" applyFont="1" applyFill="1" applyBorder="1" applyAlignment="1" applyProtection="1">
      <alignment vertical="center" wrapText="1"/>
      <protection locked="0"/>
    </xf>
    <xf numFmtId="0" fontId="6" fillId="0" borderId="0" xfId="0" applyFont="1" applyFill="1" applyAlignment="1" applyProtection="1">
      <alignment wrapText="1"/>
      <protection locked="0"/>
    </xf>
    <xf numFmtId="0" fontId="6" fillId="4" borderId="1" xfId="0" applyFont="1" applyFill="1" applyBorder="1" applyAlignment="1" applyProtection="1">
      <alignment horizontal="left" vertical="center" wrapText="1"/>
      <protection locked="0"/>
    </xf>
    <xf numFmtId="0" fontId="6" fillId="4" borderId="1" xfId="0" applyFont="1" applyFill="1" applyBorder="1" applyAlignment="1" applyProtection="1">
      <alignment horizontal="center" vertical="center" wrapText="1"/>
      <protection locked="0"/>
    </xf>
    <xf numFmtId="0" fontId="6" fillId="4" borderId="0" xfId="0" applyFont="1" applyFill="1" applyAlignment="1">
      <alignment wrapText="1"/>
    </xf>
    <xf numFmtId="0" fontId="6" fillId="4" borderId="0" xfId="0" applyFont="1" applyFill="1"/>
    <xf numFmtId="0" fontId="6" fillId="5" borderId="1" xfId="0" applyFont="1" applyFill="1" applyBorder="1" applyAlignment="1" applyProtection="1">
      <alignment horizontal="center" vertical="center" wrapText="1"/>
      <protection hidden="1"/>
    </xf>
    <xf numFmtId="0" fontId="6" fillId="2" borderId="1" xfId="0" applyFont="1" applyFill="1" applyBorder="1" applyAlignment="1" applyProtection="1">
      <alignment horizontal="center" wrapText="1"/>
      <protection locked="0"/>
    </xf>
    <xf numFmtId="0" fontId="6" fillId="0" borderId="1" xfId="0" quotePrefix="1" applyFont="1" applyFill="1" applyBorder="1" applyAlignment="1" applyProtection="1">
      <alignment horizontal="center" vertical="center" wrapText="1"/>
      <protection locked="0"/>
    </xf>
    <xf numFmtId="0" fontId="6" fillId="0" borderId="1" xfId="0" applyFont="1" applyBorder="1" applyAlignment="1" applyProtection="1">
      <alignment vertical="center" wrapText="1"/>
      <protection locked="0"/>
    </xf>
    <xf numFmtId="0" fontId="6" fillId="0" borderId="1" xfId="0" applyFont="1" applyBorder="1" applyAlignment="1" applyProtection="1">
      <alignment wrapText="1"/>
      <protection locked="0"/>
    </xf>
    <xf numFmtId="0" fontId="6" fillId="4" borderId="0" xfId="0" applyFont="1" applyFill="1" applyAlignment="1"/>
    <xf numFmtId="0" fontId="12" fillId="0" borderId="2" xfId="4" applyAlignment="1">
      <alignment vertical="center" wrapText="1"/>
    </xf>
    <xf numFmtId="0" fontId="12" fillId="0" borderId="2" xfId="4" applyAlignment="1">
      <alignment horizontal="left" vertical="center" wrapText="1"/>
    </xf>
    <xf numFmtId="14" fontId="0" fillId="0" borderId="0" xfId="0" applyNumberFormat="1" applyAlignment="1">
      <alignment wrapText="1"/>
    </xf>
    <xf numFmtId="0" fontId="6" fillId="5" borderId="1" xfId="0" applyFont="1" applyFill="1" applyBorder="1" applyAlignment="1" applyProtection="1">
      <alignment wrapText="1"/>
    </xf>
    <xf numFmtId="0" fontId="6" fillId="0" borderId="0" xfId="0" applyFont="1" applyFill="1" applyAlignment="1">
      <alignment vertical="center" wrapText="1"/>
    </xf>
    <xf numFmtId="0" fontId="3" fillId="6" borderId="1" xfId="4" applyFont="1" applyFill="1" applyBorder="1" applyAlignment="1">
      <alignment horizontal="center" vertical="center" wrapText="1"/>
    </xf>
    <xf numFmtId="0" fontId="12" fillId="0" borderId="1" xfId="4" applyBorder="1" applyAlignment="1">
      <alignment horizontal="center" vertical="center" wrapText="1"/>
    </xf>
    <xf numFmtId="0" fontId="12" fillId="0" borderId="1" xfId="4" applyBorder="1" applyAlignment="1">
      <alignment horizontal="left" vertical="center" wrapText="1"/>
    </xf>
  </cellXfs>
  <cellStyles count="5">
    <cellStyle name="常规" xfId="0" builtinId="0"/>
    <cellStyle name="常规 2" xfId="1"/>
    <cellStyle name="常规 2 2" xfId="2"/>
    <cellStyle name="常规 3" xfId="3"/>
    <cellStyle name="常规 4" xfId="4"/>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Aice Xie" id="{35864B63-7AEE-453E-9490-BBC6547AE9CD}" userId="S::hao.xie2@envision-digital.com::112b9e85-f890-45ef-9d58-433eca64e3e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40"/>
  <sheetViews>
    <sheetView topLeftCell="A122" zoomScale="85" zoomScaleNormal="85" workbookViewId="0">
      <selection activeCell="C124" sqref="C124"/>
    </sheetView>
  </sheetViews>
  <sheetFormatPr defaultColWidth="9" defaultRowHeight="14.25" x14ac:dyDescent="0.2"/>
  <cols>
    <col min="1" max="1" width="10.875" style="1" customWidth="1"/>
    <col min="2" max="2" width="7.375" style="1" bestFit="1" customWidth="1"/>
    <col min="3" max="3" width="9.625" style="1" customWidth="1"/>
    <col min="4" max="4" width="519.25" style="1" bestFit="1" customWidth="1"/>
    <col min="5" max="5" width="9" style="1"/>
    <col min="6" max="6" width="4.25" style="1" customWidth="1"/>
    <col min="7" max="8" width="9" style="1"/>
    <col min="9" max="9" width="60.125" style="1" customWidth="1"/>
    <col min="10" max="16384" width="9" style="1"/>
  </cols>
  <sheetData>
    <row r="1" spans="1:4" x14ac:dyDescent="0.2">
      <c r="A1" s="1" t="s">
        <v>266</v>
      </c>
      <c r="B1" s="1" t="s">
        <v>332</v>
      </c>
      <c r="C1" s="1" t="s">
        <v>428</v>
      </c>
      <c r="D1" s="1" t="s">
        <v>508</v>
      </c>
    </row>
    <row r="2" spans="1:4" x14ac:dyDescent="0.2">
      <c r="A2" s="1" t="s">
        <v>267</v>
      </c>
      <c r="B2" s="1" t="s">
        <v>333</v>
      </c>
      <c r="C2" s="1" t="s">
        <v>429</v>
      </c>
      <c r="D2" s="1" t="s">
        <v>509</v>
      </c>
    </row>
    <row r="3" spans="1:4" ht="342" x14ac:dyDescent="0.2">
      <c r="A3" s="1" t="s">
        <v>268</v>
      </c>
      <c r="B3" s="1" t="s">
        <v>334</v>
      </c>
      <c r="C3" s="1" t="s">
        <v>430</v>
      </c>
      <c r="D3" s="1" t="s">
        <v>510</v>
      </c>
    </row>
    <row r="4" spans="1:4" ht="114" x14ac:dyDescent="0.2">
      <c r="A4" s="1" t="s">
        <v>269</v>
      </c>
      <c r="B4" s="1" t="s">
        <v>335</v>
      </c>
      <c r="C4" s="1" t="s">
        <v>431</v>
      </c>
      <c r="D4" s="1" t="s">
        <v>511</v>
      </c>
    </row>
    <row r="5" spans="1:4" ht="285" x14ac:dyDescent="0.2">
      <c r="A5" s="1" t="s">
        <v>269</v>
      </c>
      <c r="B5" s="1" t="s">
        <v>336</v>
      </c>
      <c r="C5" s="1" t="s">
        <v>432</v>
      </c>
      <c r="D5" s="1" t="s">
        <v>512</v>
      </c>
    </row>
    <row r="6" spans="1:4" ht="228" x14ac:dyDescent="0.2">
      <c r="A6" s="1" t="s">
        <v>270</v>
      </c>
      <c r="B6" s="1" t="s">
        <v>337</v>
      </c>
      <c r="C6" s="1" t="s">
        <v>433</v>
      </c>
      <c r="D6" s="1" t="s">
        <v>513</v>
      </c>
    </row>
    <row r="7" spans="1:4" ht="85.5" x14ac:dyDescent="0.2">
      <c r="A7" s="1" t="s">
        <v>270</v>
      </c>
      <c r="B7" s="1" t="s">
        <v>338</v>
      </c>
      <c r="C7" s="1" t="s">
        <v>433</v>
      </c>
      <c r="D7" s="1" t="s">
        <v>514</v>
      </c>
    </row>
    <row r="8" spans="1:4" ht="409.5" x14ac:dyDescent="0.2">
      <c r="A8" s="1" t="s">
        <v>270</v>
      </c>
      <c r="B8" s="1" t="s">
        <v>339</v>
      </c>
      <c r="C8" s="1" t="s">
        <v>433</v>
      </c>
      <c r="D8" s="1" t="s">
        <v>515</v>
      </c>
    </row>
    <row r="9" spans="1:4" ht="99.75" x14ac:dyDescent="0.2">
      <c r="A9" s="1" t="s">
        <v>270</v>
      </c>
      <c r="B9" s="1" t="s">
        <v>340</v>
      </c>
      <c r="C9" s="1" t="s">
        <v>434</v>
      </c>
      <c r="D9" s="1" t="s">
        <v>516</v>
      </c>
    </row>
    <row r="10" spans="1:4" ht="57" x14ac:dyDescent="0.2">
      <c r="A10" s="1" t="s">
        <v>270</v>
      </c>
      <c r="B10" s="1" t="s">
        <v>341</v>
      </c>
      <c r="C10" s="1" t="s">
        <v>435</v>
      </c>
      <c r="D10" s="1" t="s">
        <v>517</v>
      </c>
    </row>
    <row r="11" spans="1:4" ht="171" x14ac:dyDescent="0.2">
      <c r="A11" s="1" t="s">
        <v>271</v>
      </c>
      <c r="B11" s="1" t="s">
        <v>342</v>
      </c>
      <c r="C11" s="1" t="s">
        <v>436</v>
      </c>
      <c r="D11" s="1" t="s">
        <v>518</v>
      </c>
    </row>
    <row r="12" spans="1:4" ht="171" x14ac:dyDescent="0.2">
      <c r="A12" s="1" t="s">
        <v>271</v>
      </c>
      <c r="B12" s="1" t="s">
        <v>343</v>
      </c>
      <c r="C12" s="1" t="s">
        <v>437</v>
      </c>
      <c r="D12" s="1" t="s">
        <v>519</v>
      </c>
    </row>
    <row r="13" spans="1:4" ht="299.25" x14ac:dyDescent="0.2">
      <c r="A13" s="1" t="s">
        <v>271</v>
      </c>
      <c r="B13" s="1" t="s">
        <v>344</v>
      </c>
      <c r="C13" s="1" t="s">
        <v>438</v>
      </c>
      <c r="D13" s="1" t="s">
        <v>520</v>
      </c>
    </row>
    <row r="14" spans="1:4" ht="114" x14ac:dyDescent="0.2">
      <c r="A14" s="1" t="s">
        <v>271</v>
      </c>
      <c r="B14" s="1" t="s">
        <v>345</v>
      </c>
      <c r="C14" s="1" t="s">
        <v>439</v>
      </c>
      <c r="D14" s="1" t="s">
        <v>521</v>
      </c>
    </row>
    <row r="15" spans="1:4" ht="57" x14ac:dyDescent="0.2">
      <c r="A15" s="1" t="s">
        <v>272</v>
      </c>
      <c r="B15" s="1" t="s">
        <v>346</v>
      </c>
      <c r="C15" s="1" t="s">
        <v>440</v>
      </c>
      <c r="D15" s="1" t="s">
        <v>522</v>
      </c>
    </row>
    <row r="16" spans="1:4" ht="85.5" x14ac:dyDescent="0.2">
      <c r="A16" s="1" t="s">
        <v>272</v>
      </c>
      <c r="B16" s="1" t="s">
        <v>347</v>
      </c>
      <c r="C16" s="1" t="s">
        <v>441</v>
      </c>
      <c r="D16" s="1" t="s">
        <v>523</v>
      </c>
    </row>
    <row r="17" spans="1:4" ht="342" x14ac:dyDescent="0.2">
      <c r="A17" s="1" t="s">
        <v>273</v>
      </c>
      <c r="B17" s="1" t="s">
        <v>348</v>
      </c>
      <c r="C17" s="1" t="s">
        <v>442</v>
      </c>
      <c r="D17" s="1" t="s">
        <v>524</v>
      </c>
    </row>
    <row r="18" spans="1:4" ht="270.75" x14ac:dyDescent="0.2">
      <c r="A18" s="1" t="s">
        <v>274</v>
      </c>
      <c r="B18" s="1" t="s">
        <v>349</v>
      </c>
      <c r="C18" s="1" t="s">
        <v>443</v>
      </c>
      <c r="D18" s="1" t="s">
        <v>525</v>
      </c>
    </row>
    <row r="19" spans="1:4" ht="71.25" x14ac:dyDescent="0.2">
      <c r="A19" s="1" t="s">
        <v>275</v>
      </c>
      <c r="B19" s="1" t="s">
        <v>350</v>
      </c>
      <c r="C19" s="1" t="s">
        <v>444</v>
      </c>
      <c r="D19" s="1" t="s">
        <v>526</v>
      </c>
    </row>
    <row r="20" spans="1:4" ht="185.25" x14ac:dyDescent="0.2">
      <c r="A20" s="1" t="s">
        <v>275</v>
      </c>
      <c r="B20" s="1" t="s">
        <v>351</v>
      </c>
      <c r="C20" s="1" t="s">
        <v>444</v>
      </c>
      <c r="D20" s="1" t="s">
        <v>527</v>
      </c>
    </row>
    <row r="21" spans="1:4" ht="128.25" x14ac:dyDescent="0.2">
      <c r="A21" s="1" t="s">
        <v>275</v>
      </c>
      <c r="B21" s="1" t="s">
        <v>352</v>
      </c>
      <c r="C21" s="1" t="s">
        <v>444</v>
      </c>
      <c r="D21" s="1" t="s">
        <v>528</v>
      </c>
    </row>
    <row r="22" spans="1:4" ht="114" x14ac:dyDescent="0.2">
      <c r="A22" s="1" t="s">
        <v>275</v>
      </c>
      <c r="B22" s="1" t="s">
        <v>353</v>
      </c>
      <c r="C22" s="1" t="s">
        <v>445</v>
      </c>
      <c r="D22" s="1" t="s">
        <v>529</v>
      </c>
    </row>
    <row r="23" spans="1:4" ht="409.5" x14ac:dyDescent="0.2">
      <c r="A23" s="1" t="s">
        <v>275</v>
      </c>
      <c r="B23" s="1" t="s">
        <v>354</v>
      </c>
      <c r="C23" s="1" t="s">
        <v>446</v>
      </c>
      <c r="D23" s="1" t="s">
        <v>530</v>
      </c>
    </row>
    <row r="24" spans="1:4" ht="156.75" x14ac:dyDescent="0.2">
      <c r="A24" s="1" t="s">
        <v>275</v>
      </c>
      <c r="B24" s="1" t="s">
        <v>355</v>
      </c>
      <c r="C24" s="1" t="s">
        <v>446</v>
      </c>
      <c r="D24" s="1" t="s">
        <v>531</v>
      </c>
    </row>
    <row r="25" spans="1:4" ht="114" x14ac:dyDescent="0.2">
      <c r="A25" s="1" t="s">
        <v>275</v>
      </c>
      <c r="B25" s="1" t="s">
        <v>356</v>
      </c>
      <c r="C25" s="1" t="s">
        <v>447</v>
      </c>
      <c r="D25" s="1" t="s">
        <v>532</v>
      </c>
    </row>
    <row r="26" spans="1:4" x14ac:dyDescent="0.2">
      <c r="A26" s="1" t="s">
        <v>276</v>
      </c>
      <c r="B26" s="1" t="s">
        <v>357</v>
      </c>
      <c r="C26" s="1" t="s">
        <v>448</v>
      </c>
      <c r="D26" s="1" t="s">
        <v>533</v>
      </c>
    </row>
    <row r="27" spans="1:4" ht="85.5" x14ac:dyDescent="0.2">
      <c r="A27" s="1" t="s">
        <v>277</v>
      </c>
      <c r="B27" s="1" t="s">
        <v>358</v>
      </c>
      <c r="C27" s="1" t="s">
        <v>449</v>
      </c>
      <c r="D27" s="1" t="s">
        <v>534</v>
      </c>
    </row>
    <row r="28" spans="1:4" ht="114" x14ac:dyDescent="0.2">
      <c r="A28" s="1" t="s">
        <v>278</v>
      </c>
      <c r="B28" s="1" t="s">
        <v>359</v>
      </c>
      <c r="C28" s="1" t="s">
        <v>449</v>
      </c>
      <c r="D28" s="1" t="s">
        <v>535</v>
      </c>
    </row>
    <row r="29" spans="1:4" ht="409.5" x14ac:dyDescent="0.2">
      <c r="A29" s="1" t="s">
        <v>279</v>
      </c>
      <c r="B29" s="1" t="s">
        <v>360</v>
      </c>
      <c r="C29" s="1" t="s">
        <v>450</v>
      </c>
      <c r="D29" s="1" t="s">
        <v>536</v>
      </c>
    </row>
    <row r="30" spans="1:4" ht="85.5" x14ac:dyDescent="0.2">
      <c r="A30" s="1" t="s">
        <v>280</v>
      </c>
      <c r="B30" s="1" t="s">
        <v>361</v>
      </c>
      <c r="C30" s="1" t="s">
        <v>451</v>
      </c>
      <c r="D30" s="1" t="s">
        <v>537</v>
      </c>
    </row>
    <row r="31" spans="1:4" ht="409.5" x14ac:dyDescent="0.2">
      <c r="A31" s="1" t="s">
        <v>280</v>
      </c>
      <c r="B31" s="1" t="s">
        <v>362</v>
      </c>
      <c r="C31" s="1" t="s">
        <v>452</v>
      </c>
      <c r="D31" s="1" t="s">
        <v>538</v>
      </c>
    </row>
    <row r="32" spans="1:4" ht="114" x14ac:dyDescent="0.2">
      <c r="A32" s="1" t="s">
        <v>281</v>
      </c>
      <c r="B32" s="1" t="s">
        <v>363</v>
      </c>
      <c r="C32" s="1" t="s">
        <v>453</v>
      </c>
      <c r="D32" s="1" t="s">
        <v>539</v>
      </c>
    </row>
    <row r="33" spans="1:4" ht="171" x14ac:dyDescent="0.2">
      <c r="A33" s="1" t="s">
        <v>282</v>
      </c>
      <c r="B33" s="1" t="s">
        <v>364</v>
      </c>
      <c r="C33" s="1" t="s">
        <v>454</v>
      </c>
      <c r="D33" s="1" t="s">
        <v>540</v>
      </c>
    </row>
    <row r="34" spans="1:4" ht="142.5" x14ac:dyDescent="0.2">
      <c r="A34" s="1" t="s">
        <v>283</v>
      </c>
      <c r="B34" s="1" t="s">
        <v>365</v>
      </c>
      <c r="C34" s="1" t="s">
        <v>455</v>
      </c>
      <c r="D34" s="1" t="s">
        <v>541</v>
      </c>
    </row>
    <row r="35" spans="1:4" ht="85.5" x14ac:dyDescent="0.2">
      <c r="A35" s="1" t="s">
        <v>284</v>
      </c>
      <c r="B35" s="1" t="s">
        <v>366</v>
      </c>
      <c r="C35" s="1" t="s">
        <v>456</v>
      </c>
      <c r="D35" s="1" t="s">
        <v>542</v>
      </c>
    </row>
    <row r="36" spans="1:4" ht="85.5" x14ac:dyDescent="0.2">
      <c r="A36" s="1" t="s">
        <v>285</v>
      </c>
      <c r="B36" s="1" t="s">
        <v>367</v>
      </c>
      <c r="C36" s="1" t="s">
        <v>456</v>
      </c>
      <c r="D36" s="1" t="s">
        <v>543</v>
      </c>
    </row>
    <row r="37" spans="1:4" ht="409.5" x14ac:dyDescent="0.2">
      <c r="A37" s="1" t="s">
        <v>286</v>
      </c>
      <c r="B37" s="1" t="s">
        <v>368</v>
      </c>
      <c r="C37" s="1" t="s">
        <v>457</v>
      </c>
      <c r="D37" s="1" t="s">
        <v>544</v>
      </c>
    </row>
    <row r="38" spans="1:4" ht="142.5" x14ac:dyDescent="0.2">
      <c r="A38" s="1" t="s">
        <v>287</v>
      </c>
      <c r="B38" s="1" t="s">
        <v>369</v>
      </c>
      <c r="C38" s="1" t="s">
        <v>458</v>
      </c>
      <c r="D38" s="1" t="s">
        <v>545</v>
      </c>
    </row>
    <row r="39" spans="1:4" ht="409.5" x14ac:dyDescent="0.2">
      <c r="A39" s="1" t="s">
        <v>287</v>
      </c>
      <c r="B39" s="1" t="s">
        <v>370</v>
      </c>
      <c r="C39" s="1" t="s">
        <v>459</v>
      </c>
      <c r="D39" s="1" t="s">
        <v>546</v>
      </c>
    </row>
    <row r="40" spans="1:4" x14ac:dyDescent="0.2">
      <c r="A40" s="1" t="s">
        <v>287</v>
      </c>
      <c r="B40" s="1" t="s">
        <v>371</v>
      </c>
      <c r="C40" s="1" t="s">
        <v>460</v>
      </c>
      <c r="D40" s="1" t="s">
        <v>547</v>
      </c>
    </row>
    <row r="41" spans="1:4" ht="99.75" x14ac:dyDescent="0.2">
      <c r="A41" s="1" t="s">
        <v>288</v>
      </c>
      <c r="B41" s="1" t="s">
        <v>372</v>
      </c>
      <c r="C41" s="1" t="s">
        <v>461</v>
      </c>
      <c r="D41" s="1" t="s">
        <v>548</v>
      </c>
    </row>
    <row r="42" spans="1:4" x14ac:dyDescent="0.2">
      <c r="A42" s="1" t="s">
        <v>289</v>
      </c>
      <c r="B42" s="1" t="s">
        <v>373</v>
      </c>
      <c r="C42" s="1" t="s">
        <v>462</v>
      </c>
      <c r="D42" s="1" t="s">
        <v>549</v>
      </c>
    </row>
    <row r="43" spans="1:4" ht="242.25" x14ac:dyDescent="0.2">
      <c r="A43" s="1" t="s">
        <v>290</v>
      </c>
      <c r="B43" s="1" t="s">
        <v>374</v>
      </c>
      <c r="C43" s="1" t="s">
        <v>463</v>
      </c>
      <c r="D43" s="1" t="s">
        <v>550</v>
      </c>
    </row>
    <row r="44" spans="1:4" ht="409.5" x14ac:dyDescent="0.2">
      <c r="A44" s="1" t="s">
        <v>291</v>
      </c>
      <c r="B44" s="1" t="s">
        <v>375</v>
      </c>
      <c r="C44" s="1" t="s">
        <v>464</v>
      </c>
      <c r="D44" s="1" t="s">
        <v>551</v>
      </c>
    </row>
    <row r="45" spans="1:4" ht="142.5" x14ac:dyDescent="0.2">
      <c r="A45" s="1" t="s">
        <v>292</v>
      </c>
      <c r="B45" s="1" t="s">
        <v>376</v>
      </c>
      <c r="C45" s="1" t="s">
        <v>464</v>
      </c>
      <c r="D45" s="1" t="s">
        <v>552</v>
      </c>
    </row>
    <row r="46" spans="1:4" ht="270.75" x14ac:dyDescent="0.2">
      <c r="A46" s="1" t="s">
        <v>293</v>
      </c>
      <c r="B46" s="1" t="s">
        <v>377</v>
      </c>
      <c r="C46" s="1" t="s">
        <v>464</v>
      </c>
      <c r="D46" s="1" t="s">
        <v>553</v>
      </c>
    </row>
    <row r="47" spans="1:4" x14ac:dyDescent="0.2">
      <c r="A47" s="1" t="s">
        <v>294</v>
      </c>
      <c r="B47" s="1" t="s">
        <v>378</v>
      </c>
      <c r="C47" s="1" t="s">
        <v>465</v>
      </c>
      <c r="D47" s="1" t="s">
        <v>554</v>
      </c>
    </row>
    <row r="48" spans="1:4" x14ac:dyDescent="0.2">
      <c r="A48" s="1" t="s">
        <v>294</v>
      </c>
      <c r="B48" s="1" t="s">
        <v>379</v>
      </c>
      <c r="C48" s="1" t="s">
        <v>465</v>
      </c>
      <c r="D48" s="1" t="s">
        <v>555</v>
      </c>
    </row>
    <row r="49" spans="1:4" ht="85.5" x14ac:dyDescent="0.2">
      <c r="A49" s="1" t="s">
        <v>294</v>
      </c>
      <c r="B49" s="1" t="s">
        <v>380</v>
      </c>
      <c r="C49" s="1" t="s">
        <v>466</v>
      </c>
      <c r="D49" s="1" t="s">
        <v>556</v>
      </c>
    </row>
    <row r="50" spans="1:4" ht="99.75" x14ac:dyDescent="0.2">
      <c r="A50" s="1" t="s">
        <v>295</v>
      </c>
      <c r="B50" s="1" t="s">
        <v>381</v>
      </c>
      <c r="C50" s="1" t="s">
        <v>467</v>
      </c>
      <c r="D50" s="1" t="s">
        <v>557</v>
      </c>
    </row>
    <row r="51" spans="1:4" ht="185.25" x14ac:dyDescent="0.2">
      <c r="A51" s="1" t="s">
        <v>296</v>
      </c>
      <c r="B51" s="1" t="s">
        <v>382</v>
      </c>
      <c r="C51" s="1" t="s">
        <v>468</v>
      </c>
      <c r="D51" s="1" t="s">
        <v>558</v>
      </c>
    </row>
    <row r="52" spans="1:4" ht="342" x14ac:dyDescent="0.2">
      <c r="A52" s="1" t="s">
        <v>297</v>
      </c>
      <c r="B52" s="1" t="s">
        <v>383</v>
      </c>
      <c r="C52" s="1" t="s">
        <v>468</v>
      </c>
      <c r="D52" s="1" t="s">
        <v>559</v>
      </c>
    </row>
    <row r="53" spans="1:4" ht="85.5" x14ac:dyDescent="0.2">
      <c r="A53" s="1" t="s">
        <v>297</v>
      </c>
      <c r="B53" s="1" t="s">
        <v>384</v>
      </c>
      <c r="C53" s="1" t="s">
        <v>469</v>
      </c>
      <c r="D53" s="1" t="s">
        <v>560</v>
      </c>
    </row>
    <row r="54" spans="1:4" ht="71.25" x14ac:dyDescent="0.2">
      <c r="A54" s="1" t="s">
        <v>298</v>
      </c>
      <c r="B54" s="1" t="s">
        <v>385</v>
      </c>
      <c r="C54" s="1" t="s">
        <v>470</v>
      </c>
      <c r="D54" s="1" t="s">
        <v>561</v>
      </c>
    </row>
    <row r="55" spans="1:4" ht="71.25" x14ac:dyDescent="0.2">
      <c r="A55" s="1" t="s">
        <v>299</v>
      </c>
      <c r="B55" s="1" t="s">
        <v>386</v>
      </c>
      <c r="C55" s="1" t="s">
        <v>471</v>
      </c>
      <c r="D55" s="1" t="s">
        <v>562</v>
      </c>
    </row>
    <row r="56" spans="1:4" ht="142.5" x14ac:dyDescent="0.2">
      <c r="A56" s="1" t="s">
        <v>300</v>
      </c>
      <c r="B56" s="1" t="s">
        <v>387</v>
      </c>
      <c r="C56" s="1" t="s">
        <v>472</v>
      </c>
      <c r="D56" s="1" t="s">
        <v>563</v>
      </c>
    </row>
    <row r="57" spans="1:4" x14ac:dyDescent="0.2">
      <c r="A57" s="1" t="s">
        <v>301</v>
      </c>
      <c r="B57" s="1" t="s">
        <v>388</v>
      </c>
      <c r="C57" s="1" t="s">
        <v>473</v>
      </c>
      <c r="D57" s="1" t="s">
        <v>564</v>
      </c>
    </row>
    <row r="58" spans="1:4" ht="28.5" x14ac:dyDescent="0.2">
      <c r="A58" s="1" t="s">
        <v>302</v>
      </c>
      <c r="B58" s="1" t="s">
        <v>389</v>
      </c>
      <c r="C58" s="1" t="s">
        <v>474</v>
      </c>
      <c r="D58" s="1" t="s">
        <v>565</v>
      </c>
    </row>
    <row r="59" spans="1:4" ht="142.5" x14ac:dyDescent="0.2">
      <c r="A59" s="1" t="s">
        <v>302</v>
      </c>
      <c r="B59" s="1" t="s">
        <v>390</v>
      </c>
      <c r="C59" s="1" t="s">
        <v>474</v>
      </c>
      <c r="D59" s="1" t="s">
        <v>566</v>
      </c>
    </row>
    <row r="60" spans="1:4" ht="71.25" x14ac:dyDescent="0.2">
      <c r="A60" s="1" t="s">
        <v>303</v>
      </c>
      <c r="B60" s="1" t="s">
        <v>391</v>
      </c>
      <c r="C60" s="1" t="s">
        <v>475</v>
      </c>
      <c r="D60" s="1" t="s">
        <v>567</v>
      </c>
    </row>
    <row r="61" spans="1:4" x14ac:dyDescent="0.2">
      <c r="A61" s="1" t="s">
        <v>304</v>
      </c>
      <c r="B61" s="1" t="s">
        <v>392</v>
      </c>
      <c r="C61" s="1" t="s">
        <v>476</v>
      </c>
      <c r="D61" s="1" t="s">
        <v>568</v>
      </c>
    </row>
    <row r="62" spans="1:4" ht="409.5" x14ac:dyDescent="0.2">
      <c r="A62" s="1" t="s">
        <v>304</v>
      </c>
      <c r="B62" s="1" t="s">
        <v>393</v>
      </c>
      <c r="C62" s="1" t="s">
        <v>477</v>
      </c>
      <c r="D62" s="1" t="s">
        <v>569</v>
      </c>
    </row>
    <row r="63" spans="1:4" ht="270.75" x14ac:dyDescent="0.2">
      <c r="A63" s="1" t="s">
        <v>305</v>
      </c>
      <c r="B63" s="1" t="s">
        <v>394</v>
      </c>
      <c r="C63" s="1" t="s">
        <v>478</v>
      </c>
      <c r="D63" s="1" t="s">
        <v>570</v>
      </c>
    </row>
    <row r="64" spans="1:4" ht="142.5" x14ac:dyDescent="0.2">
      <c r="A64" s="1" t="s">
        <v>306</v>
      </c>
      <c r="B64" s="1" t="s">
        <v>395</v>
      </c>
      <c r="C64" s="1" t="s">
        <v>479</v>
      </c>
      <c r="D64" s="1" t="s">
        <v>571</v>
      </c>
    </row>
    <row r="65" spans="1:4" ht="171" x14ac:dyDescent="0.2">
      <c r="A65" s="1" t="s">
        <v>307</v>
      </c>
      <c r="B65" s="1" t="s">
        <v>396</v>
      </c>
      <c r="C65" s="1" t="s">
        <v>480</v>
      </c>
      <c r="D65" s="1" t="s">
        <v>572</v>
      </c>
    </row>
    <row r="66" spans="1:4" x14ac:dyDescent="0.2">
      <c r="A66" s="1" t="s">
        <v>308</v>
      </c>
      <c r="B66" s="1" t="s">
        <v>397</v>
      </c>
      <c r="C66" s="1" t="s">
        <v>481</v>
      </c>
      <c r="D66" s="1" t="s">
        <v>573</v>
      </c>
    </row>
    <row r="67" spans="1:4" x14ac:dyDescent="0.2">
      <c r="A67" s="1" t="s">
        <v>308</v>
      </c>
      <c r="B67" s="1" t="s">
        <v>398</v>
      </c>
      <c r="C67" s="1" t="s">
        <v>482</v>
      </c>
      <c r="D67" s="1" t="s">
        <v>574</v>
      </c>
    </row>
    <row r="68" spans="1:4" ht="99.75" x14ac:dyDescent="0.2">
      <c r="A68" s="1" t="s">
        <v>309</v>
      </c>
      <c r="B68" s="1" t="s">
        <v>399</v>
      </c>
      <c r="C68" s="1" t="s">
        <v>483</v>
      </c>
      <c r="D68" s="1" t="s">
        <v>575</v>
      </c>
    </row>
    <row r="69" spans="1:4" ht="71.25" x14ac:dyDescent="0.2">
      <c r="A69" s="1" t="s">
        <v>310</v>
      </c>
      <c r="B69" s="1" t="s">
        <v>400</v>
      </c>
      <c r="C69" s="1" t="s">
        <v>484</v>
      </c>
      <c r="D69" s="1" t="s">
        <v>576</v>
      </c>
    </row>
    <row r="70" spans="1:4" ht="171" x14ac:dyDescent="0.2">
      <c r="A70" s="1" t="s">
        <v>311</v>
      </c>
      <c r="B70" s="1" t="s">
        <v>401</v>
      </c>
      <c r="C70" s="1" t="s">
        <v>485</v>
      </c>
      <c r="D70" s="1" t="s">
        <v>577</v>
      </c>
    </row>
    <row r="71" spans="1:4" ht="342" x14ac:dyDescent="0.2">
      <c r="A71" s="1" t="s">
        <v>311</v>
      </c>
      <c r="B71" s="1" t="s">
        <v>402</v>
      </c>
      <c r="C71" s="1" t="s">
        <v>486</v>
      </c>
      <c r="D71" s="1" t="s">
        <v>578</v>
      </c>
    </row>
    <row r="72" spans="1:4" x14ac:dyDescent="0.2">
      <c r="A72" s="1" t="s">
        <v>312</v>
      </c>
      <c r="B72" s="1" t="s">
        <v>403</v>
      </c>
      <c r="C72" s="1" t="s">
        <v>487</v>
      </c>
      <c r="D72" s="1" t="s">
        <v>579</v>
      </c>
    </row>
    <row r="73" spans="1:4" ht="199.5" x14ac:dyDescent="0.2">
      <c r="A73" s="1" t="s">
        <v>313</v>
      </c>
      <c r="B73" s="1" t="s">
        <v>404</v>
      </c>
      <c r="C73" s="1" t="s">
        <v>488</v>
      </c>
      <c r="D73" s="1" t="s">
        <v>580</v>
      </c>
    </row>
    <row r="74" spans="1:4" ht="85.5" x14ac:dyDescent="0.2">
      <c r="A74" s="1" t="s">
        <v>314</v>
      </c>
      <c r="B74" s="1" t="s">
        <v>405</v>
      </c>
      <c r="C74" s="1" t="s">
        <v>489</v>
      </c>
      <c r="D74" s="1" t="s">
        <v>581</v>
      </c>
    </row>
    <row r="75" spans="1:4" ht="28.5" x14ac:dyDescent="0.2">
      <c r="A75" s="1" t="s">
        <v>315</v>
      </c>
      <c r="B75" s="1" t="s">
        <v>406</v>
      </c>
      <c r="C75" s="1" t="s">
        <v>490</v>
      </c>
      <c r="D75" s="1" t="s">
        <v>582</v>
      </c>
    </row>
    <row r="76" spans="1:4" ht="142.5" x14ac:dyDescent="0.2">
      <c r="A76" s="1" t="s">
        <v>315</v>
      </c>
      <c r="B76" s="1" t="s">
        <v>407</v>
      </c>
      <c r="C76" s="1" t="s">
        <v>490</v>
      </c>
      <c r="D76" s="1" t="s">
        <v>583</v>
      </c>
    </row>
    <row r="77" spans="1:4" ht="270.75" x14ac:dyDescent="0.2">
      <c r="A77" s="1" t="s">
        <v>316</v>
      </c>
      <c r="B77" s="1" t="s">
        <v>408</v>
      </c>
      <c r="C77" s="1" t="s">
        <v>491</v>
      </c>
      <c r="D77" s="1" t="s">
        <v>584</v>
      </c>
    </row>
    <row r="78" spans="1:4" ht="409.5" x14ac:dyDescent="0.2">
      <c r="A78" s="1" t="s">
        <v>317</v>
      </c>
      <c r="B78" s="1" t="s">
        <v>409</v>
      </c>
      <c r="C78" s="1" t="s">
        <v>492</v>
      </c>
      <c r="D78" s="1" t="s">
        <v>585</v>
      </c>
    </row>
    <row r="79" spans="1:4" ht="409.5" x14ac:dyDescent="0.2">
      <c r="A79" s="1" t="s">
        <v>318</v>
      </c>
      <c r="B79" s="1" t="s">
        <v>410</v>
      </c>
      <c r="C79" s="1" t="s">
        <v>493</v>
      </c>
      <c r="D79" s="1" t="s">
        <v>586</v>
      </c>
    </row>
    <row r="80" spans="1:4" ht="99.75" x14ac:dyDescent="0.2">
      <c r="A80" s="1" t="s">
        <v>318</v>
      </c>
      <c r="B80" s="1" t="s">
        <v>411</v>
      </c>
      <c r="C80" s="1" t="s">
        <v>494</v>
      </c>
      <c r="D80" s="1" t="s">
        <v>587</v>
      </c>
    </row>
    <row r="81" spans="1:4" ht="256.5" x14ac:dyDescent="0.2">
      <c r="A81" s="1" t="s">
        <v>319</v>
      </c>
      <c r="B81" s="1" t="s">
        <v>412</v>
      </c>
      <c r="C81" s="1" t="s">
        <v>495</v>
      </c>
      <c r="D81" s="1" t="s">
        <v>588</v>
      </c>
    </row>
    <row r="82" spans="1:4" ht="142.5" x14ac:dyDescent="0.2">
      <c r="A82" s="1" t="s">
        <v>320</v>
      </c>
      <c r="B82" s="1" t="s">
        <v>413</v>
      </c>
      <c r="C82" s="1" t="s">
        <v>496</v>
      </c>
      <c r="D82" s="1" t="s">
        <v>589</v>
      </c>
    </row>
    <row r="83" spans="1:4" ht="356.25" x14ac:dyDescent="0.2">
      <c r="A83" s="1" t="s">
        <v>321</v>
      </c>
      <c r="B83" s="1" t="s">
        <v>414</v>
      </c>
      <c r="C83" s="1" t="s">
        <v>497</v>
      </c>
      <c r="D83" s="1" t="s">
        <v>590</v>
      </c>
    </row>
    <row r="84" spans="1:4" ht="142.5" x14ac:dyDescent="0.2">
      <c r="A84" s="1" t="s">
        <v>322</v>
      </c>
      <c r="B84" s="1" t="s">
        <v>415</v>
      </c>
      <c r="C84" s="1" t="s">
        <v>497</v>
      </c>
      <c r="D84" s="1" t="s">
        <v>591</v>
      </c>
    </row>
    <row r="85" spans="1:4" ht="85.5" x14ac:dyDescent="0.2">
      <c r="A85" s="1" t="s">
        <v>323</v>
      </c>
      <c r="B85" s="1" t="s">
        <v>416</v>
      </c>
      <c r="C85" s="1" t="s">
        <v>498</v>
      </c>
      <c r="D85" s="1" t="s">
        <v>592</v>
      </c>
    </row>
    <row r="86" spans="1:4" ht="99.75" x14ac:dyDescent="0.2">
      <c r="A86" s="1" t="s">
        <v>323</v>
      </c>
      <c r="B86" s="1" t="s">
        <v>417</v>
      </c>
      <c r="C86" s="1" t="s">
        <v>499</v>
      </c>
      <c r="D86" s="1" t="s">
        <v>593</v>
      </c>
    </row>
    <row r="87" spans="1:4" ht="142.5" x14ac:dyDescent="0.2">
      <c r="A87" s="1" t="s">
        <v>324</v>
      </c>
      <c r="B87" s="1" t="s">
        <v>418</v>
      </c>
      <c r="C87" s="1" t="s">
        <v>500</v>
      </c>
      <c r="D87" s="1" t="s">
        <v>594</v>
      </c>
    </row>
    <row r="88" spans="1:4" ht="85.5" x14ac:dyDescent="0.2">
      <c r="A88" s="1" t="s">
        <v>325</v>
      </c>
      <c r="B88" s="1" t="s">
        <v>419</v>
      </c>
      <c r="C88" s="1" t="s">
        <v>501</v>
      </c>
      <c r="D88" s="1" t="s">
        <v>595</v>
      </c>
    </row>
    <row r="89" spans="1:4" ht="185.25" x14ac:dyDescent="0.2">
      <c r="A89" s="1" t="s">
        <v>326</v>
      </c>
      <c r="B89" s="1" t="s">
        <v>420</v>
      </c>
      <c r="C89" s="1" t="s">
        <v>501</v>
      </c>
      <c r="D89" s="1" t="s">
        <v>596</v>
      </c>
    </row>
    <row r="90" spans="1:4" ht="409.5" x14ac:dyDescent="0.2">
      <c r="A90" s="1" t="s">
        <v>327</v>
      </c>
      <c r="B90" s="1" t="s">
        <v>421</v>
      </c>
      <c r="C90" s="1" t="s">
        <v>502</v>
      </c>
      <c r="D90" s="1" t="s">
        <v>597</v>
      </c>
    </row>
    <row r="91" spans="1:4" ht="85.5" x14ac:dyDescent="0.2">
      <c r="A91" s="1" t="s">
        <v>328</v>
      </c>
      <c r="B91" s="1" t="s">
        <v>422</v>
      </c>
      <c r="C91" s="1" t="s">
        <v>503</v>
      </c>
      <c r="D91" s="1" t="s">
        <v>598</v>
      </c>
    </row>
    <row r="92" spans="1:4" ht="409.5" x14ac:dyDescent="0.2">
      <c r="A92" s="1" t="s">
        <v>329</v>
      </c>
      <c r="B92" s="1" t="s">
        <v>423</v>
      </c>
      <c r="C92" s="1" t="s">
        <v>504</v>
      </c>
      <c r="D92" s="1" t="s">
        <v>599</v>
      </c>
    </row>
    <row r="93" spans="1:4" ht="85.5" x14ac:dyDescent="0.2">
      <c r="A93" s="1" t="s">
        <v>330</v>
      </c>
      <c r="B93" s="1" t="s">
        <v>424</v>
      </c>
      <c r="C93" s="1" t="s">
        <v>504</v>
      </c>
      <c r="D93" s="1" t="s">
        <v>600</v>
      </c>
    </row>
    <row r="94" spans="1:4" ht="409.5" x14ac:dyDescent="0.2">
      <c r="A94" s="1" t="s">
        <v>331</v>
      </c>
      <c r="B94" s="1" t="s">
        <v>425</v>
      </c>
      <c r="C94" s="1" t="s">
        <v>505</v>
      </c>
      <c r="D94" s="1" t="s">
        <v>601</v>
      </c>
    </row>
    <row r="95" spans="1:4" ht="85.5" x14ac:dyDescent="0.2">
      <c r="A95" s="1" t="s">
        <v>331</v>
      </c>
      <c r="B95" s="1" t="s">
        <v>426</v>
      </c>
      <c r="C95" s="1" t="s">
        <v>506</v>
      </c>
      <c r="D95" s="1" t="s">
        <v>602</v>
      </c>
    </row>
    <row r="96" spans="1:4" ht="128.25" x14ac:dyDescent="0.2">
      <c r="A96" s="1" t="s">
        <v>331</v>
      </c>
      <c r="B96" s="1" t="s">
        <v>427</v>
      </c>
      <c r="C96" s="1" t="s">
        <v>507</v>
      </c>
      <c r="D96" s="1" t="s">
        <v>603</v>
      </c>
    </row>
    <row r="97" spans="1:4" ht="142.5" x14ac:dyDescent="0.2">
      <c r="A97" s="29">
        <v>45883</v>
      </c>
      <c r="B97" s="1" t="s">
        <v>604</v>
      </c>
      <c r="C97" s="1" t="s">
        <v>246</v>
      </c>
      <c r="D97" s="1" t="s">
        <v>605</v>
      </c>
    </row>
    <row r="98" spans="1:4" ht="142.5" x14ac:dyDescent="0.2">
      <c r="A98" s="29">
        <v>45884</v>
      </c>
      <c r="B98" s="1" t="s">
        <v>606</v>
      </c>
      <c r="C98" s="1" t="s">
        <v>437</v>
      </c>
      <c r="D98" s="1" t="s">
        <v>607</v>
      </c>
    </row>
    <row r="99" spans="1:4" ht="270.75" x14ac:dyDescent="0.2">
      <c r="A99" s="29">
        <v>45887</v>
      </c>
      <c r="B99" s="1" t="s">
        <v>608</v>
      </c>
      <c r="C99" s="1" t="s">
        <v>432</v>
      </c>
      <c r="D99" s="1" t="s">
        <v>609</v>
      </c>
    </row>
    <row r="100" spans="1:4" ht="242.25" x14ac:dyDescent="0.2">
      <c r="A100" s="29">
        <v>45888</v>
      </c>
      <c r="B100" s="1" t="s">
        <v>610</v>
      </c>
      <c r="C100" s="1" t="s">
        <v>246</v>
      </c>
      <c r="D100" s="1" t="s">
        <v>611</v>
      </c>
    </row>
    <row r="101" spans="1:4" ht="114" x14ac:dyDescent="0.2">
      <c r="A101" s="1" t="s">
        <v>614</v>
      </c>
      <c r="B101" s="1" t="s">
        <v>615</v>
      </c>
      <c r="C101" s="1" t="s">
        <v>616</v>
      </c>
      <c r="D101" s="1" t="s">
        <v>617</v>
      </c>
    </row>
    <row r="102" spans="1:4" ht="409.5" x14ac:dyDescent="0.2">
      <c r="A102" s="29">
        <v>45895</v>
      </c>
      <c r="B102" s="1" t="s">
        <v>620</v>
      </c>
      <c r="C102" s="1" t="s">
        <v>432</v>
      </c>
      <c r="D102" s="1" t="s">
        <v>621</v>
      </c>
    </row>
    <row r="103" spans="1:4" ht="171" x14ac:dyDescent="0.2">
      <c r="A103" s="29">
        <v>45896</v>
      </c>
      <c r="B103" s="1" t="s">
        <v>622</v>
      </c>
      <c r="C103" s="1" t="s">
        <v>246</v>
      </c>
      <c r="D103" s="1" t="s">
        <v>623</v>
      </c>
    </row>
    <row r="104" spans="1:4" ht="171" x14ac:dyDescent="0.2">
      <c r="A104" s="29">
        <v>45897</v>
      </c>
      <c r="B104" s="1" t="s">
        <v>626</v>
      </c>
      <c r="C104" s="1" t="s">
        <v>431</v>
      </c>
      <c r="D104" s="1" t="s">
        <v>627</v>
      </c>
    </row>
    <row r="105" spans="1:4" ht="409.5" x14ac:dyDescent="0.2">
      <c r="A105" s="29">
        <v>45903</v>
      </c>
      <c r="B105" s="1" t="s">
        <v>665</v>
      </c>
      <c r="C105" s="1" t="s">
        <v>429</v>
      </c>
      <c r="D105" s="1" t="s">
        <v>666</v>
      </c>
    </row>
    <row r="106" spans="1:4" ht="185.25" x14ac:dyDescent="0.2">
      <c r="A106" s="29">
        <v>45903</v>
      </c>
      <c r="B106" s="1" t="s">
        <v>667</v>
      </c>
      <c r="C106" s="1" t="s">
        <v>429</v>
      </c>
      <c r="D106" s="1" t="s">
        <v>668</v>
      </c>
    </row>
    <row r="107" spans="1:4" ht="409.5" x14ac:dyDescent="0.2">
      <c r="A107" s="29">
        <v>45904</v>
      </c>
      <c r="B107" s="1" t="s">
        <v>678</v>
      </c>
      <c r="C107" s="1" t="s">
        <v>429</v>
      </c>
      <c r="D107" s="1" t="s">
        <v>679</v>
      </c>
    </row>
    <row r="108" spans="1:4" ht="285" x14ac:dyDescent="0.2">
      <c r="A108" s="29">
        <v>45905</v>
      </c>
      <c r="B108" s="1" t="s">
        <v>683</v>
      </c>
      <c r="C108" s="1" t="s">
        <v>503</v>
      </c>
      <c r="D108" s="1" t="s">
        <v>684</v>
      </c>
    </row>
    <row r="109" spans="1:4" ht="299.25" x14ac:dyDescent="0.2">
      <c r="A109" s="29">
        <v>45905</v>
      </c>
      <c r="B109" s="1" t="s">
        <v>689</v>
      </c>
      <c r="C109" s="1" t="s">
        <v>431</v>
      </c>
      <c r="D109" s="1" t="s">
        <v>690</v>
      </c>
    </row>
    <row r="110" spans="1:4" ht="213.75" x14ac:dyDescent="0.2">
      <c r="A110" s="29">
        <v>45909</v>
      </c>
      <c r="B110" s="1" t="s">
        <v>691</v>
      </c>
      <c r="C110" s="1" t="s">
        <v>431</v>
      </c>
      <c r="D110" s="1" t="s">
        <v>692</v>
      </c>
    </row>
    <row r="111" spans="1:4" ht="142.5" x14ac:dyDescent="0.2">
      <c r="A111" s="29">
        <v>45912</v>
      </c>
      <c r="B111" s="1" t="s">
        <v>694</v>
      </c>
      <c r="C111" s="1" t="s">
        <v>246</v>
      </c>
      <c r="D111" s="1" t="s">
        <v>695</v>
      </c>
    </row>
    <row r="112" spans="1:4" ht="114" x14ac:dyDescent="0.2">
      <c r="A112" s="29">
        <v>45915</v>
      </c>
      <c r="B112" s="1" t="s">
        <v>697</v>
      </c>
      <c r="C112" s="1" t="s">
        <v>431</v>
      </c>
      <c r="D112" s="1" t="s">
        <v>698</v>
      </c>
    </row>
    <row r="113" spans="1:4" ht="114" x14ac:dyDescent="0.2">
      <c r="A113" s="29">
        <v>45916</v>
      </c>
      <c r="B113" s="1" t="s">
        <v>701</v>
      </c>
      <c r="C113" s="1" t="s">
        <v>432</v>
      </c>
      <c r="D113" s="1" t="s">
        <v>702</v>
      </c>
    </row>
    <row r="114" spans="1:4" ht="114" x14ac:dyDescent="0.2">
      <c r="A114" s="29">
        <v>45918</v>
      </c>
      <c r="B114" s="1" t="s">
        <v>705</v>
      </c>
      <c r="C114" s="1" t="s">
        <v>432</v>
      </c>
      <c r="D114" s="1" t="s">
        <v>706</v>
      </c>
    </row>
    <row r="115" spans="1:4" ht="199.5" x14ac:dyDescent="0.2">
      <c r="A115" s="29">
        <v>45918</v>
      </c>
      <c r="B115" s="1" t="s">
        <v>708</v>
      </c>
      <c r="C115" s="1" t="s">
        <v>431</v>
      </c>
      <c r="D115" s="1" t="s">
        <v>709</v>
      </c>
    </row>
    <row r="116" spans="1:4" ht="199.5" x14ac:dyDescent="0.2">
      <c r="A116" s="29">
        <v>45918</v>
      </c>
      <c r="B116" s="1" t="s">
        <v>713</v>
      </c>
      <c r="C116" s="1" t="s">
        <v>431</v>
      </c>
      <c r="D116" s="1" t="s">
        <v>714</v>
      </c>
    </row>
    <row r="117" spans="1:4" ht="128.25" x14ac:dyDescent="0.2">
      <c r="A117" s="29">
        <v>45919</v>
      </c>
      <c r="B117" s="1" t="s">
        <v>715</v>
      </c>
      <c r="C117" s="1" t="s">
        <v>439</v>
      </c>
      <c r="D117" s="1" t="s">
        <v>716</v>
      </c>
    </row>
    <row r="118" spans="1:4" ht="409.5" x14ac:dyDescent="0.2">
      <c r="A118" s="29">
        <v>45928</v>
      </c>
      <c r="B118" s="1" t="s">
        <v>725</v>
      </c>
      <c r="C118" s="1" t="s">
        <v>246</v>
      </c>
      <c r="D118" s="1" t="s">
        <v>726</v>
      </c>
    </row>
    <row r="119" spans="1:4" ht="409.5" x14ac:dyDescent="0.2">
      <c r="A119" s="29">
        <v>45945</v>
      </c>
      <c r="B119" s="1" t="s">
        <v>736</v>
      </c>
      <c r="C119" s="1" t="s">
        <v>246</v>
      </c>
      <c r="D119" s="1" t="s">
        <v>737</v>
      </c>
    </row>
    <row r="120" spans="1:4" ht="228" x14ac:dyDescent="0.2">
      <c r="A120" s="29">
        <v>45945</v>
      </c>
      <c r="B120" s="1" t="s">
        <v>739</v>
      </c>
      <c r="C120" s="1" t="s">
        <v>246</v>
      </c>
      <c r="D120" s="1" t="s">
        <v>740</v>
      </c>
    </row>
    <row r="121" spans="1:4" ht="142.5" x14ac:dyDescent="0.2">
      <c r="A121" s="29">
        <v>45952</v>
      </c>
      <c r="B121" s="1" t="s">
        <v>741</v>
      </c>
      <c r="C121" s="1" t="s">
        <v>431</v>
      </c>
      <c r="D121" s="1" t="s">
        <v>742</v>
      </c>
    </row>
    <row r="122" spans="1:4" ht="114" x14ac:dyDescent="0.2">
      <c r="A122" s="29">
        <v>45965</v>
      </c>
      <c r="B122" s="1" t="s">
        <v>743</v>
      </c>
      <c r="C122" s="1" t="s">
        <v>439</v>
      </c>
      <c r="D122" s="1" t="s">
        <v>744</v>
      </c>
    </row>
    <row r="123" spans="1:4" ht="128.25" x14ac:dyDescent="0.2">
      <c r="A123" s="29">
        <v>45973</v>
      </c>
      <c r="B123" s="1" t="s">
        <v>745</v>
      </c>
      <c r="C123" s="1" t="s">
        <v>432</v>
      </c>
      <c r="D123" s="1" t="s">
        <v>746</v>
      </c>
    </row>
    <row r="124" spans="1:4" ht="142.5" x14ac:dyDescent="0.2">
      <c r="A124" s="29">
        <v>45978</v>
      </c>
      <c r="B124" s="1" t="s">
        <v>748</v>
      </c>
      <c r="C124" s="1" t="s">
        <v>432</v>
      </c>
      <c r="D124" s="1" t="s">
        <v>749</v>
      </c>
    </row>
    <row r="125" spans="1:4" x14ac:dyDescent="0.2">
      <c r="A125" s="29">
        <v>45980</v>
      </c>
      <c r="B125" s="1" t="s">
        <v>1487</v>
      </c>
      <c r="C125" s="1" t="s">
        <v>431</v>
      </c>
      <c r="D125" s="1" t="s">
        <v>1486</v>
      </c>
    </row>
    <row r="126" spans="1:4" ht="114" x14ac:dyDescent="0.2">
      <c r="A126" s="29">
        <v>45986</v>
      </c>
      <c r="B126" s="1" t="s">
        <v>1490</v>
      </c>
      <c r="C126" s="1" t="s">
        <v>429</v>
      </c>
      <c r="D126" s="1" t="s">
        <v>1491</v>
      </c>
    </row>
    <row r="127" spans="1:4" ht="242.25" x14ac:dyDescent="0.2">
      <c r="A127" s="29">
        <v>45987</v>
      </c>
      <c r="B127" s="1" t="s">
        <v>1521</v>
      </c>
      <c r="C127" s="1" t="s">
        <v>429</v>
      </c>
      <c r="D127" s="1" t="s">
        <v>1522</v>
      </c>
    </row>
    <row r="128" spans="1:4" ht="213.75" x14ac:dyDescent="0.2">
      <c r="A128" s="29">
        <v>45987</v>
      </c>
      <c r="B128" s="1" t="s">
        <v>1527</v>
      </c>
      <c r="C128" s="1" t="s">
        <v>503</v>
      </c>
      <c r="D128" s="1" t="s">
        <v>1528</v>
      </c>
    </row>
    <row r="129" spans="1:4" ht="285" x14ac:dyDescent="0.2">
      <c r="A129" s="29">
        <v>45987</v>
      </c>
      <c r="B129" s="1" t="s">
        <v>1533</v>
      </c>
      <c r="C129" s="1" t="s">
        <v>429</v>
      </c>
      <c r="D129" s="1" t="s">
        <v>1534</v>
      </c>
    </row>
    <row r="130" spans="1:4" ht="156.75" x14ac:dyDescent="0.2">
      <c r="A130" s="29">
        <v>45988</v>
      </c>
      <c r="B130" s="1" t="s">
        <v>1537</v>
      </c>
      <c r="C130" s="1" t="s">
        <v>439</v>
      </c>
      <c r="D130" s="1" t="s">
        <v>1538</v>
      </c>
    </row>
    <row r="131" spans="1:4" ht="142.5" x14ac:dyDescent="0.2">
      <c r="A131" s="29">
        <v>45995</v>
      </c>
      <c r="B131" s="1" t="s">
        <v>1540</v>
      </c>
      <c r="C131" s="1" t="s">
        <v>439</v>
      </c>
      <c r="D131" s="1" t="s">
        <v>1541</v>
      </c>
    </row>
    <row r="132" spans="1:4" ht="185.25" x14ac:dyDescent="0.2">
      <c r="A132" s="29">
        <v>46015</v>
      </c>
      <c r="B132" s="1" t="s">
        <v>1544</v>
      </c>
      <c r="C132" s="1" t="s">
        <v>431</v>
      </c>
      <c r="D132" s="1" t="s">
        <v>1545</v>
      </c>
    </row>
    <row r="133" spans="1:4" ht="409.5" x14ac:dyDescent="0.2">
      <c r="A133" s="29">
        <v>46021</v>
      </c>
      <c r="B133" s="1" t="s">
        <v>1546</v>
      </c>
      <c r="C133" s="1" t="s">
        <v>439</v>
      </c>
      <c r="D133" s="1" t="s">
        <v>1547</v>
      </c>
    </row>
    <row r="134" spans="1:4" ht="285" x14ac:dyDescent="0.2">
      <c r="A134" s="29">
        <v>46031</v>
      </c>
      <c r="B134" s="1" t="s">
        <v>1549</v>
      </c>
      <c r="C134" s="1" t="s">
        <v>432</v>
      </c>
      <c r="D134" s="1" t="s">
        <v>1550</v>
      </c>
    </row>
    <row r="135" spans="1:4" ht="114" x14ac:dyDescent="0.2">
      <c r="A135" s="29">
        <v>46035</v>
      </c>
      <c r="B135" s="1" t="s">
        <v>1553</v>
      </c>
      <c r="C135" s="1" t="s">
        <v>432</v>
      </c>
      <c r="D135" s="1" t="s">
        <v>1554</v>
      </c>
    </row>
    <row r="136" spans="1:4" ht="142.5" x14ac:dyDescent="0.2">
      <c r="A136" s="29">
        <v>46042</v>
      </c>
      <c r="B136" s="1" t="s">
        <v>1557</v>
      </c>
      <c r="C136" s="1" t="s">
        <v>432</v>
      </c>
      <c r="D136" s="1" t="s">
        <v>1558</v>
      </c>
    </row>
    <row r="137" spans="1:4" ht="213.75" x14ac:dyDescent="0.2">
      <c r="A137" s="29">
        <v>46063</v>
      </c>
      <c r="B137" s="1" t="s">
        <v>1570</v>
      </c>
      <c r="C137" s="1" t="s">
        <v>503</v>
      </c>
      <c r="D137" s="1" t="s">
        <v>1571</v>
      </c>
    </row>
    <row r="138" spans="1:4" ht="114" x14ac:dyDescent="0.2">
      <c r="A138" s="29">
        <v>46066</v>
      </c>
      <c r="B138" s="1" t="s">
        <v>1578</v>
      </c>
      <c r="C138" s="1" t="s">
        <v>432</v>
      </c>
      <c r="D138" s="1" t="s">
        <v>1579</v>
      </c>
    </row>
    <row r="139" spans="1:4" ht="185.25" x14ac:dyDescent="0.2">
      <c r="A139" s="29">
        <v>46080</v>
      </c>
      <c r="B139" s="1" t="s">
        <v>1582</v>
      </c>
      <c r="C139" s="1" t="s">
        <v>503</v>
      </c>
      <c r="D139" s="1" t="s">
        <v>1583</v>
      </c>
    </row>
    <row r="140" spans="1:4" ht="299.25" x14ac:dyDescent="0.2">
      <c r="A140" s="29">
        <v>46104</v>
      </c>
      <c r="B140" s="1" t="s">
        <v>1586</v>
      </c>
      <c r="C140" s="1" t="s">
        <v>246</v>
      </c>
      <c r="D140" s="1" t="s">
        <v>1587</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84"/>
  <sheetViews>
    <sheetView showGridLines="0" tabSelected="1" zoomScale="70" zoomScaleNormal="70" workbookViewId="0">
      <pane xSplit="3" ySplit="1" topLeftCell="D29" activePane="bottomRight" state="frozen"/>
      <selection pane="topRight" activeCell="D1" sqref="D1"/>
      <selection pane="bottomLeft" activeCell="A2" sqref="A2"/>
      <selection pane="bottomRight" activeCell="O33" sqref="O33"/>
    </sheetView>
  </sheetViews>
  <sheetFormatPr defaultColWidth="9.125" defaultRowHeight="16.5" x14ac:dyDescent="0.3"/>
  <cols>
    <col min="1" max="1" width="63.25" style="15" customWidth="1"/>
    <col min="2" max="2" width="18.125" style="24" customWidth="1"/>
    <col min="3" max="3" width="59.125" style="25" customWidth="1"/>
    <col min="4" max="4" width="13.125" style="15" customWidth="1"/>
    <col min="5" max="5" width="22.25" style="15" customWidth="1"/>
    <col min="6" max="6" width="25" style="15" hidden="1" customWidth="1"/>
    <col min="7" max="7" width="13.25" style="15" hidden="1" customWidth="1"/>
    <col min="8" max="8" width="15.25" style="15" hidden="1" customWidth="1"/>
    <col min="9" max="9" width="11.25" style="15" customWidth="1"/>
    <col min="10" max="10" width="6.25" style="15" customWidth="1"/>
    <col min="11" max="11" width="7.25" style="15" customWidth="1"/>
    <col min="12" max="12" width="32.25" style="15" customWidth="1"/>
    <col min="13" max="13" width="9.125" style="15"/>
    <col min="14" max="14" width="56.25" style="15" customWidth="1"/>
    <col min="15" max="15" width="48.25" style="8" customWidth="1"/>
    <col min="16" max="16384" width="9.125" style="6"/>
  </cols>
  <sheetData>
    <row r="1" spans="1:15" s="3" customFormat="1" ht="30" x14ac:dyDescent="0.25">
      <c r="A1" s="12" t="s">
        <v>51</v>
      </c>
      <c r="B1" s="11" t="s">
        <v>56</v>
      </c>
      <c r="C1" s="11" t="s">
        <v>57</v>
      </c>
      <c r="D1" s="12" t="s">
        <v>58</v>
      </c>
      <c r="E1" s="12" t="s">
        <v>0</v>
      </c>
      <c r="F1" s="12" t="s">
        <v>59</v>
      </c>
      <c r="G1" s="12" t="s">
        <v>60</v>
      </c>
      <c r="H1" s="12" t="s">
        <v>1</v>
      </c>
      <c r="I1" s="12" t="s">
        <v>2</v>
      </c>
      <c r="J1" s="12" t="s">
        <v>61</v>
      </c>
      <c r="K1" s="12" t="s">
        <v>62</v>
      </c>
      <c r="L1" s="12" t="s">
        <v>3</v>
      </c>
      <c r="M1" s="12" t="s">
        <v>4</v>
      </c>
      <c r="N1" s="14" t="s">
        <v>63</v>
      </c>
      <c r="O1" s="12" t="s">
        <v>64</v>
      </c>
    </row>
    <row r="2" spans="1:15" x14ac:dyDescent="0.3">
      <c r="A2" s="9" t="s">
        <v>65</v>
      </c>
      <c r="B2" s="5" t="s">
        <v>66</v>
      </c>
      <c r="C2" s="4" t="s">
        <v>67</v>
      </c>
      <c r="D2" s="8" t="s">
        <v>9</v>
      </c>
      <c r="E2" s="8" t="s">
        <v>11</v>
      </c>
      <c r="F2" s="8" t="s">
        <v>5</v>
      </c>
      <c r="G2" s="8" t="s">
        <v>5</v>
      </c>
      <c r="H2" s="8" t="s">
        <v>5</v>
      </c>
      <c r="I2" s="8" t="s">
        <v>68</v>
      </c>
      <c r="J2" s="8" t="s">
        <v>15</v>
      </c>
      <c r="K2" s="8" t="s">
        <v>69</v>
      </c>
      <c r="L2" s="8" t="s">
        <v>42</v>
      </c>
      <c r="M2" s="8" t="s">
        <v>10</v>
      </c>
      <c r="N2" s="9" t="s">
        <v>16</v>
      </c>
      <c r="O2" s="8" t="s">
        <v>70</v>
      </c>
    </row>
    <row r="3" spans="1:15" x14ac:dyDescent="0.3">
      <c r="A3" s="9" t="s">
        <v>1552</v>
      </c>
      <c r="B3" s="5" t="s">
        <v>162</v>
      </c>
      <c r="C3" s="4" t="s">
        <v>55</v>
      </c>
      <c r="D3" s="8" t="s">
        <v>9</v>
      </c>
      <c r="E3" s="8" t="s">
        <v>169</v>
      </c>
      <c r="F3" s="8" t="s">
        <v>12</v>
      </c>
      <c r="G3" s="8" t="s">
        <v>12</v>
      </c>
      <c r="H3" s="8" t="s">
        <v>12</v>
      </c>
      <c r="I3" s="8" t="s">
        <v>13</v>
      </c>
      <c r="J3" s="8" t="s">
        <v>54</v>
      </c>
      <c r="K3" s="8" t="s">
        <v>55</v>
      </c>
      <c r="L3" s="8" t="s">
        <v>166</v>
      </c>
      <c r="M3" s="8" t="s">
        <v>10</v>
      </c>
      <c r="N3" s="9" t="s">
        <v>1551</v>
      </c>
      <c r="O3" s="8" t="s">
        <v>160</v>
      </c>
    </row>
    <row r="4" spans="1:15" x14ac:dyDescent="0.3">
      <c r="A4" s="9" t="s">
        <v>1489</v>
      </c>
      <c r="B4" s="5" t="s">
        <v>162</v>
      </c>
      <c r="C4" s="4" t="s">
        <v>54</v>
      </c>
      <c r="D4" s="8" t="s">
        <v>9</v>
      </c>
      <c r="E4" s="8" t="s">
        <v>11</v>
      </c>
      <c r="F4" s="8" t="s">
        <v>12</v>
      </c>
      <c r="G4" s="8" t="s">
        <v>12</v>
      </c>
      <c r="H4" s="8" t="s">
        <v>12</v>
      </c>
      <c r="I4" s="8" t="s">
        <v>13</v>
      </c>
      <c r="J4" s="8" t="s">
        <v>54</v>
      </c>
      <c r="K4" s="8" t="s">
        <v>55</v>
      </c>
      <c r="L4" s="8" t="s">
        <v>166</v>
      </c>
      <c r="M4" s="8" t="s">
        <v>10</v>
      </c>
      <c r="N4" s="9" t="s">
        <v>1488</v>
      </c>
      <c r="O4" s="8" t="s">
        <v>160</v>
      </c>
    </row>
    <row r="5" spans="1:15" x14ac:dyDescent="0.3">
      <c r="A5" s="9" t="s">
        <v>704</v>
      </c>
      <c r="B5" s="5" t="s">
        <v>162</v>
      </c>
      <c r="C5" s="4" t="s">
        <v>1548</v>
      </c>
      <c r="D5" s="8" t="s">
        <v>9</v>
      </c>
      <c r="E5" s="8" t="s">
        <v>11</v>
      </c>
      <c r="F5" s="8" t="s">
        <v>33</v>
      </c>
      <c r="G5" s="8" t="s">
        <v>54</v>
      </c>
      <c r="H5" s="8" t="s">
        <v>55</v>
      </c>
      <c r="I5" s="8" t="s">
        <v>33</v>
      </c>
      <c r="J5" s="8" t="s">
        <v>54</v>
      </c>
      <c r="K5" s="8" t="s">
        <v>55</v>
      </c>
      <c r="L5" s="8" t="s">
        <v>166</v>
      </c>
      <c r="M5" s="8" t="s">
        <v>10</v>
      </c>
      <c r="N5" s="9" t="s">
        <v>703</v>
      </c>
      <c r="O5" s="8" t="s">
        <v>160</v>
      </c>
    </row>
    <row r="6" spans="1:15" ht="33" x14ac:dyDescent="0.3">
      <c r="A6" s="9" t="s">
        <v>700</v>
      </c>
      <c r="B6" s="5" t="s">
        <v>162</v>
      </c>
      <c r="C6" s="4" t="s">
        <v>54</v>
      </c>
      <c r="D6" s="8" t="s">
        <v>9</v>
      </c>
      <c r="E6" s="8" t="s">
        <v>169</v>
      </c>
      <c r="F6" s="8" t="s">
        <v>12</v>
      </c>
      <c r="G6" s="8" t="s">
        <v>12</v>
      </c>
      <c r="H6" s="8" t="s">
        <v>12</v>
      </c>
      <c r="I6" s="8" t="s">
        <v>33</v>
      </c>
      <c r="J6" s="8" t="s">
        <v>54</v>
      </c>
      <c r="K6" s="8" t="s">
        <v>55</v>
      </c>
      <c r="L6" s="8" t="s">
        <v>166</v>
      </c>
      <c r="M6" s="8">
        <v>1</v>
      </c>
      <c r="N6" s="9" t="s">
        <v>699</v>
      </c>
      <c r="O6" s="8" t="s">
        <v>160</v>
      </c>
    </row>
    <row r="7" spans="1:15" ht="49.5" x14ac:dyDescent="0.3">
      <c r="A7" s="9" t="s">
        <v>696</v>
      </c>
      <c r="B7" s="5" t="s">
        <v>162</v>
      </c>
      <c r="C7" s="4" t="s">
        <v>54</v>
      </c>
      <c r="D7" s="8" t="s">
        <v>9</v>
      </c>
      <c r="E7" s="8" t="s">
        <v>11</v>
      </c>
      <c r="F7" s="8" t="s">
        <v>33</v>
      </c>
      <c r="G7" s="8" t="s">
        <v>54</v>
      </c>
      <c r="H7" s="8" t="s">
        <v>55</v>
      </c>
      <c r="I7" s="8" t="s">
        <v>33</v>
      </c>
      <c r="J7" s="8" t="s">
        <v>54</v>
      </c>
      <c r="K7" s="8" t="s">
        <v>55</v>
      </c>
      <c r="L7" s="8" t="s">
        <v>166</v>
      </c>
      <c r="M7" s="8" t="s">
        <v>10</v>
      </c>
      <c r="N7" s="9" t="s">
        <v>707</v>
      </c>
      <c r="O7" s="8" t="s">
        <v>160</v>
      </c>
    </row>
    <row r="8" spans="1:15" ht="82.5" x14ac:dyDescent="0.3">
      <c r="A8" s="9" t="s">
        <v>265</v>
      </c>
      <c r="B8" s="5" t="s">
        <v>162</v>
      </c>
      <c r="C8" s="4" t="s">
        <v>54</v>
      </c>
      <c r="D8" s="8" t="s">
        <v>9</v>
      </c>
      <c r="E8" s="8" t="s">
        <v>11</v>
      </c>
      <c r="F8" s="8" t="s">
        <v>33</v>
      </c>
      <c r="G8" s="8" t="s">
        <v>54</v>
      </c>
      <c r="H8" s="8" t="s">
        <v>55</v>
      </c>
      <c r="I8" s="8" t="s">
        <v>33</v>
      </c>
      <c r="J8" s="8" t="s">
        <v>54</v>
      </c>
      <c r="K8" s="8" t="s">
        <v>55</v>
      </c>
      <c r="L8" s="8" t="s">
        <v>166</v>
      </c>
      <c r="M8" s="8" t="s">
        <v>10</v>
      </c>
      <c r="N8" s="9" t="s">
        <v>264</v>
      </c>
      <c r="O8" s="8" t="s">
        <v>160</v>
      </c>
    </row>
    <row r="9" spans="1:15" ht="82.5" x14ac:dyDescent="0.3">
      <c r="A9" s="9" t="s">
        <v>260</v>
      </c>
      <c r="B9" s="5" t="s">
        <v>162</v>
      </c>
      <c r="C9" s="4" t="s">
        <v>54</v>
      </c>
      <c r="D9" s="8" t="s">
        <v>9</v>
      </c>
      <c r="E9" s="8" t="s">
        <v>11</v>
      </c>
      <c r="F9" s="8" t="s">
        <v>12</v>
      </c>
      <c r="G9" s="8" t="s">
        <v>12</v>
      </c>
      <c r="H9" s="8" t="s">
        <v>12</v>
      </c>
      <c r="I9" s="8" t="s">
        <v>13</v>
      </c>
      <c r="J9" s="8" t="s">
        <v>54</v>
      </c>
      <c r="K9" s="8" t="s">
        <v>141</v>
      </c>
      <c r="L9" s="8" t="s">
        <v>166</v>
      </c>
      <c r="M9" s="8" t="s">
        <v>10</v>
      </c>
      <c r="N9" s="9" t="s">
        <v>259</v>
      </c>
      <c r="O9" s="8" t="s">
        <v>160</v>
      </c>
    </row>
    <row r="10" spans="1:15" ht="33" x14ac:dyDescent="0.3">
      <c r="A10" s="9" t="s">
        <v>256</v>
      </c>
      <c r="B10" s="5" t="s">
        <v>162</v>
      </c>
      <c r="C10" s="4" t="s">
        <v>257</v>
      </c>
      <c r="D10" s="8" t="s">
        <v>9</v>
      </c>
      <c r="E10" s="8" t="s">
        <v>11</v>
      </c>
      <c r="F10" s="8" t="s">
        <v>12</v>
      </c>
      <c r="G10" s="8" t="s">
        <v>12</v>
      </c>
      <c r="H10" s="8" t="s">
        <v>12</v>
      </c>
      <c r="I10" s="8" t="s">
        <v>13</v>
      </c>
      <c r="J10" s="8" t="s">
        <v>55</v>
      </c>
      <c r="K10" s="8" t="s">
        <v>250</v>
      </c>
      <c r="L10" s="8" t="s">
        <v>166</v>
      </c>
      <c r="M10" s="8" t="s">
        <v>10</v>
      </c>
      <c r="N10" s="9" t="s">
        <v>255</v>
      </c>
      <c r="O10" s="8" t="s">
        <v>160</v>
      </c>
    </row>
    <row r="11" spans="1:15" x14ac:dyDescent="0.3">
      <c r="A11" s="9" t="s">
        <v>248</v>
      </c>
      <c r="B11" s="5" t="s">
        <v>162</v>
      </c>
      <c r="C11" s="4" t="s">
        <v>54</v>
      </c>
      <c r="D11" s="8" t="s">
        <v>9</v>
      </c>
      <c r="E11" s="8" t="s">
        <v>11</v>
      </c>
      <c r="F11" s="8" t="s">
        <v>12</v>
      </c>
      <c r="G11" s="8" t="s">
        <v>12</v>
      </c>
      <c r="H11" s="8" t="s">
        <v>12</v>
      </c>
      <c r="I11" s="8" t="s">
        <v>13</v>
      </c>
      <c r="J11" s="8" t="s">
        <v>54</v>
      </c>
      <c r="K11" s="8" t="s">
        <v>55</v>
      </c>
      <c r="L11" s="8" t="s">
        <v>166</v>
      </c>
      <c r="M11" s="8" t="s">
        <v>10</v>
      </c>
      <c r="N11" s="9" t="s">
        <v>247</v>
      </c>
      <c r="O11" s="8" t="s">
        <v>160</v>
      </c>
    </row>
    <row r="12" spans="1:15" ht="17.25" x14ac:dyDescent="0.3">
      <c r="A12" s="13" t="s">
        <v>49</v>
      </c>
      <c r="B12" s="5" t="s">
        <v>71</v>
      </c>
      <c r="C12" s="4" t="s">
        <v>72</v>
      </c>
      <c r="D12" s="8" t="s">
        <v>9</v>
      </c>
      <c r="E12" s="8" t="s">
        <v>11</v>
      </c>
      <c r="F12" s="8" t="s">
        <v>12</v>
      </c>
      <c r="G12" s="8" t="s">
        <v>12</v>
      </c>
      <c r="H12" s="8" t="s">
        <v>12</v>
      </c>
      <c r="I12" s="8" t="s">
        <v>13</v>
      </c>
      <c r="J12" s="8" t="s">
        <v>72</v>
      </c>
      <c r="K12" s="8" t="s">
        <v>43</v>
      </c>
      <c r="L12" s="8" t="s">
        <v>42</v>
      </c>
      <c r="M12" s="8" t="s">
        <v>10</v>
      </c>
      <c r="N12" s="9" t="s">
        <v>17</v>
      </c>
      <c r="O12" s="8" t="s">
        <v>40</v>
      </c>
    </row>
    <row r="13" spans="1:15" x14ac:dyDescent="0.3">
      <c r="A13" s="9" t="s">
        <v>73</v>
      </c>
      <c r="B13" s="5" t="s">
        <v>53</v>
      </c>
      <c r="C13" s="7" t="s">
        <v>1589</v>
      </c>
      <c r="D13" s="8" t="s">
        <v>74</v>
      </c>
      <c r="E13" s="8" t="s">
        <v>11</v>
      </c>
      <c r="F13" s="8" t="s">
        <v>5</v>
      </c>
      <c r="G13" s="8" t="s">
        <v>75</v>
      </c>
      <c r="H13" s="8" t="s">
        <v>75</v>
      </c>
      <c r="I13" s="8" t="s">
        <v>68</v>
      </c>
      <c r="J13" s="8" t="s">
        <v>76</v>
      </c>
      <c r="K13" s="8" t="s">
        <v>77</v>
      </c>
      <c r="L13" s="8" t="s">
        <v>78</v>
      </c>
      <c r="M13" s="8" t="s">
        <v>79</v>
      </c>
      <c r="N13" s="9" t="s">
        <v>18</v>
      </c>
      <c r="O13" s="8" t="s">
        <v>1588</v>
      </c>
    </row>
    <row r="14" spans="1:15" x14ac:dyDescent="0.3">
      <c r="A14" s="9" t="s">
        <v>46</v>
      </c>
      <c r="B14" s="5" t="s">
        <v>80</v>
      </c>
      <c r="C14" s="4" t="s">
        <v>52</v>
      </c>
      <c r="D14" s="8" t="s">
        <v>9</v>
      </c>
      <c r="E14" s="8" t="s">
        <v>11</v>
      </c>
      <c r="F14" s="8" t="s">
        <v>75</v>
      </c>
      <c r="G14" s="8" t="s">
        <v>81</v>
      </c>
      <c r="H14" s="8" t="s">
        <v>75</v>
      </c>
      <c r="I14" s="8" t="s">
        <v>13</v>
      </c>
      <c r="J14" s="8" t="s">
        <v>15</v>
      </c>
      <c r="K14" s="8" t="s">
        <v>44</v>
      </c>
      <c r="L14" s="8" t="s">
        <v>42</v>
      </c>
      <c r="M14" s="8" t="s">
        <v>10</v>
      </c>
      <c r="N14" s="9" t="s">
        <v>19</v>
      </c>
      <c r="O14" s="8" t="s">
        <v>82</v>
      </c>
    </row>
    <row r="15" spans="1:15" s="10" customFormat="1" ht="17.25" x14ac:dyDescent="0.3">
      <c r="A15" s="13" t="s">
        <v>83</v>
      </c>
      <c r="B15" s="8" t="s">
        <v>53</v>
      </c>
      <c r="C15" s="8" t="s">
        <v>50</v>
      </c>
      <c r="D15" s="8" t="s">
        <v>9</v>
      </c>
      <c r="E15" s="8" t="s">
        <v>11</v>
      </c>
      <c r="F15" s="8" t="s">
        <v>84</v>
      </c>
      <c r="G15" s="8" t="s">
        <v>85</v>
      </c>
      <c r="H15" s="8" t="s">
        <v>5</v>
      </c>
      <c r="I15" s="8" t="s">
        <v>68</v>
      </c>
      <c r="J15" s="8" t="s">
        <v>15</v>
      </c>
      <c r="K15" s="8" t="s">
        <v>44</v>
      </c>
      <c r="L15" s="8" t="s">
        <v>42</v>
      </c>
      <c r="M15" s="8" t="s">
        <v>10</v>
      </c>
      <c r="N15" s="9" t="s">
        <v>86</v>
      </c>
      <c r="O15" s="8" t="s">
        <v>87</v>
      </c>
    </row>
    <row r="16" spans="1:15" s="10" customFormat="1" x14ac:dyDescent="0.3">
      <c r="A16" s="9" t="s">
        <v>88</v>
      </c>
      <c r="B16" s="8" t="s">
        <v>53</v>
      </c>
      <c r="C16" s="8" t="s">
        <v>89</v>
      </c>
      <c r="D16" s="8" t="s">
        <v>9</v>
      </c>
      <c r="E16" s="8" t="s">
        <v>11</v>
      </c>
      <c r="F16" s="8" t="s">
        <v>12</v>
      </c>
      <c r="G16" s="8" t="s">
        <v>12</v>
      </c>
      <c r="H16" s="8" t="s">
        <v>12</v>
      </c>
      <c r="I16" s="8" t="s">
        <v>13</v>
      </c>
      <c r="J16" s="8" t="s">
        <v>15</v>
      </c>
      <c r="K16" s="8" t="s">
        <v>90</v>
      </c>
      <c r="L16" s="8" t="s">
        <v>42</v>
      </c>
      <c r="M16" s="8" t="s">
        <v>10</v>
      </c>
      <c r="N16" s="9" t="s">
        <v>91</v>
      </c>
      <c r="O16" s="8" t="s">
        <v>87</v>
      </c>
    </row>
    <row r="17" spans="1:15" x14ac:dyDescent="0.3">
      <c r="A17" s="9" t="s">
        <v>92</v>
      </c>
      <c r="B17" s="5" t="s">
        <v>53</v>
      </c>
      <c r="C17" s="4" t="s">
        <v>93</v>
      </c>
      <c r="D17" s="8" t="s">
        <v>9</v>
      </c>
      <c r="E17" s="8" t="s">
        <v>11</v>
      </c>
      <c r="F17" s="8" t="s">
        <v>12</v>
      </c>
      <c r="G17" s="8" t="s">
        <v>12</v>
      </c>
      <c r="H17" s="8" t="s">
        <v>12</v>
      </c>
      <c r="I17" s="8" t="s">
        <v>13</v>
      </c>
      <c r="J17" s="8" t="s">
        <v>76</v>
      </c>
      <c r="K17" s="8" t="s">
        <v>90</v>
      </c>
      <c r="L17" s="8" t="s">
        <v>78</v>
      </c>
      <c r="M17" s="8" t="s">
        <v>10</v>
      </c>
      <c r="N17" s="9" t="s">
        <v>22</v>
      </c>
      <c r="O17" s="8" t="s">
        <v>87</v>
      </c>
    </row>
    <row r="18" spans="1:15" ht="33" x14ac:dyDescent="0.3">
      <c r="A18" s="9" t="s">
        <v>94</v>
      </c>
      <c r="B18" s="5" t="s">
        <v>53</v>
      </c>
      <c r="C18" s="4" t="s">
        <v>47</v>
      </c>
      <c r="D18" s="8" t="s">
        <v>9</v>
      </c>
      <c r="E18" s="8" t="s">
        <v>11</v>
      </c>
      <c r="F18" s="8" t="s">
        <v>12</v>
      </c>
      <c r="G18" s="8" t="s">
        <v>12</v>
      </c>
      <c r="H18" s="8" t="s">
        <v>12</v>
      </c>
      <c r="I18" s="8" t="s">
        <v>13</v>
      </c>
      <c r="J18" s="8" t="s">
        <v>95</v>
      </c>
      <c r="K18" s="8" t="s">
        <v>96</v>
      </c>
      <c r="L18" s="8" t="s">
        <v>42</v>
      </c>
      <c r="M18" s="8" t="s">
        <v>10</v>
      </c>
      <c r="N18" s="9" t="s">
        <v>23</v>
      </c>
      <c r="O18" s="8" t="s">
        <v>40</v>
      </c>
    </row>
    <row r="19" spans="1:15" x14ac:dyDescent="0.3">
      <c r="A19" s="9" t="s">
        <v>24</v>
      </c>
      <c r="B19" s="5" t="s">
        <v>53</v>
      </c>
      <c r="C19" s="4" t="s">
        <v>97</v>
      </c>
      <c r="D19" s="8" t="s">
        <v>9</v>
      </c>
      <c r="E19" s="8" t="s">
        <v>11</v>
      </c>
      <c r="F19" s="8" t="s">
        <v>5</v>
      </c>
      <c r="G19" s="8" t="s">
        <v>5</v>
      </c>
      <c r="H19" s="8" t="s">
        <v>5</v>
      </c>
      <c r="I19" s="8" t="s">
        <v>13</v>
      </c>
      <c r="J19" s="8" t="s">
        <v>98</v>
      </c>
      <c r="K19" s="8" t="s">
        <v>99</v>
      </c>
      <c r="L19" s="8" t="s">
        <v>78</v>
      </c>
      <c r="M19" s="8" t="s">
        <v>10</v>
      </c>
      <c r="N19" s="9" t="s">
        <v>25</v>
      </c>
      <c r="O19" s="8" t="s">
        <v>40</v>
      </c>
    </row>
    <row r="20" spans="1:15" x14ac:dyDescent="0.3">
      <c r="A20" s="9" t="s">
        <v>100</v>
      </c>
      <c r="B20" s="5" t="s">
        <v>80</v>
      </c>
      <c r="C20" s="4" t="s">
        <v>67</v>
      </c>
      <c r="D20" s="8" t="s">
        <v>9</v>
      </c>
      <c r="E20" s="8" t="s">
        <v>11</v>
      </c>
      <c r="F20" s="8" t="s">
        <v>75</v>
      </c>
      <c r="G20" s="8" t="s">
        <v>75</v>
      </c>
      <c r="H20" s="8" t="s">
        <v>75</v>
      </c>
      <c r="I20" s="8" t="s">
        <v>101</v>
      </c>
      <c r="J20" s="8" t="s">
        <v>76</v>
      </c>
      <c r="K20" s="8" t="s">
        <v>69</v>
      </c>
      <c r="L20" s="8" t="s">
        <v>78</v>
      </c>
      <c r="M20" s="8" t="s">
        <v>10</v>
      </c>
      <c r="N20" s="9" t="s">
        <v>102</v>
      </c>
      <c r="O20" s="8" t="s">
        <v>70</v>
      </c>
    </row>
    <row r="21" spans="1:15" ht="17.25" x14ac:dyDescent="0.3">
      <c r="A21" s="13" t="s">
        <v>103</v>
      </c>
      <c r="B21" s="5" t="s">
        <v>80</v>
      </c>
      <c r="C21" s="4" t="s">
        <v>76</v>
      </c>
      <c r="D21" s="8" t="s">
        <v>9</v>
      </c>
      <c r="E21" s="8" t="s">
        <v>11</v>
      </c>
      <c r="F21" s="8" t="s">
        <v>5</v>
      </c>
      <c r="G21" s="8" t="s">
        <v>75</v>
      </c>
      <c r="H21" s="8" t="s">
        <v>75</v>
      </c>
      <c r="I21" s="8" t="s">
        <v>104</v>
      </c>
      <c r="J21" s="8" t="s">
        <v>15</v>
      </c>
      <c r="K21" s="8" t="s">
        <v>43</v>
      </c>
      <c r="L21" s="8" t="s">
        <v>78</v>
      </c>
      <c r="M21" s="8" t="s">
        <v>10</v>
      </c>
      <c r="N21" s="9" t="s">
        <v>26</v>
      </c>
      <c r="O21" s="8" t="s">
        <v>87</v>
      </c>
    </row>
    <row r="22" spans="1:15" x14ac:dyDescent="0.3">
      <c r="A22" s="9" t="s">
        <v>27</v>
      </c>
      <c r="B22" s="5" t="s">
        <v>80</v>
      </c>
      <c r="C22" s="22" t="s">
        <v>28</v>
      </c>
      <c r="D22" s="8" t="s">
        <v>9</v>
      </c>
      <c r="E22" s="8" t="s">
        <v>11</v>
      </c>
      <c r="F22" s="23" t="s">
        <v>12</v>
      </c>
      <c r="G22" s="23" t="s">
        <v>12</v>
      </c>
      <c r="H22" s="23" t="s">
        <v>12</v>
      </c>
      <c r="I22" s="8" t="s">
        <v>13</v>
      </c>
      <c r="J22" s="8" t="s">
        <v>76</v>
      </c>
      <c r="K22" s="8" t="s">
        <v>105</v>
      </c>
      <c r="L22" s="8" t="s">
        <v>78</v>
      </c>
      <c r="M22" s="8" t="s">
        <v>10</v>
      </c>
      <c r="N22" s="9" t="s">
        <v>29</v>
      </c>
      <c r="O22" s="8" t="s">
        <v>87</v>
      </c>
    </row>
    <row r="23" spans="1:15" x14ac:dyDescent="0.3">
      <c r="A23" s="9" t="s">
        <v>107</v>
      </c>
      <c r="B23" s="5" t="s">
        <v>80</v>
      </c>
      <c r="C23" s="4" t="s">
        <v>108</v>
      </c>
      <c r="D23" s="8" t="s">
        <v>9</v>
      </c>
      <c r="E23" s="8" t="s">
        <v>11</v>
      </c>
      <c r="F23" s="8" t="s">
        <v>5</v>
      </c>
      <c r="G23" s="8" t="s">
        <v>75</v>
      </c>
      <c r="H23" s="8" t="s">
        <v>75</v>
      </c>
      <c r="I23" s="8" t="s">
        <v>101</v>
      </c>
      <c r="J23" s="8" t="s">
        <v>109</v>
      </c>
      <c r="K23" s="8" t="s">
        <v>76</v>
      </c>
      <c r="L23" s="8" t="s">
        <v>78</v>
      </c>
      <c r="M23" s="8" t="s">
        <v>110</v>
      </c>
      <c r="N23" s="9" t="s">
        <v>111</v>
      </c>
      <c r="O23" s="8" t="s">
        <v>87</v>
      </c>
    </row>
    <row r="24" spans="1:15" x14ac:dyDescent="0.3">
      <c r="A24" s="9" t="s">
        <v>158</v>
      </c>
      <c r="B24" s="5" t="s">
        <v>53</v>
      </c>
      <c r="C24" s="7" t="s">
        <v>157</v>
      </c>
      <c r="D24" s="8" t="s">
        <v>9</v>
      </c>
      <c r="E24" s="8" t="s">
        <v>11</v>
      </c>
      <c r="F24" s="8" t="s">
        <v>75</v>
      </c>
      <c r="G24" s="8" t="s">
        <v>75</v>
      </c>
      <c r="H24" s="8" t="s">
        <v>75</v>
      </c>
      <c r="I24" s="8" t="s">
        <v>101</v>
      </c>
      <c r="J24" s="8" t="s">
        <v>72</v>
      </c>
      <c r="K24" s="8" t="s">
        <v>112</v>
      </c>
      <c r="L24" s="8" t="s">
        <v>42</v>
      </c>
      <c r="M24" s="8" t="s">
        <v>75</v>
      </c>
      <c r="N24" s="9" t="s">
        <v>113</v>
      </c>
      <c r="O24" s="8" t="s">
        <v>87</v>
      </c>
    </row>
    <row r="25" spans="1:15" ht="17.25" x14ac:dyDescent="0.3">
      <c r="A25" s="13" t="s">
        <v>114</v>
      </c>
      <c r="B25" s="5" t="s">
        <v>53</v>
      </c>
      <c r="C25" s="4" t="s">
        <v>55</v>
      </c>
      <c r="D25" s="8" t="s">
        <v>9</v>
      </c>
      <c r="E25" s="8" t="s">
        <v>11</v>
      </c>
      <c r="F25" s="8" t="s">
        <v>75</v>
      </c>
      <c r="G25" s="8" t="s">
        <v>75</v>
      </c>
      <c r="H25" s="8" t="s">
        <v>75</v>
      </c>
      <c r="I25" s="8" t="s">
        <v>101</v>
      </c>
      <c r="J25" s="8" t="s">
        <v>30</v>
      </c>
      <c r="K25" s="8" t="s">
        <v>76</v>
      </c>
      <c r="L25" s="8" t="s">
        <v>78</v>
      </c>
      <c r="M25" s="8" t="s">
        <v>10</v>
      </c>
      <c r="N25" s="9" t="s">
        <v>31</v>
      </c>
      <c r="O25" s="8" t="s">
        <v>87</v>
      </c>
    </row>
    <row r="26" spans="1:15" ht="17.25" x14ac:dyDescent="0.3">
      <c r="A26" s="13" t="s">
        <v>115</v>
      </c>
      <c r="B26" s="5" t="s">
        <v>80</v>
      </c>
      <c r="C26" s="4" t="s">
        <v>54</v>
      </c>
      <c r="D26" s="8" t="s">
        <v>9</v>
      </c>
      <c r="E26" s="8" t="s">
        <v>11</v>
      </c>
      <c r="F26" s="8" t="s">
        <v>75</v>
      </c>
      <c r="G26" s="8" t="s">
        <v>75</v>
      </c>
      <c r="H26" s="8" t="s">
        <v>75</v>
      </c>
      <c r="I26" s="8" t="s">
        <v>101</v>
      </c>
      <c r="J26" s="8" t="s">
        <v>30</v>
      </c>
      <c r="K26" s="8" t="s">
        <v>76</v>
      </c>
      <c r="L26" s="8" t="s">
        <v>116</v>
      </c>
      <c r="M26" s="8" t="s">
        <v>10</v>
      </c>
      <c r="N26" s="9" t="s">
        <v>117</v>
      </c>
      <c r="O26" s="8" t="s">
        <v>87</v>
      </c>
    </row>
    <row r="27" spans="1:15" s="10" customFormat="1" ht="17.25" x14ac:dyDescent="0.3">
      <c r="A27" s="13" t="s">
        <v>159</v>
      </c>
      <c r="B27" s="8" t="s">
        <v>80</v>
      </c>
      <c r="C27" s="8" t="s">
        <v>30</v>
      </c>
      <c r="D27" s="8" t="s">
        <v>9</v>
      </c>
      <c r="E27" s="8" t="s">
        <v>11</v>
      </c>
      <c r="F27" s="8" t="s">
        <v>75</v>
      </c>
      <c r="G27" s="8" t="s">
        <v>75</v>
      </c>
      <c r="H27" s="8" t="s">
        <v>75</v>
      </c>
      <c r="I27" s="8" t="s">
        <v>101</v>
      </c>
      <c r="J27" s="8" t="s">
        <v>106</v>
      </c>
      <c r="K27" s="8" t="s">
        <v>76</v>
      </c>
      <c r="L27" s="8" t="s">
        <v>78</v>
      </c>
      <c r="M27" s="8" t="s">
        <v>10</v>
      </c>
      <c r="N27" s="9" t="s">
        <v>118</v>
      </c>
      <c r="O27" s="8" t="s">
        <v>87</v>
      </c>
    </row>
    <row r="28" spans="1:15" s="10" customFormat="1" ht="33" x14ac:dyDescent="0.3">
      <c r="A28" s="13" t="s">
        <v>150</v>
      </c>
      <c r="B28" s="8" t="s">
        <v>151</v>
      </c>
      <c r="C28" s="8" t="s">
        <v>54</v>
      </c>
      <c r="D28" s="8" t="s">
        <v>9</v>
      </c>
      <c r="E28" s="8" t="s">
        <v>11</v>
      </c>
      <c r="F28" s="8" t="s">
        <v>152</v>
      </c>
      <c r="G28" s="8" t="s">
        <v>152</v>
      </c>
      <c r="H28" s="8" t="s">
        <v>152</v>
      </c>
      <c r="I28" s="8" t="s">
        <v>104</v>
      </c>
      <c r="J28" s="8" t="s">
        <v>153</v>
      </c>
      <c r="K28" s="8" t="s">
        <v>141</v>
      </c>
      <c r="L28" s="8" t="s">
        <v>154</v>
      </c>
      <c r="M28" s="8" t="s">
        <v>10</v>
      </c>
      <c r="N28" s="9" t="s">
        <v>155</v>
      </c>
      <c r="O28" s="8" t="s">
        <v>156</v>
      </c>
    </row>
    <row r="29" spans="1:15" s="10" customFormat="1" x14ac:dyDescent="0.3">
      <c r="A29" s="9" t="s">
        <v>119</v>
      </c>
      <c r="B29" s="8" t="s">
        <v>80</v>
      </c>
      <c r="C29" s="8" t="s">
        <v>120</v>
      </c>
      <c r="D29" s="8" t="s">
        <v>9</v>
      </c>
      <c r="E29" s="8" t="s">
        <v>11</v>
      </c>
      <c r="F29" s="8" t="s">
        <v>75</v>
      </c>
      <c r="G29" s="8" t="s">
        <v>75</v>
      </c>
      <c r="H29" s="8" t="s">
        <v>75</v>
      </c>
      <c r="I29" s="8" t="s">
        <v>101</v>
      </c>
      <c r="J29" s="8" t="s">
        <v>106</v>
      </c>
      <c r="K29" s="8" t="s">
        <v>76</v>
      </c>
      <c r="L29" s="8" t="s">
        <v>78</v>
      </c>
      <c r="M29" s="8" t="s">
        <v>10</v>
      </c>
      <c r="N29" s="9" t="s">
        <v>32</v>
      </c>
      <c r="O29" s="8" t="s">
        <v>40</v>
      </c>
    </row>
    <row r="30" spans="1:15" s="10" customFormat="1" ht="17.25" x14ac:dyDescent="0.3">
      <c r="A30" s="13" t="s">
        <v>48</v>
      </c>
      <c r="B30" s="8" t="s">
        <v>121</v>
      </c>
      <c r="C30" s="8" t="s">
        <v>122</v>
      </c>
      <c r="D30" s="8" t="s">
        <v>9</v>
      </c>
      <c r="E30" s="8" t="s">
        <v>11</v>
      </c>
      <c r="F30" s="8" t="s">
        <v>75</v>
      </c>
      <c r="G30" s="8" t="s">
        <v>75</v>
      </c>
      <c r="H30" s="8" t="s">
        <v>5</v>
      </c>
      <c r="I30" s="8" t="s">
        <v>101</v>
      </c>
      <c r="J30" s="8" t="s">
        <v>76</v>
      </c>
      <c r="K30" s="8" t="s">
        <v>123</v>
      </c>
      <c r="L30" s="8" t="s">
        <v>78</v>
      </c>
      <c r="M30" s="8" t="s">
        <v>10</v>
      </c>
      <c r="N30" s="9" t="s">
        <v>39</v>
      </c>
      <c r="O30" s="8" t="s">
        <v>40</v>
      </c>
    </row>
    <row r="31" spans="1:15" s="10" customFormat="1" x14ac:dyDescent="0.3">
      <c r="A31" s="9" t="s">
        <v>124</v>
      </c>
      <c r="B31" s="8" t="s">
        <v>80</v>
      </c>
      <c r="C31" s="8" t="s">
        <v>106</v>
      </c>
      <c r="D31" s="8" t="s">
        <v>9</v>
      </c>
      <c r="E31" s="8" t="s">
        <v>11</v>
      </c>
      <c r="F31" s="8" t="s">
        <v>75</v>
      </c>
      <c r="G31" s="8" t="s">
        <v>75</v>
      </c>
      <c r="H31" s="8" t="s">
        <v>75</v>
      </c>
      <c r="I31" s="8" t="s">
        <v>101</v>
      </c>
      <c r="J31" s="8" t="s">
        <v>106</v>
      </c>
      <c r="K31" s="8" t="s">
        <v>69</v>
      </c>
      <c r="L31" s="8" t="s">
        <v>78</v>
      </c>
      <c r="M31" s="8" t="s">
        <v>75</v>
      </c>
      <c r="N31" s="9" t="s">
        <v>258</v>
      </c>
      <c r="O31" s="8" t="s">
        <v>40</v>
      </c>
    </row>
    <row r="32" spans="1:15" s="10" customFormat="1" ht="33" x14ac:dyDescent="0.3">
      <c r="A32" s="9" t="s">
        <v>149</v>
      </c>
      <c r="B32" s="8" t="s">
        <v>142</v>
      </c>
      <c r="C32" s="8" t="s">
        <v>148</v>
      </c>
      <c r="D32" s="8" t="s">
        <v>9</v>
      </c>
      <c r="E32" s="8" t="s">
        <v>11</v>
      </c>
      <c r="F32" s="8" t="s">
        <v>143</v>
      </c>
      <c r="G32" s="8" t="s">
        <v>143</v>
      </c>
      <c r="H32" s="8" t="s">
        <v>75</v>
      </c>
      <c r="I32" s="8" t="s">
        <v>144</v>
      </c>
      <c r="J32" s="8" t="s">
        <v>145</v>
      </c>
      <c r="K32" s="8" t="s">
        <v>146</v>
      </c>
      <c r="L32" s="8" t="s">
        <v>147</v>
      </c>
      <c r="M32" s="8" t="s">
        <v>143</v>
      </c>
      <c r="N32" s="9" t="s">
        <v>1556</v>
      </c>
      <c r="O32" s="8" t="s">
        <v>1555</v>
      </c>
    </row>
    <row r="33" spans="1:16" s="10" customFormat="1" x14ac:dyDescent="0.3">
      <c r="A33" s="9" t="s">
        <v>125</v>
      </c>
      <c r="B33" s="8" t="s">
        <v>80</v>
      </c>
      <c r="C33" s="8" t="s">
        <v>1591</v>
      </c>
      <c r="D33" s="8" t="s">
        <v>9</v>
      </c>
      <c r="E33" s="8" t="s">
        <v>126</v>
      </c>
      <c r="F33" s="8" t="s">
        <v>75</v>
      </c>
      <c r="G33" s="8" t="s">
        <v>75</v>
      </c>
      <c r="H33" s="8" t="s">
        <v>5</v>
      </c>
      <c r="I33" s="8" t="s">
        <v>33</v>
      </c>
      <c r="J33" s="8" t="s">
        <v>127</v>
      </c>
      <c r="K33" s="8" t="s">
        <v>127</v>
      </c>
      <c r="L33" s="8" t="s">
        <v>128</v>
      </c>
      <c r="M33" s="8" t="s">
        <v>10</v>
      </c>
      <c r="N33" s="9" t="s">
        <v>129</v>
      </c>
      <c r="O33" s="8" t="s">
        <v>1590</v>
      </c>
    </row>
    <row r="34" spans="1:16" s="16" customFormat="1" ht="33" x14ac:dyDescent="0.3">
      <c r="A34" s="13" t="s">
        <v>130</v>
      </c>
      <c r="B34" s="8" t="s">
        <v>80</v>
      </c>
      <c r="C34" s="8" t="s">
        <v>76</v>
      </c>
      <c r="D34" s="8" t="s">
        <v>9</v>
      </c>
      <c r="E34" s="8" t="s">
        <v>11</v>
      </c>
      <c r="F34" s="8" t="s">
        <v>12</v>
      </c>
      <c r="G34" s="8" t="s">
        <v>12</v>
      </c>
      <c r="H34" s="8" t="s">
        <v>12</v>
      </c>
      <c r="I34" s="8" t="s">
        <v>101</v>
      </c>
      <c r="J34" s="8" t="s">
        <v>106</v>
      </c>
      <c r="K34" s="8" t="s">
        <v>76</v>
      </c>
      <c r="L34" s="8" t="s">
        <v>78</v>
      </c>
      <c r="M34" s="8" t="s">
        <v>10</v>
      </c>
      <c r="N34" s="9" t="s">
        <v>131</v>
      </c>
      <c r="O34" s="8" t="s">
        <v>87</v>
      </c>
    </row>
    <row r="35" spans="1:16" s="16" customFormat="1" ht="17.25" x14ac:dyDescent="0.3">
      <c r="A35" s="13" t="s">
        <v>161</v>
      </c>
      <c r="B35" s="8" t="s">
        <v>162</v>
      </c>
      <c r="C35" s="8" t="s">
        <v>163</v>
      </c>
      <c r="D35" s="8" t="s">
        <v>9</v>
      </c>
      <c r="E35" s="8" t="s">
        <v>11</v>
      </c>
      <c r="F35" s="8" t="s">
        <v>12</v>
      </c>
      <c r="G35" s="8" t="s">
        <v>12</v>
      </c>
      <c r="H35" s="8" t="s">
        <v>12</v>
      </c>
      <c r="I35" s="8" t="s">
        <v>164</v>
      </c>
      <c r="J35" s="8" t="s">
        <v>54</v>
      </c>
      <c r="K35" s="8" t="s">
        <v>165</v>
      </c>
      <c r="L35" s="8" t="s">
        <v>166</v>
      </c>
      <c r="M35" s="8" t="s">
        <v>167</v>
      </c>
      <c r="N35" s="9" t="s">
        <v>168</v>
      </c>
      <c r="O35" s="8" t="s">
        <v>160</v>
      </c>
    </row>
    <row r="36" spans="1:16" s="10" customFormat="1" ht="49.5" x14ac:dyDescent="0.3">
      <c r="A36" s="9" t="s">
        <v>132</v>
      </c>
      <c r="B36" s="8" t="s">
        <v>80</v>
      </c>
      <c r="C36" s="8" t="s">
        <v>133</v>
      </c>
      <c r="D36" s="8" t="s">
        <v>9</v>
      </c>
      <c r="E36" s="8" t="s">
        <v>126</v>
      </c>
      <c r="F36" s="8" t="s">
        <v>75</v>
      </c>
      <c r="G36" s="8" t="s">
        <v>75</v>
      </c>
      <c r="H36" s="8" t="s">
        <v>75</v>
      </c>
      <c r="I36" s="8" t="s">
        <v>33</v>
      </c>
      <c r="J36" s="8" t="s">
        <v>6</v>
      </c>
      <c r="K36" s="8" t="s">
        <v>6</v>
      </c>
      <c r="L36" s="8" t="s">
        <v>134</v>
      </c>
      <c r="M36" s="8" t="s">
        <v>10</v>
      </c>
      <c r="N36" s="9" t="s">
        <v>135</v>
      </c>
      <c r="O36" s="8" t="s">
        <v>82</v>
      </c>
    </row>
    <row r="37" spans="1:16" s="10" customFormat="1" ht="49.5" x14ac:dyDescent="0.3">
      <c r="A37" s="9" t="s">
        <v>136</v>
      </c>
      <c r="B37" s="8" t="s">
        <v>80</v>
      </c>
      <c r="C37" s="8" t="s">
        <v>133</v>
      </c>
      <c r="D37" s="8" t="s">
        <v>9</v>
      </c>
      <c r="E37" s="8" t="s">
        <v>126</v>
      </c>
      <c r="F37" s="8" t="s">
        <v>75</v>
      </c>
      <c r="G37" s="8" t="s">
        <v>75</v>
      </c>
      <c r="H37" s="8" t="s">
        <v>75</v>
      </c>
      <c r="I37" s="8" t="s">
        <v>33</v>
      </c>
      <c r="J37" s="8" t="s">
        <v>6</v>
      </c>
      <c r="K37" s="8" t="s">
        <v>6</v>
      </c>
      <c r="L37" s="8" t="s">
        <v>137</v>
      </c>
      <c r="M37" s="8" t="s">
        <v>10</v>
      </c>
      <c r="N37" s="9" t="s">
        <v>45</v>
      </c>
      <c r="O37" s="8" t="s">
        <v>87</v>
      </c>
    </row>
    <row r="38" spans="1:16" s="20" customFormat="1" ht="49.5" x14ac:dyDescent="0.3">
      <c r="A38" s="17" t="s">
        <v>170</v>
      </c>
      <c r="B38" s="18" t="s">
        <v>162</v>
      </c>
      <c r="C38" s="18" t="s">
        <v>171</v>
      </c>
      <c r="D38" s="18" t="s">
        <v>9</v>
      </c>
      <c r="E38" s="18" t="s">
        <v>169</v>
      </c>
      <c r="F38" s="18" t="s">
        <v>12</v>
      </c>
      <c r="G38" s="18" t="s">
        <v>12</v>
      </c>
      <c r="H38" s="18" t="s">
        <v>12</v>
      </c>
      <c r="I38" s="18" t="s">
        <v>33</v>
      </c>
      <c r="J38" s="18" t="s">
        <v>6</v>
      </c>
      <c r="K38" s="18" t="s">
        <v>6</v>
      </c>
      <c r="L38" s="18" t="s">
        <v>172</v>
      </c>
      <c r="M38" s="18" t="s">
        <v>10</v>
      </c>
      <c r="N38" s="17" t="s">
        <v>173</v>
      </c>
      <c r="O38" s="18" t="s">
        <v>160</v>
      </c>
      <c r="P38" s="19"/>
    </row>
    <row r="39" spans="1:16" s="20" customFormat="1" ht="66" x14ac:dyDescent="0.3">
      <c r="A39" s="17" t="s">
        <v>174</v>
      </c>
      <c r="B39" s="18" t="s">
        <v>162</v>
      </c>
      <c r="C39" s="18" t="s">
        <v>175</v>
      </c>
      <c r="D39" s="18" t="s">
        <v>9</v>
      </c>
      <c r="E39" s="18" t="s">
        <v>169</v>
      </c>
      <c r="F39" s="18" t="s">
        <v>12</v>
      </c>
      <c r="G39" s="18" t="s">
        <v>12</v>
      </c>
      <c r="H39" s="18" t="s">
        <v>12</v>
      </c>
      <c r="I39" s="18" t="s">
        <v>33</v>
      </c>
      <c r="J39" s="18" t="s">
        <v>6</v>
      </c>
      <c r="K39" s="18" t="s">
        <v>6</v>
      </c>
      <c r="L39" s="18" t="s">
        <v>176</v>
      </c>
      <c r="M39" s="18" t="s">
        <v>10</v>
      </c>
      <c r="N39" s="17" t="s">
        <v>177</v>
      </c>
      <c r="O39" s="18" t="s">
        <v>160</v>
      </c>
      <c r="P39" s="19"/>
    </row>
    <row r="40" spans="1:16" s="20" customFormat="1" x14ac:dyDescent="0.3">
      <c r="A40" s="17" t="s">
        <v>178</v>
      </c>
      <c r="B40" s="18" t="s">
        <v>162</v>
      </c>
      <c r="C40" s="18" t="s">
        <v>200</v>
      </c>
      <c r="D40" s="18" t="s">
        <v>9</v>
      </c>
      <c r="E40" s="18" t="s">
        <v>169</v>
      </c>
      <c r="F40" s="18" t="s">
        <v>12</v>
      </c>
      <c r="G40" s="18" t="s">
        <v>12</v>
      </c>
      <c r="H40" s="18" t="s">
        <v>12</v>
      </c>
      <c r="I40" s="18" t="s">
        <v>164</v>
      </c>
      <c r="J40" s="18" t="s">
        <v>54</v>
      </c>
      <c r="K40" s="18" t="s">
        <v>179</v>
      </c>
      <c r="L40" s="18" t="s">
        <v>166</v>
      </c>
      <c r="M40" s="18" t="s">
        <v>12</v>
      </c>
      <c r="N40" s="17" t="s">
        <v>180</v>
      </c>
      <c r="O40" s="18" t="s">
        <v>160</v>
      </c>
      <c r="P40" s="19"/>
    </row>
    <row r="41" spans="1:16" s="20" customFormat="1" ht="33" x14ac:dyDescent="0.3">
      <c r="A41" s="17" t="s">
        <v>181</v>
      </c>
      <c r="B41" s="18" t="s">
        <v>162</v>
      </c>
      <c r="C41" s="18" t="s">
        <v>182</v>
      </c>
      <c r="D41" s="18" t="s">
        <v>9</v>
      </c>
      <c r="E41" s="18" t="s">
        <v>169</v>
      </c>
      <c r="F41" s="18" t="s">
        <v>12</v>
      </c>
      <c r="G41" s="18" t="s">
        <v>12</v>
      </c>
      <c r="H41" s="18" t="s">
        <v>12</v>
      </c>
      <c r="I41" s="18" t="s">
        <v>183</v>
      </c>
      <c r="J41" s="18" t="s">
        <v>54</v>
      </c>
      <c r="K41" s="18" t="s">
        <v>184</v>
      </c>
      <c r="L41" s="18" t="s">
        <v>166</v>
      </c>
      <c r="M41" s="18" t="s">
        <v>185</v>
      </c>
      <c r="N41" s="17" t="s">
        <v>186</v>
      </c>
      <c r="O41" s="18" t="s">
        <v>160</v>
      </c>
      <c r="P41" s="19"/>
    </row>
    <row r="42" spans="1:16" s="20" customFormat="1" ht="33" x14ac:dyDescent="0.3">
      <c r="A42" s="17" t="s">
        <v>187</v>
      </c>
      <c r="B42" s="18" t="s">
        <v>162</v>
      </c>
      <c r="C42" s="18" t="s">
        <v>198</v>
      </c>
      <c r="D42" s="18" t="s">
        <v>9</v>
      </c>
      <c r="E42" s="18" t="s">
        <v>169</v>
      </c>
      <c r="F42" s="18" t="s">
        <v>12</v>
      </c>
      <c r="G42" s="18" t="s">
        <v>12</v>
      </c>
      <c r="H42" s="18" t="s">
        <v>12</v>
      </c>
      <c r="I42" s="18" t="s">
        <v>183</v>
      </c>
      <c r="J42" s="18" t="s">
        <v>54</v>
      </c>
      <c r="K42" s="18" t="s">
        <v>184</v>
      </c>
      <c r="L42" s="18" t="s">
        <v>166</v>
      </c>
      <c r="M42" s="18" t="s">
        <v>185</v>
      </c>
      <c r="N42" s="17" t="s">
        <v>188</v>
      </c>
      <c r="O42" s="18" t="s">
        <v>160</v>
      </c>
      <c r="P42" s="19"/>
    </row>
    <row r="43" spans="1:16" s="20" customFormat="1" x14ac:dyDescent="0.3">
      <c r="A43" s="17" t="s">
        <v>201</v>
      </c>
      <c r="B43" s="18" t="s">
        <v>162</v>
      </c>
      <c r="C43" s="18" t="s">
        <v>54</v>
      </c>
      <c r="D43" s="18" t="s">
        <v>9</v>
      </c>
      <c r="E43" s="18" t="s">
        <v>11</v>
      </c>
      <c r="F43" s="18" t="s">
        <v>12</v>
      </c>
      <c r="G43" s="18" t="s">
        <v>12</v>
      </c>
      <c r="H43" s="18" t="s">
        <v>12</v>
      </c>
      <c r="I43" s="18" t="s">
        <v>33</v>
      </c>
      <c r="J43" s="18" t="s">
        <v>6</v>
      </c>
      <c r="K43" s="18" t="s">
        <v>6</v>
      </c>
      <c r="L43" s="18" t="s">
        <v>166</v>
      </c>
      <c r="M43" s="18" t="s">
        <v>202</v>
      </c>
      <c r="N43" s="17" t="s">
        <v>203</v>
      </c>
      <c r="O43" s="18" t="s">
        <v>160</v>
      </c>
      <c r="P43" s="19"/>
    </row>
    <row r="44" spans="1:16" s="20" customFormat="1" ht="33" x14ac:dyDescent="0.3">
      <c r="A44" s="17" t="s">
        <v>204</v>
      </c>
      <c r="B44" s="18" t="s">
        <v>162</v>
      </c>
      <c r="C44" s="18" t="s">
        <v>207</v>
      </c>
      <c r="D44" s="18" t="s">
        <v>9</v>
      </c>
      <c r="E44" s="18" t="s">
        <v>11</v>
      </c>
      <c r="F44" s="18" t="s">
        <v>12</v>
      </c>
      <c r="G44" s="18" t="s">
        <v>12</v>
      </c>
      <c r="H44" s="18" t="s">
        <v>12</v>
      </c>
      <c r="I44" s="18" t="s">
        <v>33</v>
      </c>
      <c r="J44" s="18" t="s">
        <v>55</v>
      </c>
      <c r="K44" s="18" t="s">
        <v>205</v>
      </c>
      <c r="L44" s="18" t="s">
        <v>166</v>
      </c>
      <c r="M44" s="18" t="s">
        <v>12</v>
      </c>
      <c r="N44" s="17" t="s">
        <v>206</v>
      </c>
      <c r="O44" s="18" t="s">
        <v>160</v>
      </c>
      <c r="P44" s="19"/>
    </row>
    <row r="45" spans="1:16" s="26" customFormat="1" ht="33" x14ac:dyDescent="0.3">
      <c r="A45" s="17" t="s">
        <v>232</v>
      </c>
      <c r="B45" s="18" t="s">
        <v>162</v>
      </c>
      <c r="C45" s="18" t="s">
        <v>30</v>
      </c>
      <c r="D45" s="18" t="s">
        <v>9</v>
      </c>
      <c r="E45" s="18" t="s">
        <v>11</v>
      </c>
      <c r="F45" s="18" t="s">
        <v>33</v>
      </c>
      <c r="G45" s="18" t="s">
        <v>54</v>
      </c>
      <c r="H45" s="18" t="s">
        <v>55</v>
      </c>
      <c r="I45" s="18" t="s">
        <v>140</v>
      </c>
      <c r="J45" s="8" t="s">
        <v>233</v>
      </c>
      <c r="K45" s="8" t="s">
        <v>234</v>
      </c>
      <c r="L45" s="18" t="s">
        <v>166</v>
      </c>
      <c r="M45" s="18" t="s">
        <v>10</v>
      </c>
      <c r="N45" s="18" t="s">
        <v>235</v>
      </c>
      <c r="O45" s="18" t="s">
        <v>160</v>
      </c>
      <c r="P45" s="19"/>
    </row>
    <row r="46" spans="1:16" s="20" customFormat="1" ht="49.5" x14ac:dyDescent="0.3">
      <c r="A46" s="17" t="s">
        <v>208</v>
      </c>
      <c r="B46" s="18" t="s">
        <v>162</v>
      </c>
      <c r="C46" s="18" t="s">
        <v>165</v>
      </c>
      <c r="D46" s="18" t="s">
        <v>9</v>
      </c>
      <c r="E46" s="18" t="s">
        <v>11</v>
      </c>
      <c r="F46" s="18" t="s">
        <v>12</v>
      </c>
      <c r="G46" s="18" t="s">
        <v>12</v>
      </c>
      <c r="H46" s="18" t="s">
        <v>12</v>
      </c>
      <c r="I46" s="18" t="s">
        <v>183</v>
      </c>
      <c r="J46" s="18" t="s">
        <v>55</v>
      </c>
      <c r="K46" s="18" t="s">
        <v>209</v>
      </c>
      <c r="L46" s="18" t="s">
        <v>166</v>
      </c>
      <c r="M46" s="18" t="s">
        <v>210</v>
      </c>
      <c r="N46" s="17" t="s">
        <v>211</v>
      </c>
      <c r="O46" s="18" t="s">
        <v>160</v>
      </c>
      <c r="P46" s="19"/>
    </row>
    <row r="47" spans="1:16" s="20" customFormat="1" ht="115.5" x14ac:dyDescent="0.3">
      <c r="A47" s="17" t="s">
        <v>212</v>
      </c>
      <c r="B47" s="18" t="s">
        <v>162</v>
      </c>
      <c r="C47" s="18" t="s">
        <v>738</v>
      </c>
      <c r="D47" s="18" t="s">
        <v>9</v>
      </c>
      <c r="E47" s="18" t="s">
        <v>169</v>
      </c>
      <c r="F47" s="18" t="s">
        <v>12</v>
      </c>
      <c r="G47" s="18" t="s">
        <v>12</v>
      </c>
      <c r="H47" s="18" t="s">
        <v>12</v>
      </c>
      <c r="I47" s="18" t="s">
        <v>33</v>
      </c>
      <c r="J47" s="18" t="s">
        <v>6</v>
      </c>
      <c r="K47" s="18" t="s">
        <v>6</v>
      </c>
      <c r="L47" s="18" t="s">
        <v>213</v>
      </c>
      <c r="M47" s="18" t="s">
        <v>10</v>
      </c>
      <c r="N47" s="17" t="s">
        <v>214</v>
      </c>
      <c r="O47" s="18" t="s">
        <v>160</v>
      </c>
      <c r="P47" s="19"/>
    </row>
    <row r="48" spans="1:16" s="20" customFormat="1" ht="33" x14ac:dyDescent="0.3">
      <c r="A48" s="17" t="s">
        <v>195</v>
      </c>
      <c r="B48" s="18" t="s">
        <v>162</v>
      </c>
      <c r="C48" s="18" t="s">
        <v>236</v>
      </c>
      <c r="D48" s="18" t="s">
        <v>9</v>
      </c>
      <c r="E48" s="18" t="s">
        <v>11</v>
      </c>
      <c r="F48" s="18" t="s">
        <v>12</v>
      </c>
      <c r="G48" s="18" t="s">
        <v>12</v>
      </c>
      <c r="H48" s="18" t="s">
        <v>12</v>
      </c>
      <c r="I48" s="18" t="s">
        <v>183</v>
      </c>
      <c r="J48" s="18" t="s">
        <v>54</v>
      </c>
      <c r="K48" s="18" t="s">
        <v>184</v>
      </c>
      <c r="L48" s="18" t="s">
        <v>166</v>
      </c>
      <c r="M48" s="18" t="s">
        <v>185</v>
      </c>
      <c r="N48" s="17" t="s">
        <v>196</v>
      </c>
      <c r="O48" s="18" t="s">
        <v>160</v>
      </c>
      <c r="P48" s="19"/>
    </row>
    <row r="49" spans="1:15" ht="17.25" x14ac:dyDescent="0.3">
      <c r="A49" s="13" t="s">
        <v>215</v>
      </c>
      <c r="B49" s="5" t="s">
        <v>162</v>
      </c>
      <c r="C49" s="21" t="str">
        <f ca="1">"[" &amp; GetParamValue("RACK_AFE_NUMBER")/GetParamValue("MODULE_AFE_NUMBER") &amp; "]"</f>
        <v>[8]</v>
      </c>
      <c r="D49" s="8" t="s">
        <v>9</v>
      </c>
      <c r="E49" s="8" t="s">
        <v>11</v>
      </c>
      <c r="F49" s="8" t="s">
        <v>75</v>
      </c>
      <c r="G49" s="8" t="s">
        <v>75</v>
      </c>
      <c r="H49" s="8" t="s">
        <v>75</v>
      </c>
      <c r="I49" s="8" t="s">
        <v>101</v>
      </c>
      <c r="J49" s="8" t="s">
        <v>76</v>
      </c>
      <c r="K49" s="8" t="s">
        <v>77</v>
      </c>
      <c r="L49" s="8" t="s">
        <v>78</v>
      </c>
      <c r="M49" s="8" t="s">
        <v>10</v>
      </c>
      <c r="N49" s="9" t="s">
        <v>20</v>
      </c>
      <c r="O49" s="8" t="s">
        <v>138</v>
      </c>
    </row>
    <row r="50" spans="1:15" x14ac:dyDescent="0.3">
      <c r="A50" s="9" t="s">
        <v>216</v>
      </c>
      <c r="B50" s="5" t="s">
        <v>162</v>
      </c>
      <c r="C50" s="21" t="str">
        <f ca="1">"[" &amp; GetParamValue("RACK_AFE_NUMBER_MAX")/GetParamValue("MODULE_AFE_NUMBER") &amp; "]"</f>
        <v>[8]</v>
      </c>
      <c r="D50" s="8" t="s">
        <v>9</v>
      </c>
      <c r="E50" s="8" t="s">
        <v>11</v>
      </c>
      <c r="F50" s="8" t="s">
        <v>12</v>
      </c>
      <c r="G50" s="8" t="s">
        <v>12</v>
      </c>
      <c r="H50" s="8" t="s">
        <v>12</v>
      </c>
      <c r="I50" s="8" t="s">
        <v>13</v>
      </c>
      <c r="J50" s="8" t="s">
        <v>76</v>
      </c>
      <c r="K50" s="8" t="s">
        <v>77</v>
      </c>
      <c r="L50" s="8" t="s">
        <v>78</v>
      </c>
      <c r="M50" s="8" t="s">
        <v>10</v>
      </c>
      <c r="N50" s="9" t="s">
        <v>21</v>
      </c>
      <c r="O50" s="8" t="s">
        <v>139</v>
      </c>
    </row>
    <row r="51" spans="1:15" ht="49.5" x14ac:dyDescent="0.3">
      <c r="A51" s="15" t="s">
        <v>189</v>
      </c>
      <c r="B51" s="24" t="s">
        <v>162</v>
      </c>
      <c r="C51" s="30" t="str">
        <f ca="1">"[" &amp; CountMatching("MODULE_TEMPERATURE_SENSOR_SAMPLING_CHANNEL_CONFIGURATION", "=2")/GetParamValue("MODULE_AFE_NUMBER") &amp; "]"</f>
        <v>[2]</v>
      </c>
      <c r="D51" s="15" t="s">
        <v>9</v>
      </c>
      <c r="E51" s="15" t="s">
        <v>11</v>
      </c>
      <c r="F51" s="15" t="s">
        <v>12</v>
      </c>
      <c r="G51" s="15" t="s">
        <v>12</v>
      </c>
      <c r="H51" s="15" t="s">
        <v>12</v>
      </c>
      <c r="I51" s="15" t="s">
        <v>13</v>
      </c>
      <c r="J51" s="15" t="s">
        <v>6</v>
      </c>
      <c r="K51" s="15" t="s">
        <v>6</v>
      </c>
      <c r="L51" s="15" t="s">
        <v>166</v>
      </c>
      <c r="M51" s="15" t="s">
        <v>10</v>
      </c>
      <c r="N51" s="15" t="s">
        <v>190</v>
      </c>
      <c r="O51" s="8" t="s">
        <v>670</v>
      </c>
    </row>
    <row r="52" spans="1:15" ht="33" x14ac:dyDescent="0.3">
      <c r="A52" s="15" t="s">
        <v>191</v>
      </c>
      <c r="B52" s="24" t="s">
        <v>162</v>
      </c>
      <c r="C52" s="30" t="str">
        <f ca="1">"[" &amp; GetParamValue("RACK_AFE_NUMBER_MAX") * GetParamValue("AFE_TEMPERATURE_SENSOR_MUX_NUMBER") &amp; "]"</f>
        <v>[64]</v>
      </c>
      <c r="D52" s="15" t="s">
        <v>9</v>
      </c>
      <c r="E52" s="15" t="s">
        <v>11</v>
      </c>
      <c r="F52" s="15" t="s">
        <v>12</v>
      </c>
      <c r="G52" s="15" t="s">
        <v>12</v>
      </c>
      <c r="H52" s="15" t="s">
        <v>12</v>
      </c>
      <c r="I52" s="15" t="s">
        <v>13</v>
      </c>
      <c r="J52" s="15" t="s">
        <v>6</v>
      </c>
      <c r="K52" s="15" t="s">
        <v>6</v>
      </c>
      <c r="L52" s="15" t="s">
        <v>166</v>
      </c>
      <c r="M52" s="15" t="s">
        <v>10</v>
      </c>
      <c r="N52" s="15" t="s">
        <v>192</v>
      </c>
      <c r="O52" s="8" t="s">
        <v>199</v>
      </c>
    </row>
    <row r="53" spans="1:15" ht="33" x14ac:dyDescent="0.3">
      <c r="A53" s="15" t="s">
        <v>193</v>
      </c>
      <c r="B53" s="24" t="s">
        <v>162</v>
      </c>
      <c r="C53" s="30" t="str">
        <f ca="1">"[" &amp; ExtractDimension("MODULE_CELL_TEMPERATURE_REDUNCHK_PAIR_INDEX",2) &amp; "]"</f>
        <v>[9]</v>
      </c>
      <c r="D53" s="15" t="s">
        <v>9</v>
      </c>
      <c r="E53" s="15" t="s">
        <v>11</v>
      </c>
      <c r="F53" s="15" t="s">
        <v>12</v>
      </c>
      <c r="G53" s="15" t="s">
        <v>12</v>
      </c>
      <c r="H53" s="15" t="s">
        <v>12</v>
      </c>
      <c r="I53" s="15" t="s">
        <v>13</v>
      </c>
      <c r="J53" s="15" t="s">
        <v>6</v>
      </c>
      <c r="K53" s="15" t="s">
        <v>6</v>
      </c>
      <c r="L53" s="15" t="s">
        <v>166</v>
      </c>
      <c r="M53" s="15" t="s">
        <v>10</v>
      </c>
      <c r="N53" s="15" t="s">
        <v>194</v>
      </c>
      <c r="O53" s="8" t="s">
        <v>628</v>
      </c>
    </row>
    <row r="54" spans="1:15" ht="33" x14ac:dyDescent="0.3">
      <c r="A54" s="15" t="s">
        <v>219</v>
      </c>
      <c r="B54" s="24" t="s">
        <v>162</v>
      </c>
      <c r="C54" s="30" t="str">
        <f ca="1">"[" &amp; GetParamValue("RACK_AFE_NUMBER")*GetParamValue("AFE_CELL_VOLTAGE_SAMPLING_NUMBER") &amp; "]"</f>
        <v>[416]</v>
      </c>
      <c r="D54" s="15" t="s">
        <v>9</v>
      </c>
      <c r="E54" s="15" t="s">
        <v>11</v>
      </c>
      <c r="F54" s="15" t="s">
        <v>12</v>
      </c>
      <c r="G54" s="15" t="s">
        <v>12</v>
      </c>
      <c r="H54" s="15" t="s">
        <v>12</v>
      </c>
      <c r="I54" s="15" t="s">
        <v>13</v>
      </c>
      <c r="J54" s="15" t="s">
        <v>55</v>
      </c>
      <c r="K54" s="15" t="s">
        <v>630</v>
      </c>
      <c r="L54" s="15" t="s">
        <v>166</v>
      </c>
      <c r="M54" s="15" t="s">
        <v>10</v>
      </c>
      <c r="N54" s="15" t="s">
        <v>7</v>
      </c>
      <c r="O54" s="8" t="s">
        <v>629</v>
      </c>
    </row>
    <row r="55" spans="1:15" ht="33" x14ac:dyDescent="0.3">
      <c r="A55" s="15" t="s">
        <v>220</v>
      </c>
      <c r="B55" s="24" t="s">
        <v>162</v>
      </c>
      <c r="C55" s="30" t="str">
        <f ca="1">"[" &amp; GetParamValue("RACK_AFE_NUMBER_MAX") * GetParamValue("AFE_CELL_VOLTAGE_SAMPLING_NUMBER_MAX") &amp; "]"</f>
        <v>[512]</v>
      </c>
      <c r="D55" s="15" t="s">
        <v>9</v>
      </c>
      <c r="E55" s="15" t="s">
        <v>11</v>
      </c>
      <c r="F55" s="15" t="s">
        <v>12</v>
      </c>
      <c r="G55" s="15" t="s">
        <v>12</v>
      </c>
      <c r="H55" s="15" t="s">
        <v>12</v>
      </c>
      <c r="I55" s="15" t="s">
        <v>13</v>
      </c>
      <c r="J55" s="15" t="s">
        <v>55</v>
      </c>
      <c r="K55" s="15" t="s">
        <v>630</v>
      </c>
      <c r="L55" s="15" t="s">
        <v>166</v>
      </c>
      <c r="M55" s="15" t="s">
        <v>10</v>
      </c>
      <c r="N55" s="15" t="s">
        <v>8</v>
      </c>
      <c r="O55" s="8" t="s">
        <v>631</v>
      </c>
    </row>
    <row r="56" spans="1:15" ht="49.5" x14ac:dyDescent="0.3">
      <c r="A56" s="15" t="s">
        <v>224</v>
      </c>
      <c r="B56" s="24" t="s">
        <v>162</v>
      </c>
      <c r="C56" s="30" t="str">
        <f ca="1">"[" &amp; CountMatching("MODULE_TEMPERATURE_SENSOR_SAMPLING_CHANNEL_CONFIGURATION","=1") * GetParamValue("RACK_MODULE_NUMBER") &amp; "]"</f>
        <v>[32]</v>
      </c>
      <c r="D56" s="15" t="s">
        <v>9</v>
      </c>
      <c r="E56" s="15" t="s">
        <v>11</v>
      </c>
      <c r="F56" s="15" t="s">
        <v>12</v>
      </c>
      <c r="G56" s="15" t="s">
        <v>12</v>
      </c>
      <c r="H56" s="15" t="s">
        <v>12</v>
      </c>
      <c r="I56" s="15" t="s">
        <v>13</v>
      </c>
      <c r="J56" s="15" t="s">
        <v>55</v>
      </c>
      <c r="K56" s="15" t="s">
        <v>633</v>
      </c>
      <c r="L56" s="15" t="s">
        <v>166</v>
      </c>
      <c r="M56" s="15" t="s">
        <v>10</v>
      </c>
      <c r="N56" s="15" t="s">
        <v>632</v>
      </c>
      <c r="O56" s="8" t="s">
        <v>671</v>
      </c>
    </row>
    <row r="57" spans="1:15" ht="66" x14ac:dyDescent="0.3">
      <c r="A57" s="15" t="s">
        <v>225</v>
      </c>
      <c r="B57" s="24" t="s">
        <v>162</v>
      </c>
      <c r="C57" s="30" t="str">
        <f ca="1">"[" &amp; CountMatching("MODULE_TEMPERATURE_SENSOR_SAMPLING_CHANNEL_CONFIGURATION","=3")+CountMatching("MODULE_TEMPERATURE_SENSOR_SAMPLING_CHANNEL_CONFIGURATION","=4")  &amp; "]"</f>
        <v>[36]</v>
      </c>
      <c r="D57" s="15" t="s">
        <v>9</v>
      </c>
      <c r="E57" s="15" t="s">
        <v>11</v>
      </c>
      <c r="F57" s="15" t="s">
        <v>12</v>
      </c>
      <c r="G57" s="15" t="s">
        <v>12</v>
      </c>
      <c r="H57" s="15" t="s">
        <v>12</v>
      </c>
      <c r="I57" s="15" t="s">
        <v>13</v>
      </c>
      <c r="J57" s="15" t="s">
        <v>55</v>
      </c>
      <c r="K57" s="15" t="s">
        <v>250</v>
      </c>
      <c r="L57" s="15" t="s">
        <v>166</v>
      </c>
      <c r="M57" s="15" t="s">
        <v>10</v>
      </c>
      <c r="N57" s="15" t="s">
        <v>634</v>
      </c>
      <c r="O57" s="8" t="s">
        <v>672</v>
      </c>
    </row>
    <row r="58" spans="1:15" ht="33" x14ac:dyDescent="0.3">
      <c r="A58" s="15" t="s">
        <v>226</v>
      </c>
      <c r="B58" s="24" t="s">
        <v>162</v>
      </c>
      <c r="C58" s="30" t="str">
        <f ca="1">"[" &amp; CountMatching("MODULE_TEMPERATURE_SENSOR_SAMPLING_CHANNEL_CONFIGURATION","=3")  &amp; "]"</f>
        <v>[29]</v>
      </c>
      <c r="D58" s="15" t="s">
        <v>9</v>
      </c>
      <c r="E58" s="15" t="s">
        <v>11</v>
      </c>
      <c r="F58" s="15" t="s">
        <v>12</v>
      </c>
      <c r="G58" s="15" t="s">
        <v>12</v>
      </c>
      <c r="H58" s="15" t="s">
        <v>12</v>
      </c>
      <c r="I58" s="15" t="s">
        <v>13</v>
      </c>
      <c r="J58" s="15" t="s">
        <v>55</v>
      </c>
      <c r="K58" s="15" t="s">
        <v>250</v>
      </c>
      <c r="L58" s="15" t="s">
        <v>166</v>
      </c>
      <c r="M58" s="15" t="s">
        <v>10</v>
      </c>
      <c r="N58" s="15" t="s">
        <v>635</v>
      </c>
      <c r="O58" s="8" t="s">
        <v>673</v>
      </c>
    </row>
    <row r="59" spans="1:15" ht="49.5" x14ac:dyDescent="0.3">
      <c r="A59" s="15" t="s">
        <v>221</v>
      </c>
      <c r="B59" s="24" t="s">
        <v>162</v>
      </c>
      <c r="C59" s="30" t="str">
        <f ca="1">"[" &amp; CountMatching("MODULE_TEMPERATURE_SENSOR_SAMPLING_CHANNEL_CONFIGURATION","&gt;=3") * GetParamValue("RACK_MODULE_NUMBER") &amp; "]"</f>
        <v>[304]</v>
      </c>
      <c r="D59" s="15" t="s">
        <v>9</v>
      </c>
      <c r="E59" s="15" t="s">
        <v>11</v>
      </c>
      <c r="F59" s="15" t="s">
        <v>12</v>
      </c>
      <c r="G59" s="15" t="s">
        <v>12</v>
      </c>
      <c r="H59" s="15" t="s">
        <v>12</v>
      </c>
      <c r="I59" s="15" t="s">
        <v>13</v>
      </c>
      <c r="J59" s="15" t="s">
        <v>55</v>
      </c>
      <c r="K59" s="15" t="s">
        <v>630</v>
      </c>
      <c r="L59" s="15" t="s">
        <v>166</v>
      </c>
      <c r="M59" s="15" t="s">
        <v>10</v>
      </c>
      <c r="N59" s="15" t="s">
        <v>636</v>
      </c>
      <c r="O59" s="8" t="s">
        <v>674</v>
      </c>
    </row>
    <row r="60" spans="1:15" ht="49.5" x14ac:dyDescent="0.3">
      <c r="A60" s="15" t="s">
        <v>222</v>
      </c>
      <c r="B60" s="24" t="s">
        <v>162</v>
      </c>
      <c r="C60" s="30" t="str">
        <f ca="1">"[" &amp; CountMatching("MODULE_TEMPERATURE_SENSOR_SAMPLING_CHANNEL_CONFIGURATION","=3") * GetParamValue("RACK_MODULE_NUMBER") &amp; "]"</f>
        <v>[232]</v>
      </c>
      <c r="D60" s="15" t="s">
        <v>9</v>
      </c>
      <c r="E60" s="15" t="s">
        <v>11</v>
      </c>
      <c r="F60" s="15" t="s">
        <v>12</v>
      </c>
      <c r="G60" s="15" t="s">
        <v>12</v>
      </c>
      <c r="H60" s="15" t="s">
        <v>12</v>
      </c>
      <c r="I60" s="15" t="s">
        <v>13</v>
      </c>
      <c r="J60" s="15" t="s">
        <v>55</v>
      </c>
      <c r="K60" s="15" t="s">
        <v>630</v>
      </c>
      <c r="L60" s="15" t="s">
        <v>166</v>
      </c>
      <c r="M60" s="15" t="s">
        <v>10</v>
      </c>
      <c r="N60" s="15" t="s">
        <v>637</v>
      </c>
      <c r="O60" s="8" t="s">
        <v>675</v>
      </c>
    </row>
    <row r="61" spans="1:15" ht="33" x14ac:dyDescent="0.3">
      <c r="A61" s="15" t="s">
        <v>223</v>
      </c>
      <c r="B61" s="24" t="s">
        <v>162</v>
      </c>
      <c r="C61" s="30" t="str">
        <f ca="1">"[" &amp; GetParamValue("RACK_AFE_NUMBER_MAX") * GetParamValue("AFE_TEMPERATURE_SENSOR_NUMBER_MAX") &amp; "]"</f>
        <v>[640]</v>
      </c>
      <c r="D61" s="15" t="s">
        <v>9</v>
      </c>
      <c r="E61" s="15" t="s">
        <v>11</v>
      </c>
      <c r="F61" s="15" t="s">
        <v>12</v>
      </c>
      <c r="G61" s="15" t="s">
        <v>12</v>
      </c>
      <c r="H61" s="15" t="s">
        <v>12</v>
      </c>
      <c r="I61" s="15" t="s">
        <v>13</v>
      </c>
      <c r="J61" s="15" t="s">
        <v>55</v>
      </c>
      <c r="K61" s="15" t="s">
        <v>630</v>
      </c>
      <c r="L61" s="15" t="s">
        <v>166</v>
      </c>
      <c r="M61" s="15" t="s">
        <v>10</v>
      </c>
      <c r="N61" s="15" t="s">
        <v>14</v>
      </c>
      <c r="O61" s="8" t="s">
        <v>638</v>
      </c>
    </row>
    <row r="62" spans="1:15" ht="33" x14ac:dyDescent="0.3">
      <c r="A62" s="15" t="s">
        <v>217</v>
      </c>
      <c r="B62" s="24" t="s">
        <v>162</v>
      </c>
      <c r="C62" s="30" t="str">
        <f ca="1">"[" &amp; GetParamValue("CELL_RATE_CAPACITY") * GetParamValue("CELL_RATE_VOLTAGE") / 1000 / 1000  &amp; "]"</f>
        <v>[3.76]</v>
      </c>
      <c r="D62" s="15" t="s">
        <v>9</v>
      </c>
      <c r="E62" s="15" t="s">
        <v>11</v>
      </c>
      <c r="F62" s="15" t="s">
        <v>12</v>
      </c>
      <c r="G62" s="15" t="s">
        <v>12</v>
      </c>
      <c r="H62" s="15" t="s">
        <v>12</v>
      </c>
      <c r="I62" s="15" t="s">
        <v>164</v>
      </c>
      <c r="J62" s="15" t="s">
        <v>55</v>
      </c>
      <c r="K62" s="15" t="s">
        <v>165</v>
      </c>
      <c r="L62" s="15" t="s">
        <v>166</v>
      </c>
      <c r="M62" s="15" t="s">
        <v>640</v>
      </c>
      <c r="N62" s="15" t="s">
        <v>639</v>
      </c>
      <c r="O62" s="8" t="s">
        <v>197</v>
      </c>
    </row>
    <row r="63" spans="1:15" ht="66" x14ac:dyDescent="0.3">
      <c r="A63" s="15" t="s">
        <v>218</v>
      </c>
      <c r="B63" s="24" t="s">
        <v>162</v>
      </c>
      <c r="C63" s="30" t="str">
        <f ca="1">"[" &amp; GetParamValue("CELL_RATE_ENERGY") * GetParamValue("CELL_PARALLEL_NUMBER_PER_RACK_BMS") * GetParamValue("CELL_PARALLEL_NUMBER_INTERNAL_MODULE") * GetParamValue("TOTAL_SERIES_CELL_NUMBER_PER_RACK_BMS") &amp; "]"</f>
        <v>[1564.16]</v>
      </c>
      <c r="D63" s="15" t="s">
        <v>9</v>
      </c>
      <c r="E63" s="15" t="s">
        <v>11</v>
      </c>
      <c r="F63" s="15" t="s">
        <v>12</v>
      </c>
      <c r="G63" s="15" t="s">
        <v>12</v>
      </c>
      <c r="H63" s="15" t="s">
        <v>12</v>
      </c>
      <c r="I63" s="15" t="s">
        <v>164</v>
      </c>
      <c r="J63" s="15" t="s">
        <v>55</v>
      </c>
      <c r="K63" s="15" t="s">
        <v>165</v>
      </c>
      <c r="L63" s="15" t="s">
        <v>166</v>
      </c>
      <c r="M63" s="15" t="s">
        <v>640</v>
      </c>
      <c r="N63" s="15" t="s">
        <v>641</v>
      </c>
      <c r="O63" s="8" t="s">
        <v>642</v>
      </c>
    </row>
    <row r="64" spans="1:15" ht="33" x14ac:dyDescent="0.3">
      <c r="A64" s="15" t="s">
        <v>227</v>
      </c>
      <c r="B64" s="24" t="s">
        <v>162</v>
      </c>
      <c r="C64" s="30" t="str">
        <f ca="1">"[" &amp; GetParamValue("RACK_AFE_NUMBER") * GetParamValue("AFE_CELL_VOLTAGE_SAMPLING_NUMBER_MAX") /2 &amp; "]"</f>
        <v>[256]</v>
      </c>
      <c r="D64" s="15" t="s">
        <v>9</v>
      </c>
      <c r="E64" s="15" t="s">
        <v>11</v>
      </c>
      <c r="F64" s="15" t="s">
        <v>12</v>
      </c>
      <c r="G64" s="15" t="s">
        <v>12</v>
      </c>
      <c r="H64" s="15" t="s">
        <v>12</v>
      </c>
      <c r="I64" s="15" t="s">
        <v>13</v>
      </c>
      <c r="J64" s="15" t="s">
        <v>55</v>
      </c>
      <c r="K64" s="15" t="s">
        <v>630</v>
      </c>
      <c r="L64" s="15" t="s">
        <v>166</v>
      </c>
      <c r="M64" s="15" t="s">
        <v>10</v>
      </c>
      <c r="N64" s="15" t="s">
        <v>643</v>
      </c>
      <c r="O64" s="8" t="s">
        <v>644</v>
      </c>
    </row>
    <row r="65" spans="1:15" x14ac:dyDescent="0.3">
      <c r="A65" s="15" t="s">
        <v>646</v>
      </c>
      <c r="B65" s="24" t="s">
        <v>162</v>
      </c>
      <c r="C65" s="30" t="str">
        <f ca="1">"[" &amp; GetParamValue("RACK_AFE_NUMBER") &amp; " 0]"</f>
        <v>[32 0]</v>
      </c>
      <c r="D65" s="15" t="s">
        <v>9</v>
      </c>
      <c r="E65" s="15" t="s">
        <v>169</v>
      </c>
      <c r="F65" s="15" t="s">
        <v>12</v>
      </c>
      <c r="G65" s="15" t="s">
        <v>12</v>
      </c>
      <c r="H65" s="15" t="s">
        <v>12</v>
      </c>
      <c r="I65" s="15" t="s">
        <v>33</v>
      </c>
      <c r="J65" s="15" t="s">
        <v>6</v>
      </c>
      <c r="K65" s="15" t="s">
        <v>6</v>
      </c>
      <c r="L65" s="15" t="s">
        <v>34</v>
      </c>
      <c r="M65" s="15" t="s">
        <v>10</v>
      </c>
      <c r="N65" s="15" t="s">
        <v>35</v>
      </c>
      <c r="O65" s="8" t="s">
        <v>645</v>
      </c>
    </row>
    <row r="66" spans="1:15" ht="33" x14ac:dyDescent="0.3">
      <c r="A66" s="15" t="s">
        <v>228</v>
      </c>
      <c r="B66" s="24" t="s">
        <v>162</v>
      </c>
      <c r="C66" s="30" t="str">
        <f ca="1">"[" &amp; REPT((GetParamValue("AFE_CELL_VOLTAGE_SAMPLING_NUMBER") &amp; " "), GetParamValue("RACK_AFE_NUMBER_MAX")) &amp; "]"</f>
        <v>[13 13 13 13 13 13 13 13 13 13 13 13 13 13 13 13 13 13 13 13 13 13 13 13 13 13 13 13 13 13 13 13 ]</v>
      </c>
      <c r="D66" s="15" t="s">
        <v>9</v>
      </c>
      <c r="E66" s="15" t="s">
        <v>169</v>
      </c>
      <c r="F66" s="15" t="s">
        <v>12</v>
      </c>
      <c r="G66" s="15" t="s">
        <v>12</v>
      </c>
      <c r="H66" s="15" t="s">
        <v>12</v>
      </c>
      <c r="I66" s="15" t="s">
        <v>33</v>
      </c>
      <c r="J66" s="15" t="s">
        <v>6</v>
      </c>
      <c r="K66" s="15" t="s">
        <v>6</v>
      </c>
      <c r="L66" s="15" t="s">
        <v>647</v>
      </c>
      <c r="M66" s="15" t="s">
        <v>10</v>
      </c>
      <c r="N66" s="15" t="s">
        <v>36</v>
      </c>
      <c r="O66" s="8" t="s">
        <v>676</v>
      </c>
    </row>
    <row r="67" spans="1:15" ht="33" x14ac:dyDescent="0.3">
      <c r="A67" s="15" t="s">
        <v>229</v>
      </c>
      <c r="B67" s="24" t="s">
        <v>162</v>
      </c>
      <c r="C67" s="30" t="str">
        <f ca="1">"[" &amp; REPT("1 2 ",GetParamValue("RACK_AFE_NUMBER_MAX")/2)  &amp; "]"</f>
        <v>[1 2 1 2 1 2 1 2 1 2 1 2 1 2 1 2 1 2 1 2 1 2 1 2 1 2 1 2 1 2 1 2 ]</v>
      </c>
      <c r="D67" s="15" t="s">
        <v>9</v>
      </c>
      <c r="E67" s="15" t="s">
        <v>169</v>
      </c>
      <c r="F67" s="15" t="s">
        <v>12</v>
      </c>
      <c r="G67" s="15" t="s">
        <v>12</v>
      </c>
      <c r="H67" s="15" t="s">
        <v>12</v>
      </c>
      <c r="I67" s="15" t="s">
        <v>33</v>
      </c>
      <c r="J67" s="15" t="s">
        <v>6</v>
      </c>
      <c r="K67" s="15" t="s">
        <v>6</v>
      </c>
      <c r="L67" s="15" t="s">
        <v>647</v>
      </c>
      <c r="M67" s="15" t="s">
        <v>10</v>
      </c>
      <c r="N67" s="15" t="s">
        <v>648</v>
      </c>
      <c r="O67" s="8" t="s">
        <v>677</v>
      </c>
    </row>
    <row r="68" spans="1:15" ht="33" x14ac:dyDescent="0.3">
      <c r="A68" s="15" t="s">
        <v>230</v>
      </c>
      <c r="B68" s="24" t="s">
        <v>162</v>
      </c>
      <c r="C68" s="30" t="str">
        <f ca="1">"[" &amp; REPT((GetParamValue("AFE_CELL_VOLTAGE_SAMPLING_NUMBER") &amp; " "), GetParamValue("RACK_AFE_NUMBER")) &amp; "]"</f>
        <v>[13 13 13 13 13 13 13 13 13 13 13 13 13 13 13 13 13 13 13 13 13 13 13 13 13 13 13 13 13 13 13 13 ]</v>
      </c>
      <c r="D68" s="15" t="s">
        <v>9</v>
      </c>
      <c r="E68" s="15" t="s">
        <v>169</v>
      </c>
      <c r="F68" s="15" t="s">
        <v>12</v>
      </c>
      <c r="G68" s="15" t="s">
        <v>12</v>
      </c>
      <c r="H68" s="15" t="s">
        <v>12</v>
      </c>
      <c r="I68" s="15" t="s">
        <v>33</v>
      </c>
      <c r="J68" s="15" t="s">
        <v>6</v>
      </c>
      <c r="K68" s="15" t="s">
        <v>6</v>
      </c>
      <c r="L68" s="15" t="s">
        <v>649</v>
      </c>
      <c r="M68" s="15" t="s">
        <v>10</v>
      </c>
      <c r="N68" s="15" t="s">
        <v>37</v>
      </c>
      <c r="O68" s="8" t="s">
        <v>650</v>
      </c>
    </row>
    <row r="69" spans="1:15" ht="49.5" x14ac:dyDescent="0.3">
      <c r="A69" s="15" t="s">
        <v>231</v>
      </c>
      <c r="B69" s="24" t="s">
        <v>162</v>
      </c>
      <c r="C69" s="30" t="str">
        <f ca="1">"[" &amp; REPT(CountMatching("MODULE_TEMPERATURE_SENSOR_SAMPLING_CHANNEL_CONFIGURATION", "&gt;=3", 1) &amp; " ", GetParamValue("RACK_MODULE_NUMBER"))  &amp; "]"</f>
        <v>[9 9 9 11 9 9 9 11 9 9 9 11 9 9 9 11 9 9 9 11 9 9 9 11 9 9 9 11 9 9 9 11 ]</v>
      </c>
      <c r="D69" s="15" t="s">
        <v>9</v>
      </c>
      <c r="E69" s="15" t="s">
        <v>169</v>
      </c>
      <c r="F69" s="15" t="s">
        <v>12</v>
      </c>
      <c r="G69" s="15" t="s">
        <v>12</v>
      </c>
      <c r="H69" s="15" t="s">
        <v>12</v>
      </c>
      <c r="I69" s="15" t="s">
        <v>33</v>
      </c>
      <c r="J69" s="15" t="s">
        <v>6</v>
      </c>
      <c r="K69" s="15" t="s">
        <v>6</v>
      </c>
      <c r="L69" s="15" t="s">
        <v>649</v>
      </c>
      <c r="M69" s="15" t="s">
        <v>10</v>
      </c>
      <c r="N69" s="15" t="s">
        <v>38</v>
      </c>
      <c r="O69" s="8" t="s">
        <v>651</v>
      </c>
    </row>
    <row r="70" spans="1:15" ht="115.5" x14ac:dyDescent="0.3">
      <c r="A70" s="15" t="s">
        <v>655</v>
      </c>
      <c r="B70" s="24" t="s">
        <v>162</v>
      </c>
      <c r="C70" s="30" t="str">
        <f ca="1">ConcatenateChannels("RACK_CELL_VOLTAGE_SAMPLING_AFE_TYPE")</f>
        <v>[1 1 1 1 1 1 1 1 1 1 1 1 1 0 0 0 1 1 1 1 1 1 1 1 1 1 1 1 1 0 0 0 1 1 1 1 1 1 1 1 1 1 1 1 1 0 0 0 1 1 1 1 1 1 1 1 1 1 1 1 1 0 0 0 1 1 1 1 1 1 1 1 1 1 1 1 1 0 0 0 1 1 1 1 1 1 1 1 1 1 1 1 1 0 0 0 1 1 1 1 1 1 1 1 1 1 1 1 1 0 0 0 1 1 1 1 1 1 1 1 1 1 1 1 1 0 0 0 1 1 1 1 1 1 1 1 1 1 1 1 1 0 0 0 1 1 1 1 1 1 1 1 1 1 1 1 1 0 0 0 1 1 1 1 1 1 1 1 1 1 1 1 1 0 0 0 1 1 1 1 1 1 1 1 1 1 1 1 1 0 0 0 1 1 1 1 1 1 1 1 1 1 1 1 1 0 0 0 1 1 1 1 1 1 1 1 1 1 1 1 1 0 0 0 1 1 1 1 1 1 1 1 1 1 1 1 1 0 0 0 1 1 1 1 1 1 1 1 1 1 1 1 1 0 0 0 1 1 1 1 1 1 1 1 1 1 1 1 1 0 0 0 1 1 1 1 1 1 1 1 1 1 1 1 1 0 0 0 1 1 1 1 1 1 1 1 1 1 1 1 1 0 0 0 1 1 1 1 1 1 1 1 1 1 1 1 1 0 0 0 1 1 1 1 1 1 1 1 1 1 1 1 1 0 0 0 1 1 1 1 1 1 1 1 1 1 1 1 1 0 0 0 1 1 1 1 1 1 1 1 1 1 1 1 1 0 0 0 1 1 1 1 1 1 1 1 1 1 1 1 1 0 0 0 1 1 1 1 1 1 1 1 1 1 1 1 1 0 0 0 1 1 1 1 1 1 1 1 1 1 1 1 1 0 0 0 1 1 1 1 1 1 1 1 1 1 1 1 1 0 0 0 1 1 1 1 1 1 1 1 1 1 1 1 1 0 0 0 1 1 1 1 1 1 1 1 1 1 1 1 1 0 0 0 1 1 1 1 1 1 1 1 1 1 1 1 1 0 0 0 1 1 1 1 1 1 1 1 1 1 1 1 1 0 0 0 1 1 1 1 1 1 1 1 1 1 1 1 1 0 0 0]</v>
      </c>
      <c r="D70" s="15" t="s">
        <v>9</v>
      </c>
      <c r="E70" s="15" t="s">
        <v>169</v>
      </c>
      <c r="F70" s="15" t="s">
        <v>12</v>
      </c>
      <c r="G70" s="15" t="s">
        <v>12</v>
      </c>
      <c r="H70" s="15" t="s">
        <v>12</v>
      </c>
      <c r="I70" s="15" t="s">
        <v>33</v>
      </c>
      <c r="J70" s="15" t="s">
        <v>54</v>
      </c>
      <c r="K70" s="15" t="s">
        <v>55</v>
      </c>
      <c r="L70" s="15" t="s">
        <v>653</v>
      </c>
      <c r="M70" s="15" t="s">
        <v>654</v>
      </c>
      <c r="N70" s="15" t="s">
        <v>652</v>
      </c>
      <c r="O70" s="8" t="s">
        <v>669</v>
      </c>
    </row>
    <row r="71" spans="1:15" ht="66" x14ac:dyDescent="0.3">
      <c r="A71" s="15" t="s">
        <v>660</v>
      </c>
      <c r="B71" s="24" t="s">
        <v>162</v>
      </c>
      <c r="C71" s="30" t="str">
        <f ca="1">CellSampleIndex("RACK_CELL_VOLTAGE_SAMPLING_FLAG_FOR_ALL_AFE_CHANNEL")</f>
        <v>[0 1 2 3 4 5 6 7 8 9 10 11 12 16 17 18 19 20 21 22 23 24 25 26 27 28 32 33 34 35 36 37 38 39 40 41 42 43 44 48 49 50 51 52 53 54 55 56 57 58 59 60 64 65 66 67 68 69 70 71 72 73 74 75 76 80 81 82 83 84 85 86 87 88 89 90 91 92 96 97 98 99 100 101 102 103 104 105 106 107 108 112 113 114 115 116 117 118 119 120 121 122 123 124 128 129 130 131 132 133 134 135 136 137 138 139 140 144 145 146 147 148 149 150 151 152 153 154 155 156 160 161 162 163 164 165 166 167 168 169 170 171 172 176 177 178 179 180 181 182 183 184 185 186 187 188 192 193 194 195 196 197 198 199 200 201 202 203 204 208 209 210 211 212 213 214 215 216 217 218 219 220 224 225 226 227 228 229 230 231 232 233 234 235 236 240 241 242 243 244 245 246 247 248 249 250 251 252 256 257 258 259 260 261 262 263 264 265 266 267 268 272 273 274 275 276 277 278 279 280 281 282 283 284 288 289 290 291 292 293 294 295 296 297 298 299 300 304 305 306 307 308 309 310 311 312 313 314 315 316 320 321 322 323 324 325 326 327 328 329 330 331 332 336 337 338 339 340 341 342 343 344 345 346 347 348 352 353 354 355 356 357 358 359 360 361 362 363 364 368 369 370 371 372 373 374 375 376 377 378 379 380 384 385 386 387 388 389 390 391 392 393 394 395 396 400 401 402 403 404 405 406 407 408 409 410 411 412 416 417 418 419 420 421 422 423 424 425 426 427 428 432 433 434 435 436 437 438 439 440 441 442 443 444 448 449 450 451 452 453 454 455 456 457 458 459 460 464 465 466 467 468 469 470 471 472 473 474 475 476 480 481 482 483 484 485 486 487 488 489 490 491 492 496 497 498 499 500 501 502 503 504 505 506 507 508]</v>
      </c>
      <c r="D71" s="15" t="s">
        <v>9</v>
      </c>
      <c r="E71" s="15" t="s">
        <v>169</v>
      </c>
      <c r="F71" s="15" t="s">
        <v>12</v>
      </c>
      <c r="G71" s="15" t="s">
        <v>12</v>
      </c>
      <c r="H71" s="15" t="s">
        <v>12</v>
      </c>
      <c r="I71" s="15" t="s">
        <v>183</v>
      </c>
      <c r="J71" s="15" t="s">
        <v>54</v>
      </c>
      <c r="K71" s="15" t="s">
        <v>659</v>
      </c>
      <c r="L71" s="15" t="s">
        <v>657</v>
      </c>
      <c r="M71" s="15" t="s">
        <v>10</v>
      </c>
      <c r="N71" s="15" t="s">
        <v>656</v>
      </c>
      <c r="O71" s="8" t="s">
        <v>658</v>
      </c>
    </row>
    <row r="72" spans="1:15" ht="49.5" x14ac:dyDescent="0.3">
      <c r="A72" s="15" t="s">
        <v>663</v>
      </c>
      <c r="B72" s="24" t="s">
        <v>162</v>
      </c>
      <c r="C72" s="30" t="str">
        <f ca="1">CellOddEvenFlag()</f>
        <v>[0 1 0 1 0 1 0 1 0 1 0 1 0 0 1 0 1 0 1 0 1 0 1 0 1 0 0 1 0 1 0 1 0 1 0 1 0 1 0 0 1 0 1 0 1 0 1 0 1 0 1 0 0 1 0 1 0 1 0 1 0 1 0 1 0 0 1 0 1 0 1 0 1 0 1 0 1 0 0 1 0 1 0 1 0 1 0 1 0 1 0 0 1 0 1 0 1 0 1 0 1 0 1 0 0 1 0 1 0 1 0 1 0 1 0 1 0 0 1 0 1 0 1 0 1 0 1 0 1 0 0 1 0 1 0 1 0 1 0 1 0 1 0 0 1 0 1 0 1 0 1 0 1 0 1 0 0 1 0 1 0 1 0 1 0 1 0 1 0 0 1 0 1 0 1 0 1 0 1 0 1 0 0 1 0 1 0 1 0 1 0 1 0 1 0 0 1 0 1 0 1 0 1 0 1 0 1 0 0 1 0 1 0 1 0 1 0 1 0 1 0 0 1 0 1 0 1 0 1 0 1 0 1 0 0 1 0 1 0 1 0 1 0 1 0 1 0 0 1 0 1 0 1 0 1 0 1 0 1 0 0 1 0 1 0 1 0 1 0 1 0 1 0 0 1 0 1 0 1 0 1 0 1 0 1 0 0 1 0 1 0 1 0 1 0 1 0 1 0 0 1 0 1 0 1 0 1 0 1 0 1 0 0 1 0 1 0 1 0 1 0 1 0 1 0 0 1 0 1 0 1 0 1 0 1 0 1 0 0 1 0 1 0 1 0 1 0 1 0 1 0 0 1 0 1 0 1 0 1 0 1 0 1 0 0 1 0 1 0 1 0 1 0 1 0 1 0 0 1 0 1 0 1 0 1 0 1 0 1 0 0 1 0 1 0 1 0 1 0 1 0 1 0 0 1 0 1 0 1 0 1 0 1 0 1 0]</v>
      </c>
      <c r="D72" s="15" t="s">
        <v>9</v>
      </c>
      <c r="E72" s="15" t="s">
        <v>169</v>
      </c>
      <c r="F72" s="15" t="s">
        <v>12</v>
      </c>
      <c r="G72" s="15" t="s">
        <v>12</v>
      </c>
      <c r="H72" s="15" t="s">
        <v>12</v>
      </c>
      <c r="I72" s="15" t="s">
        <v>33</v>
      </c>
      <c r="J72" s="15" t="s">
        <v>54</v>
      </c>
      <c r="K72" s="15" t="s">
        <v>55</v>
      </c>
      <c r="L72" s="15" t="s">
        <v>657</v>
      </c>
      <c r="M72" s="15" t="s">
        <v>654</v>
      </c>
      <c r="N72" s="15" t="s">
        <v>661</v>
      </c>
      <c r="O72" s="8" t="s">
        <v>662</v>
      </c>
    </row>
    <row r="73" spans="1:15" x14ac:dyDescent="0.3">
      <c r="A73" s="15" t="s">
        <v>251</v>
      </c>
      <c r="B73" s="24" t="s">
        <v>162</v>
      </c>
      <c r="C73" s="30" t="str">
        <f ca="1">"[" &amp; 4*GetParamValue("RACK_AFE_NUMBER") &amp; "]"</f>
        <v>[128]</v>
      </c>
      <c r="D73" s="15" t="s">
        <v>9</v>
      </c>
      <c r="E73" s="15" t="s">
        <v>11</v>
      </c>
      <c r="F73" s="15" t="s">
        <v>12</v>
      </c>
      <c r="G73" s="15" t="s">
        <v>12</v>
      </c>
      <c r="H73" s="15" t="s">
        <v>12</v>
      </c>
      <c r="I73" s="15" t="s">
        <v>13</v>
      </c>
      <c r="J73" s="15" t="s">
        <v>55</v>
      </c>
      <c r="K73" s="15" t="s">
        <v>28</v>
      </c>
      <c r="L73" s="15" t="s">
        <v>166</v>
      </c>
      <c r="M73" s="15" t="s">
        <v>10</v>
      </c>
      <c r="N73" s="15" t="s">
        <v>249</v>
      </c>
      <c r="O73" s="8" t="s">
        <v>664</v>
      </c>
    </row>
    <row r="74" spans="1:15" ht="49.5" x14ac:dyDescent="0.3">
      <c r="A74" s="15" t="s">
        <v>254</v>
      </c>
      <c r="B74" s="24" t="s">
        <v>162</v>
      </c>
      <c r="C74" s="30" t="str">
        <f ca="1">"[" &amp; 2* GetParamValue("RACK_MODULE_NUMBER") &amp; "]"</f>
        <v>[16]</v>
      </c>
      <c r="D74" s="15" t="s">
        <v>9</v>
      </c>
      <c r="E74" s="15" t="s">
        <v>11</v>
      </c>
      <c r="F74" s="15" t="s">
        <v>12</v>
      </c>
      <c r="G74" s="15" t="s">
        <v>12</v>
      </c>
      <c r="H74" s="15" t="s">
        <v>12</v>
      </c>
      <c r="I74" s="15" t="s">
        <v>13</v>
      </c>
      <c r="J74" s="15" t="s">
        <v>55</v>
      </c>
      <c r="K74" s="15" t="s">
        <v>250</v>
      </c>
      <c r="L74" s="15" t="s">
        <v>166</v>
      </c>
      <c r="M74" s="15" t="s">
        <v>10</v>
      </c>
      <c r="N74" s="15" t="s">
        <v>252</v>
      </c>
      <c r="O74" s="8" t="s">
        <v>253</v>
      </c>
    </row>
    <row r="75" spans="1:15" ht="33" x14ac:dyDescent="0.3">
      <c r="A75" s="15" t="s">
        <v>263</v>
      </c>
      <c r="B75" s="24" t="s">
        <v>162</v>
      </c>
      <c r="C75" s="30" t="str">
        <f ca="1">"[" &amp; GetParamValue("TOTAL_TEMPERATURE_SENSOR_NUMBER_PER_RACK_BMS") / GetParamValue("RACK_MODULE_NUMBER") &amp; "]"</f>
        <v>[38]</v>
      </c>
      <c r="D75" s="15" t="s">
        <v>9</v>
      </c>
      <c r="E75" s="15" t="s">
        <v>11</v>
      </c>
      <c r="F75" s="15" t="s">
        <v>12</v>
      </c>
      <c r="G75" s="15" t="s">
        <v>12</v>
      </c>
      <c r="H75" s="15" t="s">
        <v>12</v>
      </c>
      <c r="I75" s="15" t="s">
        <v>13</v>
      </c>
      <c r="J75" s="15" t="s">
        <v>55</v>
      </c>
      <c r="K75" s="15" t="s">
        <v>250</v>
      </c>
      <c r="L75" s="15" t="s">
        <v>166</v>
      </c>
      <c r="M75" s="15" t="s">
        <v>10</v>
      </c>
      <c r="N75" s="15" t="s">
        <v>261</v>
      </c>
      <c r="O75" s="8" t="s">
        <v>262</v>
      </c>
    </row>
    <row r="76" spans="1:15" ht="33" x14ac:dyDescent="0.3">
      <c r="A76" s="15" t="s">
        <v>1495</v>
      </c>
      <c r="B76" s="24" t="s">
        <v>162</v>
      </c>
      <c r="C76" s="30" t="str">
        <f ca="1">"[" &amp; TextJoinArrayCompat(" ", TRUE, AppendArray(SheetColumnContainsArray("FaultList","EnableFault", "0"), 1,GetParamValue("FAULT_NUMBER_RESERVED"))) &amp; "]"</f>
        <v>[0 0 0 0 0 0 0 0 0 0 0 0 0 0 0 0 0 0 0 1 1 0 0 0 0 0 0 0 0 0 0 0 1 0 0 1 0 0 0 0 0 0 0 0 0 0 0 0 0 0 0 0 0 0 0 0 0 0 0 0 0 0 0 0 0 0 0 0 0 0 0 0 0 0 0 0 0 1 0 0 0 0 0 0 0 1 0 0 0 0 1 1 0 1 1 0 0 0 0 0 0 0 0 0 0 0 0 0 0 0 0 0 0 0 0 0 0 0 0 0 1 1 1 0 0 0 0 0 0 0 0 0 0 0 0 0 0 0 0 0 0 0 1 0 0 0 0 0 0 0 0 0 0 0 0 0 0 1 1 1 1 1 1 1 1 1 1 1 1 1 0 1 1 1 1 1 1 1 1 1 1 1 1 1 1 1 1 1 1 1 1 1 1 1 1 1 1 1 1 1]</v>
      </c>
      <c r="D76" s="15" t="s">
        <v>9</v>
      </c>
      <c r="E76" s="15" t="s">
        <v>169</v>
      </c>
      <c r="I76" s="15" t="s">
        <v>1492</v>
      </c>
      <c r="J76" s="15" t="s">
        <v>54</v>
      </c>
      <c r="K76" s="15" t="s">
        <v>55</v>
      </c>
      <c r="L76" s="15" t="s">
        <v>1529</v>
      </c>
      <c r="M76" s="15" t="s">
        <v>202</v>
      </c>
      <c r="N76" s="15" t="s">
        <v>1493</v>
      </c>
      <c r="O76" s="8" t="s">
        <v>1494</v>
      </c>
    </row>
    <row r="77" spans="1:15" ht="33" x14ac:dyDescent="0.3">
      <c r="A77" s="15" t="s">
        <v>1498</v>
      </c>
      <c r="B77" s="24" t="s">
        <v>162</v>
      </c>
      <c r="C77" s="30" t="str">
        <f ca="1">"[" &amp; TextJoinArrayCompat(" ", TRUE, AppendArray(SheetColumnContainsArray("FaultList","EnableFault", "0"), 1,GetParamValue("FAULT_NUMBER_RESERVED"))) &amp; "]"</f>
        <v>[0 0 0 0 0 0 0 0 0 0 0 0 0 0 0 0 0 0 0 1 1 0 0 0 0 0 0 0 0 0 0 0 1 0 0 1 0 0 0 0 0 0 0 0 0 0 0 0 0 0 0 0 0 0 0 0 0 0 0 0 0 0 0 0 0 0 0 0 0 0 0 0 0 0 0 0 0 1 0 0 0 0 0 0 0 1 0 0 0 0 1 1 0 1 1 0 0 0 0 0 0 0 0 0 0 0 0 0 0 0 0 0 0 0 0 0 0 0 0 0 1 1 1 0 0 0 0 0 0 0 0 0 0 0 0 0 0 0 0 0 0 0 1 0 0 0 0 0 0 0 0 0 0 0 0 0 0 1 1 1 1 1 1 1 1 1 1 1 1 1 0 1 1 1 1 1 1 1 1 1 1 1 1 1 1 1 1 1 1 1 1 1 1 1 1 1 1 1 1 1]</v>
      </c>
      <c r="D77" s="15" t="s">
        <v>9</v>
      </c>
      <c r="E77" s="15" t="s">
        <v>1496</v>
      </c>
      <c r="I77" s="15" t="s">
        <v>1492</v>
      </c>
      <c r="J77" s="15" t="s">
        <v>54</v>
      </c>
      <c r="K77" s="15" t="s">
        <v>55</v>
      </c>
      <c r="L77" s="15" t="s">
        <v>1530</v>
      </c>
      <c r="M77" s="15" t="s">
        <v>202</v>
      </c>
      <c r="N77" s="15" t="s">
        <v>1497</v>
      </c>
      <c r="O77" s="8" t="s">
        <v>1494</v>
      </c>
    </row>
    <row r="78" spans="1:15" ht="33" x14ac:dyDescent="0.3">
      <c r="A78" s="15" t="s">
        <v>1501</v>
      </c>
      <c r="B78" s="24" t="s">
        <v>162</v>
      </c>
      <c r="C78" s="30" t="str">
        <f ca="1">"[" &amp; TextJoinArrayCompat(" ", TRUE, AppendArray(SheetColumnContainsArray("FaultList","FaultDeassertCriteria", "下电"), 0,GetParamValue("FAULT_NUMBER_RESERVED"))) &amp; "]"</f>
        <v>[1 1 1 1 0 1 1 1 1 1 1 1 1 1 1 1 1 1 0 1 1 1 0 0 1 0 0 1 0 0 0 0 0 1 0 1 1 0 0 1 0 0 1 0 0 1 0 0 0 1 0 0 0 0 0 0 1 0 0 0 1 1 1 1 1 1 0 1 0 0 1 1 0 0 1 1 0 1 1 1 1 1 1 0 0 0 0 1 1 1 0 0 0 0 0 0 0 0 1 0 0 1 0 0 1 0 0 1 0 0 1 0 0 1 0 0 0 1 0 1 1 1 0 0 0 0 1 1 1 0 1 1 1 1 1 1 1 1 1 1 1 1 1 0 1 1 0 0 1 1 1 0 0 1 1 1 1 0 1 1 1 1 0 1 1 0 1 1 1 0 0 1 0 0 0 0 0 0 0 0 0 0 0 0 0 0 0 0 0 0 0 0 0 0 0 0 0 0 0 0]</v>
      </c>
      <c r="D78" s="15" t="s">
        <v>9</v>
      </c>
      <c r="E78" s="15" t="s">
        <v>169</v>
      </c>
      <c r="I78" s="15" t="s">
        <v>1492</v>
      </c>
      <c r="J78" s="15" t="s">
        <v>54</v>
      </c>
      <c r="K78" s="15" t="s">
        <v>55</v>
      </c>
      <c r="L78" s="15" t="s">
        <v>1531</v>
      </c>
      <c r="M78" s="15" t="s">
        <v>202</v>
      </c>
      <c r="N78" s="15" t="s">
        <v>1499</v>
      </c>
      <c r="O78" s="8" t="s">
        <v>1500</v>
      </c>
    </row>
    <row r="79" spans="1:15" ht="33" x14ac:dyDescent="0.3">
      <c r="A79" s="15" t="s">
        <v>1503</v>
      </c>
      <c r="B79" s="24" t="s">
        <v>162</v>
      </c>
      <c r="C79" s="30" t="str">
        <f ca="1">"[" &amp; TextJoinArrayCompat(" ", TRUE, AppendArray(SheetColumnContainsArray("FaultList","FaultDeassertCriteria", "下电"), 0,GetParamValue("FAULT_NUMBER_RESERVED"))) &amp; "]"</f>
        <v>[1 1 1 1 0 1 1 1 1 1 1 1 1 1 1 1 1 1 0 1 1 1 0 0 1 0 0 1 0 0 0 0 0 1 0 1 1 0 0 1 0 0 1 0 0 1 0 0 0 1 0 0 0 0 0 0 1 0 0 0 1 1 1 1 1 1 0 1 0 0 1 1 0 0 1 1 0 1 1 1 1 1 1 0 0 0 0 1 1 1 0 0 0 0 0 0 0 0 1 0 0 1 0 0 1 0 0 1 0 0 1 0 0 1 0 0 0 1 0 1 1 1 0 0 0 0 1 1 1 0 1 1 1 1 1 1 1 1 1 1 1 1 1 0 1 1 0 0 1 1 1 0 0 1 1 1 1 0 1 1 1 1 0 1 1 0 1 1 1 0 0 1 0 0 0 0 0 0 0 0 0 0 0 0 0 0 0 0 0 0 0 0 0 0 0 0 0 0 0 0]</v>
      </c>
      <c r="D79" s="15" t="s">
        <v>9</v>
      </c>
      <c r="E79" s="15" t="s">
        <v>1496</v>
      </c>
      <c r="I79" s="15" t="s">
        <v>1492</v>
      </c>
      <c r="J79" s="15" t="s">
        <v>54</v>
      </c>
      <c r="K79" s="15" t="s">
        <v>55</v>
      </c>
      <c r="L79" s="15" t="s">
        <v>1532</v>
      </c>
      <c r="M79" s="15" t="s">
        <v>202</v>
      </c>
      <c r="N79" s="15" t="s">
        <v>1502</v>
      </c>
      <c r="O79" s="8" t="s">
        <v>1500</v>
      </c>
    </row>
    <row r="80" spans="1:15" x14ac:dyDescent="0.3">
      <c r="A80" s="15" t="s">
        <v>1508</v>
      </c>
      <c r="B80" s="24" t="s">
        <v>162</v>
      </c>
      <c r="C80" s="30" t="str">
        <f>"[" &amp; TextJoinArrayCompat(" ", TRUE,GetColumnArray("FaultList","ChargeSOPCoef(%)")) &amp; "]"</f>
        <v>[0 0 0 0 100 0 50 0 0 0 0 0 0 0 0 0 50 0 100 100 0 0 0 100 0 100 100 0 50 100 0 0 100 0 100 0 0 0 100 0 100 100 0 50 100 0 50 100 0 0 50 100 0 0 50 100 0 0 50 100 0 0 0 0 0 0 50 0 50 100 100 50 50 100 0 0 0 0 0 0 0 0 0 0 100 100 100 0 50 100 0 100 100 100 100 0 50 100 0 50 100 0 50 100 0 100 100 0 100 100 0 0 100 0 100 100 0 0 0 0 100 100 100 0 0 0 0 0 0 0 0 0 0 0 0 0 0 0 0 0 0 0 0 100 0 0 50 100 100 100 0 50 100 0 0 0 0 100 0 0 0 0 50 0 0 100 0 0 0 100 50 0]</v>
      </c>
      <c r="D80" s="15" t="s">
        <v>9</v>
      </c>
      <c r="E80" s="15" t="s">
        <v>169</v>
      </c>
      <c r="I80" s="15" t="s">
        <v>33</v>
      </c>
      <c r="J80" s="15" t="s">
        <v>54</v>
      </c>
      <c r="K80" s="15" t="s">
        <v>250</v>
      </c>
      <c r="L80" s="15" t="s">
        <v>1505</v>
      </c>
      <c r="M80" s="15" t="s">
        <v>1506</v>
      </c>
      <c r="N80" s="15" t="s">
        <v>1504</v>
      </c>
      <c r="O80" s="8" t="s">
        <v>1507</v>
      </c>
    </row>
    <row r="81" spans="1:15" x14ac:dyDescent="0.3">
      <c r="A81" s="15" t="s">
        <v>1511</v>
      </c>
      <c r="B81" s="24" t="s">
        <v>162</v>
      </c>
      <c r="C81" s="30" t="str">
        <f>"[" &amp; TextJoinArrayCompat(" ",TRUE, GetColumnArray("FaultList","DischargeSOPCoef(%)")) &amp; "]"</f>
        <v>[0 0 0 0 100 0 50 0 0 0 0 0 0 0 0 0 50 0 100 100 0 0 100 100 0 0 100 0 50 100 0 0 100 0 100 0 0 100 100 0 0 100 0 50 100 0 50 100 0 0 50 100 0 0 50 100 0 0 50 100 0 0 0 0 0 0 50 0 50 100 100 50 50 100 0 0 0 0 0 0 0 0 0 0 100 100 100 0 50 100 0 100 100 100 100 0 50 100 0 50 100 0 50 100 0 100 100 0 100 100 0 100 100 0 0 100 0 0 0 0 100 100 100 0 0 0 0 0 0 0 0 0 0 0 0 0 0 0 0 0 0 0 0 100 0 0 50 100 100 100 0 50 100 0 0 0 0 100 0 0 0 0 50 0 0 100 0 0 0 100 50 0]</v>
      </c>
      <c r="D81" s="15" t="s">
        <v>9</v>
      </c>
      <c r="E81" s="15" t="s">
        <v>169</v>
      </c>
      <c r="I81" s="15" t="s">
        <v>33</v>
      </c>
      <c r="J81" s="15" t="s">
        <v>54</v>
      </c>
      <c r="K81" s="15" t="s">
        <v>250</v>
      </c>
      <c r="L81" s="15" t="s">
        <v>1505</v>
      </c>
      <c r="M81" s="15" t="s">
        <v>1506</v>
      </c>
      <c r="N81" s="15" t="s">
        <v>1509</v>
      </c>
      <c r="O81" s="8" t="s">
        <v>1510</v>
      </c>
    </row>
    <row r="82" spans="1:15" x14ac:dyDescent="0.3">
      <c r="A82" s="15" t="s">
        <v>1514</v>
      </c>
      <c r="B82" s="24" t="s">
        <v>162</v>
      </c>
      <c r="C82" s="30" t="str">
        <f>"[" &amp; TextJoinArrayCompat(" ", TRUE,GetColumnArray("FaultList","FaultLevel")) &amp; "]"</f>
        <v>[1 1 1 1 3 1 2 1 1 1 1 1 1 1 1 1 2 1 3 3 1 1 2 3 1 2 3 1 2 3 1 1 3 1 3 1 1 2 3 1 2 3 1 2 3 1 2 3 1 1 2 3 1 1 2 3 1 1 2 3 1 1 1 1 1 1 2 1 2 3 3 2 2 3 1 1 1 1 1 1 1 1 1 1 3 3 3 1 2 3 1 3 3 3 3 1 2 3 1 2 3 1 2 3 1 2 3 1 2 3 1 2 3 1 2 3 1 1 1 1 3 3 3 1 1 1 1 1 1 1 1 1 1 1 1 1 1 1 1 1 1 1 1 3 1 1 2 3 3 3 1 2 3 1 1 1 1 3 1 1 1 1 2 1 1 3 1 1 1 3 2 1]</v>
      </c>
      <c r="D82" s="15" t="s">
        <v>9</v>
      </c>
      <c r="E82" s="15" t="s">
        <v>169</v>
      </c>
      <c r="I82" s="15" t="s">
        <v>33</v>
      </c>
      <c r="J82" s="15" t="s">
        <v>54</v>
      </c>
      <c r="K82" s="15" t="s">
        <v>250</v>
      </c>
      <c r="L82" s="15" t="s">
        <v>1505</v>
      </c>
      <c r="M82" s="15" t="s">
        <v>202</v>
      </c>
      <c r="N82" s="15" t="s">
        <v>1512</v>
      </c>
      <c r="O82" s="8" t="s">
        <v>1513</v>
      </c>
    </row>
    <row r="83" spans="1:15" x14ac:dyDescent="0.3">
      <c r="A83" s="15" t="s">
        <v>1517</v>
      </c>
      <c r="B83" s="24" t="s">
        <v>162</v>
      </c>
      <c r="C83" s="30" t="str">
        <f>"[" &amp; COLUMNS(GetColumnArray("FaultList","FaultLevel") )&amp; "]"</f>
        <v>[172]</v>
      </c>
      <c r="D83" s="15" t="s">
        <v>9</v>
      </c>
      <c r="E83" s="15" t="s">
        <v>11</v>
      </c>
      <c r="I83" s="15" t="s">
        <v>13</v>
      </c>
      <c r="J83" s="15" t="s">
        <v>54</v>
      </c>
      <c r="K83" s="15" t="s">
        <v>141</v>
      </c>
      <c r="L83" s="15" t="s">
        <v>166</v>
      </c>
      <c r="M83" s="15" t="s">
        <v>10</v>
      </c>
      <c r="N83" s="15" t="s">
        <v>1515</v>
      </c>
      <c r="O83" s="8" t="s">
        <v>1516</v>
      </c>
    </row>
    <row r="84" spans="1:15" x14ac:dyDescent="0.3">
      <c r="A84" s="15" t="s">
        <v>1520</v>
      </c>
      <c r="B84" s="24" t="s">
        <v>162</v>
      </c>
      <c r="C84" s="30" t="str">
        <f ca="1">"[" &amp; GetParamValue("FAULT_TOTAL_NUMBER") - GetParamValue("FAULT_NUMBER_USED") &amp; "]"</f>
        <v>[28]</v>
      </c>
      <c r="D84" s="15" t="s">
        <v>9</v>
      </c>
      <c r="E84" s="15" t="s">
        <v>11</v>
      </c>
      <c r="I84" s="15" t="s">
        <v>13</v>
      </c>
      <c r="J84" s="15" t="s">
        <v>54</v>
      </c>
      <c r="K84" s="15" t="s">
        <v>141</v>
      </c>
      <c r="L84" s="15" t="s">
        <v>166</v>
      </c>
      <c r="M84" s="15" t="s">
        <v>10</v>
      </c>
      <c r="N84" s="15" t="s">
        <v>1518</v>
      </c>
      <c r="O84" s="8" t="s">
        <v>1519</v>
      </c>
    </row>
  </sheetData>
  <protectedRanges>
    <protectedRange sqref="C29:C31 C2:C27" name="可修改"/>
    <protectedRange sqref="C34:C35" name="可修改_1"/>
    <protectedRange sqref="C32" name="可修改_2"/>
    <protectedRange sqref="C28" name="可修改_3"/>
  </protectedRanges>
  <phoneticPr fontId="2" type="noConversion"/>
  <conditionalFormatting sqref="A45">
    <cfRule type="duplicateValues" dxfId="0"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173"/>
  <sheetViews>
    <sheetView showGridLines="0" zoomScaleNormal="100" workbookViewId="0">
      <pane ySplit="1" topLeftCell="A2" activePane="bottomLeft" state="frozen"/>
      <selection pane="bottomLeft" activeCell="B2" sqref="B2"/>
    </sheetView>
  </sheetViews>
  <sheetFormatPr defaultColWidth="9.125" defaultRowHeight="16.5" x14ac:dyDescent="0.2"/>
  <cols>
    <col min="1" max="1" width="13.875" style="2" customWidth="1"/>
    <col min="2" max="2" width="176.625" style="2" customWidth="1"/>
    <col min="3" max="3" width="74.5" style="2" customWidth="1"/>
    <col min="4" max="4" width="78.375" style="2" bestFit="1" customWidth="1"/>
    <col min="5" max="5" width="181.375" style="2" customWidth="1"/>
    <col min="6" max="6" width="59.875" style="2" customWidth="1"/>
    <col min="7" max="7" width="112.375" style="2" customWidth="1"/>
    <col min="8" max="8" width="56.5" style="2" customWidth="1"/>
    <col min="9" max="9" width="12.375" style="2" customWidth="1"/>
    <col min="10" max="10" width="8.125" style="2" customWidth="1"/>
    <col min="11" max="11" width="10.875" style="2" customWidth="1"/>
    <col min="12" max="12" width="19.75" style="2" customWidth="1"/>
    <col min="13" max="13" width="22.375" style="2" customWidth="1"/>
    <col min="14" max="14" width="29.375" style="2" customWidth="1"/>
    <col min="15" max="16384" width="9.125" style="2"/>
  </cols>
  <sheetData>
    <row r="1" spans="1:14" x14ac:dyDescent="0.2">
      <c r="A1" s="2" t="s">
        <v>750</v>
      </c>
      <c r="B1" s="2" t="s">
        <v>751</v>
      </c>
      <c r="C1" s="2" t="s">
        <v>752</v>
      </c>
      <c r="D1" s="2" t="s">
        <v>753</v>
      </c>
      <c r="E1" s="2" t="s">
        <v>754</v>
      </c>
      <c r="F1" s="2" t="s">
        <v>755</v>
      </c>
      <c r="G1" s="2" t="s">
        <v>756</v>
      </c>
      <c r="H1" s="2" t="s">
        <v>757</v>
      </c>
      <c r="I1" s="2" t="s">
        <v>758</v>
      </c>
      <c r="J1" s="2" t="s">
        <v>759</v>
      </c>
      <c r="K1" s="2" t="s">
        <v>760</v>
      </c>
      <c r="L1" s="2" t="s">
        <v>761</v>
      </c>
      <c r="M1" s="2" t="s">
        <v>762</v>
      </c>
      <c r="N1" s="2" t="s">
        <v>763</v>
      </c>
    </row>
    <row r="2" spans="1:14" ht="132" x14ac:dyDescent="0.2">
      <c r="A2" s="2" t="s">
        <v>764</v>
      </c>
      <c r="B2" s="2" t="s">
        <v>765</v>
      </c>
      <c r="C2" s="2" t="s">
        <v>766</v>
      </c>
      <c r="D2" s="2" t="s">
        <v>767</v>
      </c>
      <c r="E2" s="31" t="s">
        <v>768</v>
      </c>
      <c r="F2" s="2" t="s">
        <v>769</v>
      </c>
      <c r="G2" s="2" t="s">
        <v>770</v>
      </c>
      <c r="H2" s="2" t="s">
        <v>40</v>
      </c>
      <c r="I2" s="2">
        <v>1</v>
      </c>
      <c r="J2" s="2">
        <v>0</v>
      </c>
      <c r="K2" s="2">
        <v>1</v>
      </c>
      <c r="L2" s="2">
        <v>0</v>
      </c>
      <c r="M2" s="2">
        <v>0</v>
      </c>
    </row>
    <row r="3" spans="1:14" x14ac:dyDescent="0.2">
      <c r="A3" s="2" t="s">
        <v>764</v>
      </c>
      <c r="B3" s="2" t="s">
        <v>771</v>
      </c>
      <c r="C3" s="2" t="s">
        <v>772</v>
      </c>
      <c r="D3" s="2" t="s">
        <v>773</v>
      </c>
      <c r="E3" s="2" t="s">
        <v>774</v>
      </c>
      <c r="F3" s="2" t="s">
        <v>775</v>
      </c>
      <c r="G3" s="2" t="s">
        <v>770</v>
      </c>
      <c r="H3" s="2" t="s">
        <v>40</v>
      </c>
      <c r="I3" s="2">
        <v>1</v>
      </c>
      <c r="J3" s="2">
        <v>1</v>
      </c>
      <c r="K3" s="2">
        <v>1</v>
      </c>
      <c r="L3" s="2">
        <v>0</v>
      </c>
      <c r="M3" s="2">
        <v>0</v>
      </c>
    </row>
    <row r="4" spans="1:14" x14ac:dyDescent="0.2">
      <c r="A4" s="2" t="s">
        <v>764</v>
      </c>
      <c r="B4" s="2" t="s">
        <v>776</v>
      </c>
      <c r="C4" s="2" t="s">
        <v>777</v>
      </c>
      <c r="D4" s="2" t="s">
        <v>773</v>
      </c>
      <c r="E4" s="2" t="s">
        <v>778</v>
      </c>
      <c r="F4" s="2" t="s">
        <v>779</v>
      </c>
      <c r="G4" s="2" t="s">
        <v>770</v>
      </c>
      <c r="H4" s="2" t="s">
        <v>40</v>
      </c>
      <c r="I4" s="2">
        <v>1</v>
      </c>
      <c r="J4" s="2">
        <v>2</v>
      </c>
      <c r="K4" s="2">
        <v>1</v>
      </c>
      <c r="L4" s="2">
        <v>0</v>
      </c>
      <c r="M4" s="2">
        <v>0</v>
      </c>
    </row>
    <row r="5" spans="1:14" ht="33" x14ac:dyDescent="0.2">
      <c r="A5" s="2" t="s">
        <v>764</v>
      </c>
      <c r="B5" s="2" t="s">
        <v>780</v>
      </c>
      <c r="C5" s="2" t="s">
        <v>781</v>
      </c>
      <c r="D5" s="31" t="s">
        <v>782</v>
      </c>
      <c r="E5" s="2" t="s">
        <v>783</v>
      </c>
      <c r="F5" s="2" t="s">
        <v>784</v>
      </c>
      <c r="G5" s="2" t="s">
        <v>770</v>
      </c>
      <c r="H5" s="2" t="s">
        <v>40</v>
      </c>
      <c r="I5" s="2">
        <v>1</v>
      </c>
      <c r="J5" s="2">
        <v>3</v>
      </c>
      <c r="K5" s="2">
        <v>1</v>
      </c>
      <c r="L5" s="2">
        <v>0</v>
      </c>
      <c r="M5" s="2">
        <v>0</v>
      </c>
    </row>
    <row r="6" spans="1:14" x14ac:dyDescent="0.2">
      <c r="A6" s="2" t="s">
        <v>764</v>
      </c>
      <c r="B6" s="2" t="s">
        <v>785</v>
      </c>
      <c r="C6" s="2" t="s">
        <v>786</v>
      </c>
      <c r="D6" s="2" t="s">
        <v>773</v>
      </c>
      <c r="E6" s="2" t="s">
        <v>787</v>
      </c>
      <c r="F6" s="2" t="s">
        <v>788</v>
      </c>
      <c r="G6" s="2" t="s">
        <v>789</v>
      </c>
      <c r="H6" s="2" t="s">
        <v>790</v>
      </c>
      <c r="I6" s="2">
        <v>1</v>
      </c>
      <c r="J6" s="2">
        <v>4</v>
      </c>
      <c r="K6" s="2">
        <v>3</v>
      </c>
      <c r="L6" s="2">
        <v>100</v>
      </c>
      <c r="M6" s="2">
        <v>100</v>
      </c>
    </row>
    <row r="7" spans="1:14" x14ac:dyDescent="0.2">
      <c r="A7" s="2" t="s">
        <v>764</v>
      </c>
      <c r="B7" s="2" t="s">
        <v>791</v>
      </c>
      <c r="C7" s="2" t="s">
        <v>792</v>
      </c>
      <c r="D7" s="2" t="s">
        <v>773</v>
      </c>
      <c r="E7" s="2" t="s">
        <v>793</v>
      </c>
      <c r="F7" s="2" t="s">
        <v>794</v>
      </c>
      <c r="G7" s="2" t="s">
        <v>770</v>
      </c>
      <c r="H7" s="2" t="s">
        <v>40</v>
      </c>
      <c r="I7" s="2">
        <v>1</v>
      </c>
      <c r="J7" s="2">
        <v>5</v>
      </c>
      <c r="K7" s="2">
        <v>1</v>
      </c>
      <c r="L7" s="2">
        <v>0</v>
      </c>
      <c r="M7" s="2">
        <v>0</v>
      </c>
    </row>
    <row r="8" spans="1:14" ht="214.5" x14ac:dyDescent="0.2">
      <c r="A8" s="2" t="s">
        <v>764</v>
      </c>
      <c r="B8" s="2" t="s">
        <v>795</v>
      </c>
      <c r="C8" s="2" t="s">
        <v>796</v>
      </c>
      <c r="D8" s="2" t="s">
        <v>773</v>
      </c>
      <c r="E8" s="31" t="s">
        <v>797</v>
      </c>
      <c r="F8" s="2" t="s">
        <v>798</v>
      </c>
      <c r="G8" s="2" t="s">
        <v>770</v>
      </c>
      <c r="H8" s="2" t="s">
        <v>40</v>
      </c>
      <c r="I8" s="2">
        <v>1</v>
      </c>
      <c r="J8" s="2">
        <v>6</v>
      </c>
      <c r="K8" s="2">
        <v>2</v>
      </c>
      <c r="L8" s="2">
        <v>50</v>
      </c>
      <c r="M8" s="2">
        <v>50</v>
      </c>
    </row>
    <row r="9" spans="1:14" ht="49.5" x14ac:dyDescent="0.2">
      <c r="A9" s="2" t="s">
        <v>764</v>
      </c>
      <c r="B9" s="2" t="s">
        <v>799</v>
      </c>
      <c r="C9" s="2" t="s">
        <v>800</v>
      </c>
      <c r="D9" s="2" t="s">
        <v>773</v>
      </c>
      <c r="E9" s="31" t="s">
        <v>1584</v>
      </c>
      <c r="F9" s="2" t="s">
        <v>801</v>
      </c>
      <c r="G9" s="2" t="s">
        <v>770</v>
      </c>
      <c r="H9" s="2" t="s">
        <v>40</v>
      </c>
      <c r="I9" s="2">
        <v>1</v>
      </c>
      <c r="J9" s="2">
        <v>7</v>
      </c>
      <c r="K9" s="2">
        <v>1</v>
      </c>
      <c r="L9" s="2">
        <v>0</v>
      </c>
      <c r="M9" s="2">
        <v>0</v>
      </c>
    </row>
    <row r="10" spans="1:14" ht="49.5" x14ac:dyDescent="0.2">
      <c r="A10" s="2" t="s">
        <v>764</v>
      </c>
      <c r="B10" s="2" t="s">
        <v>802</v>
      </c>
      <c r="C10" s="2" t="s">
        <v>803</v>
      </c>
      <c r="D10" s="2" t="s">
        <v>773</v>
      </c>
      <c r="E10" s="31" t="s">
        <v>1585</v>
      </c>
      <c r="F10" s="2" t="s">
        <v>693</v>
      </c>
      <c r="G10" s="2" t="s">
        <v>770</v>
      </c>
      <c r="H10" s="2" t="s">
        <v>40</v>
      </c>
      <c r="I10" s="2">
        <v>1</v>
      </c>
      <c r="J10" s="2">
        <v>8</v>
      </c>
      <c r="K10" s="2">
        <v>1</v>
      </c>
      <c r="L10" s="2">
        <v>0</v>
      </c>
      <c r="M10" s="2">
        <v>0</v>
      </c>
    </row>
    <row r="11" spans="1:14" ht="49.5" x14ac:dyDescent="0.2">
      <c r="A11" s="2" t="s">
        <v>764</v>
      </c>
      <c r="B11" s="2" t="s">
        <v>804</v>
      </c>
      <c r="C11" s="2" t="s">
        <v>805</v>
      </c>
      <c r="D11" s="2" t="s">
        <v>773</v>
      </c>
      <c r="E11" s="31" t="s">
        <v>806</v>
      </c>
      <c r="F11" s="2" t="s">
        <v>807</v>
      </c>
      <c r="G11" s="2" t="s">
        <v>770</v>
      </c>
      <c r="H11" s="2" t="s">
        <v>40</v>
      </c>
      <c r="I11" s="2">
        <v>1</v>
      </c>
      <c r="J11" s="2">
        <v>9</v>
      </c>
      <c r="K11" s="2">
        <v>1</v>
      </c>
      <c r="L11" s="2">
        <v>0</v>
      </c>
      <c r="M11" s="2">
        <v>0</v>
      </c>
    </row>
    <row r="12" spans="1:14" x14ac:dyDescent="0.2">
      <c r="A12" s="2" t="s">
        <v>764</v>
      </c>
      <c r="B12" s="2" t="s">
        <v>808</v>
      </c>
      <c r="C12" s="2" t="s">
        <v>809</v>
      </c>
      <c r="D12" s="2" t="s">
        <v>810</v>
      </c>
      <c r="E12" s="2" t="s">
        <v>811</v>
      </c>
      <c r="F12" s="2" t="s">
        <v>812</v>
      </c>
      <c r="G12" s="2" t="s">
        <v>770</v>
      </c>
      <c r="H12" s="2" t="s">
        <v>40</v>
      </c>
      <c r="I12" s="2">
        <v>1</v>
      </c>
      <c r="J12" s="2">
        <v>10</v>
      </c>
      <c r="K12" s="2">
        <v>1</v>
      </c>
      <c r="L12" s="2">
        <v>0</v>
      </c>
      <c r="M12" s="2">
        <v>0</v>
      </c>
    </row>
    <row r="13" spans="1:14" ht="49.5" x14ac:dyDescent="0.2">
      <c r="A13" s="2" t="s">
        <v>764</v>
      </c>
      <c r="B13" s="2" t="s">
        <v>813</v>
      </c>
      <c r="C13" s="2" t="s">
        <v>814</v>
      </c>
      <c r="D13" s="2" t="s">
        <v>773</v>
      </c>
      <c r="E13" s="31" t="s">
        <v>815</v>
      </c>
      <c r="F13" s="2" t="s">
        <v>681</v>
      </c>
      <c r="G13" s="2" t="s">
        <v>770</v>
      </c>
      <c r="H13" s="2" t="s">
        <v>40</v>
      </c>
      <c r="I13" s="2">
        <v>1</v>
      </c>
      <c r="J13" s="2">
        <v>11</v>
      </c>
      <c r="K13" s="2">
        <v>1</v>
      </c>
      <c r="L13" s="2">
        <v>0</v>
      </c>
      <c r="M13" s="2">
        <v>0</v>
      </c>
    </row>
    <row r="14" spans="1:14" ht="49.5" x14ac:dyDescent="0.2">
      <c r="A14" s="2" t="s">
        <v>764</v>
      </c>
      <c r="B14" s="2" t="s">
        <v>816</v>
      </c>
      <c r="C14" s="2" t="s">
        <v>817</v>
      </c>
      <c r="D14" s="31" t="s">
        <v>818</v>
      </c>
      <c r="E14" s="2" t="s">
        <v>1580</v>
      </c>
      <c r="F14" s="2" t="s">
        <v>819</v>
      </c>
      <c r="G14" s="2" t="s">
        <v>770</v>
      </c>
      <c r="H14" s="2" t="s">
        <v>40</v>
      </c>
      <c r="I14" s="2">
        <v>1</v>
      </c>
      <c r="J14" s="2">
        <v>12</v>
      </c>
      <c r="K14" s="2">
        <v>1</v>
      </c>
      <c r="L14" s="2">
        <v>0</v>
      </c>
      <c r="M14" s="2">
        <v>0</v>
      </c>
    </row>
    <row r="15" spans="1:14" ht="49.5" x14ac:dyDescent="0.2">
      <c r="A15" s="2" t="s">
        <v>764</v>
      </c>
      <c r="B15" s="2" t="s">
        <v>820</v>
      </c>
      <c r="C15" s="2" t="s">
        <v>821</v>
      </c>
      <c r="D15" s="31" t="s">
        <v>822</v>
      </c>
      <c r="E15" s="2" t="s">
        <v>1581</v>
      </c>
      <c r="F15" s="2" t="s">
        <v>682</v>
      </c>
      <c r="G15" s="2" t="s">
        <v>770</v>
      </c>
      <c r="H15" s="2" t="s">
        <v>40</v>
      </c>
      <c r="I15" s="2">
        <v>1</v>
      </c>
      <c r="J15" s="2">
        <v>13</v>
      </c>
      <c r="K15" s="2">
        <v>1</v>
      </c>
      <c r="L15" s="2">
        <v>0</v>
      </c>
      <c r="M15" s="2">
        <v>0</v>
      </c>
    </row>
    <row r="16" spans="1:14" x14ac:dyDescent="0.2">
      <c r="A16" s="2" t="s">
        <v>823</v>
      </c>
      <c r="B16" s="2" t="s">
        <v>824</v>
      </c>
      <c r="C16" s="2" t="s">
        <v>825</v>
      </c>
      <c r="D16" s="2" t="s">
        <v>773</v>
      </c>
      <c r="E16" s="2" t="s">
        <v>826</v>
      </c>
      <c r="F16" s="2" t="s">
        <v>827</v>
      </c>
      <c r="G16" s="2" t="s">
        <v>770</v>
      </c>
      <c r="H16" s="2" t="s">
        <v>40</v>
      </c>
      <c r="I16" s="2">
        <v>1</v>
      </c>
      <c r="J16" s="2">
        <v>14</v>
      </c>
      <c r="K16" s="2">
        <v>1</v>
      </c>
      <c r="L16" s="2">
        <v>0</v>
      </c>
      <c r="M16" s="2">
        <v>0</v>
      </c>
    </row>
    <row r="17" spans="1:14" x14ac:dyDescent="0.2">
      <c r="A17" s="2" t="s">
        <v>823</v>
      </c>
      <c r="B17" s="2" t="s">
        <v>828</v>
      </c>
      <c r="C17" s="2" t="s">
        <v>829</v>
      </c>
      <c r="D17" s="2" t="s">
        <v>773</v>
      </c>
      <c r="E17" s="2" t="s">
        <v>830</v>
      </c>
      <c r="F17" s="2" t="s">
        <v>831</v>
      </c>
      <c r="G17" s="2" t="s">
        <v>770</v>
      </c>
      <c r="H17" s="2" t="s">
        <v>40</v>
      </c>
      <c r="I17" s="2">
        <v>1</v>
      </c>
      <c r="J17" s="2">
        <v>15</v>
      </c>
      <c r="K17" s="2">
        <v>1</v>
      </c>
      <c r="L17" s="2">
        <v>0</v>
      </c>
      <c r="M17" s="2">
        <v>0</v>
      </c>
    </row>
    <row r="18" spans="1:14" ht="66" x14ac:dyDescent="0.2">
      <c r="A18" s="2" t="s">
        <v>823</v>
      </c>
      <c r="B18" s="2" t="s">
        <v>832</v>
      </c>
      <c r="C18" s="2" t="s">
        <v>833</v>
      </c>
      <c r="D18" s="31" t="s">
        <v>834</v>
      </c>
      <c r="E18" s="2" t="s">
        <v>835</v>
      </c>
      <c r="F18" s="2" t="s">
        <v>836</v>
      </c>
      <c r="G18" s="2" t="s">
        <v>770</v>
      </c>
      <c r="H18" s="2" t="s">
        <v>40</v>
      </c>
      <c r="I18" s="2">
        <v>1</v>
      </c>
      <c r="J18" s="2">
        <v>16</v>
      </c>
      <c r="K18" s="2">
        <v>2</v>
      </c>
      <c r="L18" s="2">
        <v>50</v>
      </c>
      <c r="M18" s="2">
        <v>50</v>
      </c>
    </row>
    <row r="19" spans="1:14" x14ac:dyDescent="0.2">
      <c r="A19" s="2" t="s">
        <v>823</v>
      </c>
      <c r="B19" s="2" t="s">
        <v>837</v>
      </c>
      <c r="C19" s="2" t="s">
        <v>838</v>
      </c>
      <c r="D19" s="2" t="s">
        <v>773</v>
      </c>
      <c r="E19" s="2" t="s">
        <v>839</v>
      </c>
      <c r="F19" s="2" t="s">
        <v>840</v>
      </c>
      <c r="G19" s="2" t="s">
        <v>770</v>
      </c>
      <c r="H19" s="2" t="s">
        <v>40</v>
      </c>
      <c r="I19" s="2">
        <v>1</v>
      </c>
      <c r="J19" s="2">
        <v>17</v>
      </c>
      <c r="K19" s="2">
        <v>1</v>
      </c>
      <c r="L19" s="2">
        <v>0</v>
      </c>
      <c r="M19" s="2">
        <v>0</v>
      </c>
    </row>
    <row r="20" spans="1:14" x14ac:dyDescent="0.2">
      <c r="A20" s="2" t="s">
        <v>823</v>
      </c>
      <c r="B20" s="2" t="s">
        <v>686</v>
      </c>
      <c r="C20" s="2" t="s">
        <v>841</v>
      </c>
      <c r="D20" s="2" t="s">
        <v>842</v>
      </c>
      <c r="E20" s="2" t="s">
        <v>843</v>
      </c>
      <c r="F20" s="2" t="s">
        <v>844</v>
      </c>
      <c r="G20" s="2" t="s">
        <v>845</v>
      </c>
      <c r="H20" s="2" t="s">
        <v>846</v>
      </c>
      <c r="I20" s="2">
        <v>1</v>
      </c>
      <c r="J20" s="2">
        <v>18</v>
      </c>
      <c r="K20" s="2">
        <v>3</v>
      </c>
      <c r="L20" s="2">
        <v>100</v>
      </c>
      <c r="M20" s="2">
        <v>100</v>
      </c>
    </row>
    <row r="21" spans="1:14" x14ac:dyDescent="0.2">
      <c r="A21" s="2" t="s">
        <v>764</v>
      </c>
      <c r="B21" s="2" t="s">
        <v>847</v>
      </c>
      <c r="C21" s="2" t="s">
        <v>848</v>
      </c>
      <c r="D21" s="2" t="s">
        <v>773</v>
      </c>
      <c r="E21" s="2" t="s">
        <v>849</v>
      </c>
      <c r="F21" s="2" t="s">
        <v>850</v>
      </c>
      <c r="G21" s="2" t="s">
        <v>770</v>
      </c>
      <c r="H21" s="2" t="s">
        <v>40</v>
      </c>
      <c r="I21" s="2">
        <v>0</v>
      </c>
      <c r="J21" s="2">
        <v>19</v>
      </c>
      <c r="K21" s="2">
        <v>3</v>
      </c>
      <c r="L21" s="2">
        <v>100</v>
      </c>
      <c r="M21" s="2">
        <v>100</v>
      </c>
      <c r="N21" s="2" t="s">
        <v>851</v>
      </c>
    </row>
    <row r="22" spans="1:14" x14ac:dyDescent="0.2">
      <c r="A22" s="2" t="s">
        <v>764</v>
      </c>
      <c r="B22" s="2" t="s">
        <v>852</v>
      </c>
      <c r="C22" s="2" t="s">
        <v>853</v>
      </c>
      <c r="D22" s="2" t="s">
        <v>854</v>
      </c>
      <c r="E22" s="2" t="s">
        <v>855</v>
      </c>
      <c r="F22" s="2" t="s">
        <v>856</v>
      </c>
      <c r="G22" s="2" t="s">
        <v>770</v>
      </c>
      <c r="H22" s="2" t="s">
        <v>40</v>
      </c>
      <c r="I22" s="2">
        <v>0</v>
      </c>
      <c r="J22" s="2">
        <v>20</v>
      </c>
      <c r="K22" s="2">
        <v>1</v>
      </c>
      <c r="L22" s="2">
        <v>0</v>
      </c>
      <c r="M22" s="2">
        <v>0</v>
      </c>
      <c r="N22" s="2" t="s">
        <v>851</v>
      </c>
    </row>
    <row r="23" spans="1:14" x14ac:dyDescent="0.2">
      <c r="A23" s="2" t="s">
        <v>857</v>
      </c>
      <c r="B23" s="2" t="s">
        <v>858</v>
      </c>
      <c r="C23" s="2" t="s">
        <v>859</v>
      </c>
      <c r="D23" s="2" t="s">
        <v>860</v>
      </c>
      <c r="E23" s="2" t="s">
        <v>861</v>
      </c>
      <c r="F23" s="2" t="s">
        <v>862</v>
      </c>
      <c r="G23" s="2" t="s">
        <v>770</v>
      </c>
      <c r="H23" s="2" t="s">
        <v>40</v>
      </c>
      <c r="I23" s="2">
        <v>1</v>
      </c>
      <c r="J23" s="2">
        <v>21</v>
      </c>
      <c r="K23" s="2">
        <v>1</v>
      </c>
      <c r="L23" s="2">
        <v>0</v>
      </c>
      <c r="M23" s="2">
        <v>0</v>
      </c>
    </row>
    <row r="24" spans="1:14" x14ac:dyDescent="0.2">
      <c r="A24" s="2" t="s">
        <v>857</v>
      </c>
      <c r="B24" s="2" t="s">
        <v>863</v>
      </c>
      <c r="C24" s="2" t="s">
        <v>864</v>
      </c>
      <c r="D24" s="2" t="s">
        <v>860</v>
      </c>
      <c r="E24" s="2" t="s">
        <v>865</v>
      </c>
      <c r="F24" s="2" t="s">
        <v>866</v>
      </c>
      <c r="G24" s="2" t="s">
        <v>867</v>
      </c>
      <c r="H24" s="2" t="s">
        <v>868</v>
      </c>
      <c r="I24" s="2">
        <v>1</v>
      </c>
      <c r="J24" s="2">
        <v>22</v>
      </c>
      <c r="K24" s="2">
        <v>2</v>
      </c>
      <c r="L24" s="2">
        <v>0</v>
      </c>
      <c r="M24" s="2">
        <v>100</v>
      </c>
    </row>
    <row r="25" spans="1:14" x14ac:dyDescent="0.2">
      <c r="A25" s="2" t="s">
        <v>857</v>
      </c>
      <c r="B25" s="2" t="s">
        <v>869</v>
      </c>
      <c r="C25" s="2" t="s">
        <v>870</v>
      </c>
      <c r="D25" s="2" t="s">
        <v>860</v>
      </c>
      <c r="E25" s="2" t="s">
        <v>871</v>
      </c>
      <c r="F25" s="2" t="s">
        <v>872</v>
      </c>
      <c r="G25" s="2" t="s">
        <v>873</v>
      </c>
      <c r="H25" s="2" t="s">
        <v>874</v>
      </c>
      <c r="I25" s="2">
        <v>1</v>
      </c>
      <c r="J25" s="2">
        <v>23</v>
      </c>
      <c r="K25" s="2">
        <v>3</v>
      </c>
      <c r="L25" s="2">
        <v>100</v>
      </c>
      <c r="M25" s="2">
        <v>100</v>
      </c>
    </row>
    <row r="26" spans="1:14" x14ac:dyDescent="0.2">
      <c r="A26" s="2" t="s">
        <v>857</v>
      </c>
      <c r="B26" s="2" t="s">
        <v>875</v>
      </c>
      <c r="C26" s="2" t="s">
        <v>876</v>
      </c>
      <c r="D26" s="2" t="s">
        <v>860</v>
      </c>
      <c r="E26" s="2" t="s">
        <v>877</v>
      </c>
      <c r="F26" s="2" t="s">
        <v>878</v>
      </c>
      <c r="G26" s="2" t="s">
        <v>770</v>
      </c>
      <c r="H26" s="2" t="s">
        <v>40</v>
      </c>
      <c r="I26" s="2">
        <v>1</v>
      </c>
      <c r="J26" s="2">
        <v>24</v>
      </c>
      <c r="K26" s="2">
        <v>1</v>
      </c>
      <c r="L26" s="2">
        <v>0</v>
      </c>
      <c r="M26" s="2">
        <v>0</v>
      </c>
    </row>
    <row r="27" spans="1:14" x14ac:dyDescent="0.2">
      <c r="A27" s="2" t="s">
        <v>857</v>
      </c>
      <c r="B27" s="2" t="s">
        <v>879</v>
      </c>
      <c r="C27" s="2" t="s">
        <v>880</v>
      </c>
      <c r="D27" s="2" t="s">
        <v>860</v>
      </c>
      <c r="E27" s="2" t="s">
        <v>881</v>
      </c>
      <c r="F27" s="2" t="s">
        <v>882</v>
      </c>
      <c r="G27" s="2" t="s">
        <v>883</v>
      </c>
      <c r="H27" s="2" t="s">
        <v>884</v>
      </c>
      <c r="I27" s="2">
        <v>1</v>
      </c>
      <c r="J27" s="2">
        <v>25</v>
      </c>
      <c r="K27" s="2">
        <v>2</v>
      </c>
      <c r="L27" s="2">
        <v>100</v>
      </c>
      <c r="M27" s="2">
        <v>0</v>
      </c>
    </row>
    <row r="28" spans="1:14" x14ac:dyDescent="0.2">
      <c r="A28" s="2" t="s">
        <v>857</v>
      </c>
      <c r="B28" s="2" t="s">
        <v>885</v>
      </c>
      <c r="C28" s="2" t="s">
        <v>886</v>
      </c>
      <c r="D28" s="2" t="s">
        <v>860</v>
      </c>
      <c r="E28" s="2" t="s">
        <v>887</v>
      </c>
      <c r="F28" s="2" t="s">
        <v>888</v>
      </c>
      <c r="G28" s="2" t="s">
        <v>889</v>
      </c>
      <c r="H28" s="2" t="s">
        <v>890</v>
      </c>
      <c r="I28" s="2">
        <v>1</v>
      </c>
      <c r="J28" s="2">
        <v>26</v>
      </c>
      <c r="K28" s="2">
        <v>3</v>
      </c>
      <c r="L28" s="2">
        <v>100</v>
      </c>
      <c r="M28" s="2">
        <v>100</v>
      </c>
    </row>
    <row r="29" spans="1:14" x14ac:dyDescent="0.2">
      <c r="A29" s="2" t="s">
        <v>857</v>
      </c>
      <c r="B29" s="2" t="s">
        <v>891</v>
      </c>
      <c r="C29" s="2" t="s">
        <v>892</v>
      </c>
      <c r="D29" s="2" t="s">
        <v>860</v>
      </c>
      <c r="E29" s="2" t="s">
        <v>893</v>
      </c>
      <c r="F29" s="2" t="s">
        <v>894</v>
      </c>
      <c r="G29" s="2" t="s">
        <v>770</v>
      </c>
      <c r="H29" s="2" t="s">
        <v>40</v>
      </c>
      <c r="I29" s="2">
        <v>1</v>
      </c>
      <c r="J29" s="2">
        <v>27</v>
      </c>
      <c r="K29" s="2">
        <v>1</v>
      </c>
      <c r="L29" s="2">
        <v>0</v>
      </c>
      <c r="M29" s="2">
        <v>0</v>
      </c>
    </row>
    <row r="30" spans="1:14" x14ac:dyDescent="0.2">
      <c r="A30" s="2" t="s">
        <v>857</v>
      </c>
      <c r="B30" s="2" t="s">
        <v>895</v>
      </c>
      <c r="C30" s="2" t="s">
        <v>896</v>
      </c>
      <c r="D30" s="2" t="s">
        <v>860</v>
      </c>
      <c r="E30" s="2" t="s">
        <v>897</v>
      </c>
      <c r="F30" s="2" t="s">
        <v>898</v>
      </c>
      <c r="G30" s="2" t="s">
        <v>899</v>
      </c>
      <c r="H30" s="2" t="s">
        <v>900</v>
      </c>
      <c r="I30" s="2">
        <v>1</v>
      </c>
      <c r="J30" s="2">
        <v>28</v>
      </c>
      <c r="K30" s="2">
        <v>2</v>
      </c>
      <c r="L30" s="2">
        <v>50</v>
      </c>
      <c r="M30" s="2">
        <v>50</v>
      </c>
    </row>
    <row r="31" spans="1:14" x14ac:dyDescent="0.2">
      <c r="A31" s="2" t="s">
        <v>857</v>
      </c>
      <c r="B31" s="2" t="s">
        <v>901</v>
      </c>
      <c r="C31" s="2" t="s">
        <v>902</v>
      </c>
      <c r="D31" s="2" t="s">
        <v>860</v>
      </c>
      <c r="E31" s="2" t="s">
        <v>903</v>
      </c>
      <c r="F31" s="2" t="s">
        <v>904</v>
      </c>
      <c r="G31" s="2" t="s">
        <v>905</v>
      </c>
      <c r="H31" s="2" t="s">
        <v>906</v>
      </c>
      <c r="I31" s="2">
        <v>1</v>
      </c>
      <c r="J31" s="2">
        <v>29</v>
      </c>
      <c r="K31" s="2">
        <v>3</v>
      </c>
      <c r="L31" s="2">
        <v>100</v>
      </c>
      <c r="M31" s="2">
        <v>100</v>
      </c>
    </row>
    <row r="32" spans="1:14" x14ac:dyDescent="0.2">
      <c r="A32" s="2" t="s">
        <v>857</v>
      </c>
      <c r="B32" s="2" t="s">
        <v>907</v>
      </c>
      <c r="C32" s="2" t="s">
        <v>908</v>
      </c>
      <c r="D32" s="2" t="s">
        <v>860</v>
      </c>
      <c r="E32" s="2" t="s">
        <v>909</v>
      </c>
      <c r="F32" s="2" t="s">
        <v>910</v>
      </c>
      <c r="G32" s="2" t="s">
        <v>911</v>
      </c>
      <c r="H32" s="2" t="s">
        <v>40</v>
      </c>
      <c r="I32" s="2">
        <v>1</v>
      </c>
      <c r="J32" s="2">
        <v>30</v>
      </c>
      <c r="K32" s="2">
        <v>1</v>
      </c>
      <c r="L32" s="2">
        <v>0</v>
      </c>
      <c r="M32" s="2">
        <v>0</v>
      </c>
    </row>
    <row r="33" spans="1:13" ht="33" x14ac:dyDescent="0.2">
      <c r="A33" s="2" t="s">
        <v>857</v>
      </c>
      <c r="B33" s="2" t="s">
        <v>912</v>
      </c>
      <c r="C33" s="2" t="s">
        <v>913</v>
      </c>
      <c r="D33" s="2" t="s">
        <v>860</v>
      </c>
      <c r="E33" s="31" t="s">
        <v>914</v>
      </c>
      <c r="F33" s="2" t="s">
        <v>915</v>
      </c>
      <c r="G33" s="2" t="s">
        <v>911</v>
      </c>
      <c r="H33" s="2" t="s">
        <v>40</v>
      </c>
      <c r="I33" s="2">
        <v>1</v>
      </c>
      <c r="J33" s="2">
        <v>31</v>
      </c>
      <c r="K33" s="2">
        <v>1</v>
      </c>
      <c r="L33" s="2">
        <v>0</v>
      </c>
      <c r="M33" s="2">
        <v>0</v>
      </c>
    </row>
    <row r="34" spans="1:13" x14ac:dyDescent="0.2">
      <c r="A34" s="2" t="s">
        <v>857</v>
      </c>
      <c r="B34" s="2" t="s">
        <v>916</v>
      </c>
      <c r="C34" s="2" t="s">
        <v>917</v>
      </c>
      <c r="D34" s="2" t="s">
        <v>918</v>
      </c>
      <c r="E34" s="2" t="s">
        <v>919</v>
      </c>
      <c r="F34" s="2" t="s">
        <v>920</v>
      </c>
      <c r="G34" s="2" t="s">
        <v>921</v>
      </c>
      <c r="H34" s="2" t="s">
        <v>922</v>
      </c>
      <c r="I34" s="2">
        <v>0</v>
      </c>
      <c r="J34" s="2">
        <v>32</v>
      </c>
      <c r="K34" s="2">
        <v>3</v>
      </c>
      <c r="L34" s="2">
        <v>100</v>
      </c>
      <c r="M34" s="2">
        <v>100</v>
      </c>
    </row>
    <row r="35" spans="1:13" ht="49.5" x14ac:dyDescent="0.2">
      <c r="A35" s="2" t="s">
        <v>764</v>
      </c>
      <c r="B35" s="2" t="s">
        <v>923</v>
      </c>
      <c r="C35" s="2" t="s">
        <v>924</v>
      </c>
      <c r="D35" s="31" t="s">
        <v>925</v>
      </c>
      <c r="E35" s="2" t="s">
        <v>1526</v>
      </c>
      <c r="F35" s="2" t="s">
        <v>926</v>
      </c>
      <c r="G35" s="2" t="s">
        <v>770</v>
      </c>
      <c r="H35" s="2" t="s">
        <v>40</v>
      </c>
      <c r="I35" s="2">
        <v>1</v>
      </c>
      <c r="J35" s="2">
        <v>33</v>
      </c>
      <c r="K35" s="2">
        <v>1</v>
      </c>
      <c r="L35" s="2">
        <v>0</v>
      </c>
      <c r="M35" s="2">
        <v>0</v>
      </c>
    </row>
    <row r="36" spans="1:13" ht="49.5" x14ac:dyDescent="0.2">
      <c r="A36" s="2" t="s">
        <v>764</v>
      </c>
      <c r="B36" s="2" t="s">
        <v>927</v>
      </c>
      <c r="C36" s="2" t="s">
        <v>928</v>
      </c>
      <c r="D36" s="31" t="s">
        <v>925</v>
      </c>
      <c r="E36" s="2" t="s">
        <v>1523</v>
      </c>
      <c r="F36" s="2" t="s">
        <v>929</v>
      </c>
      <c r="G36" s="2" t="s">
        <v>1524</v>
      </c>
      <c r="H36" s="2" t="s">
        <v>1525</v>
      </c>
      <c r="I36" s="2">
        <v>1</v>
      </c>
      <c r="J36" s="2">
        <v>34</v>
      </c>
      <c r="K36" s="2">
        <v>3</v>
      </c>
      <c r="L36" s="2">
        <v>100</v>
      </c>
      <c r="M36" s="2">
        <v>100</v>
      </c>
    </row>
    <row r="37" spans="1:13" x14ac:dyDescent="0.2">
      <c r="A37" s="2" t="s">
        <v>823</v>
      </c>
      <c r="B37" s="2" t="s">
        <v>930</v>
      </c>
      <c r="C37" s="2" t="s">
        <v>931</v>
      </c>
      <c r="D37" s="2" t="s">
        <v>842</v>
      </c>
      <c r="E37" s="2" t="s">
        <v>932</v>
      </c>
      <c r="F37" s="2" t="s">
        <v>685</v>
      </c>
      <c r="G37" s="2" t="s">
        <v>770</v>
      </c>
      <c r="H37" s="2" t="s">
        <v>40</v>
      </c>
      <c r="I37" s="2">
        <v>0</v>
      </c>
      <c r="J37" s="2">
        <v>35</v>
      </c>
      <c r="K37" s="2">
        <v>1</v>
      </c>
      <c r="L37" s="2">
        <v>0</v>
      </c>
      <c r="M37" s="2">
        <v>0</v>
      </c>
    </row>
    <row r="38" spans="1:13" x14ac:dyDescent="0.2">
      <c r="A38" s="2" t="s">
        <v>933</v>
      </c>
      <c r="B38" s="2" t="s">
        <v>934</v>
      </c>
      <c r="C38" s="2" t="s">
        <v>935</v>
      </c>
      <c r="D38" s="2" t="s">
        <v>936</v>
      </c>
      <c r="E38" s="2" t="s">
        <v>937</v>
      </c>
      <c r="F38" s="2" t="s">
        <v>938</v>
      </c>
      <c r="G38" s="2" t="s">
        <v>770</v>
      </c>
      <c r="H38" s="2" t="s">
        <v>40</v>
      </c>
      <c r="I38" s="2">
        <v>1</v>
      </c>
      <c r="J38" s="2">
        <v>36</v>
      </c>
      <c r="K38" s="2">
        <v>1</v>
      </c>
      <c r="L38" s="2">
        <v>0</v>
      </c>
      <c r="M38" s="2">
        <v>0</v>
      </c>
    </row>
    <row r="39" spans="1:13" x14ac:dyDescent="0.2">
      <c r="A39" s="2" t="s">
        <v>933</v>
      </c>
      <c r="B39" s="2" t="s">
        <v>939</v>
      </c>
      <c r="C39" s="2" t="s">
        <v>940</v>
      </c>
      <c r="D39" s="2" t="s">
        <v>936</v>
      </c>
      <c r="E39" s="2" t="s">
        <v>941</v>
      </c>
      <c r="F39" s="2" t="s">
        <v>942</v>
      </c>
      <c r="G39" s="2" t="s">
        <v>943</v>
      </c>
      <c r="H39" s="2" t="s">
        <v>944</v>
      </c>
      <c r="I39" s="2">
        <v>1</v>
      </c>
      <c r="J39" s="2">
        <v>37</v>
      </c>
      <c r="K39" s="2">
        <v>2</v>
      </c>
      <c r="L39" s="2">
        <v>0</v>
      </c>
      <c r="M39" s="2">
        <v>100</v>
      </c>
    </row>
    <row r="40" spans="1:13" x14ac:dyDescent="0.2">
      <c r="A40" s="2" t="s">
        <v>933</v>
      </c>
      <c r="B40" s="2" t="s">
        <v>945</v>
      </c>
      <c r="C40" s="2" t="s">
        <v>946</v>
      </c>
      <c r="D40" s="2" t="s">
        <v>936</v>
      </c>
      <c r="E40" s="2" t="s">
        <v>947</v>
      </c>
      <c r="F40" s="2" t="s">
        <v>948</v>
      </c>
      <c r="G40" s="2" t="s">
        <v>949</v>
      </c>
      <c r="H40" s="2" t="s">
        <v>950</v>
      </c>
      <c r="I40" s="2">
        <v>1</v>
      </c>
      <c r="J40" s="2">
        <v>38</v>
      </c>
      <c r="K40" s="2">
        <v>3</v>
      </c>
      <c r="L40" s="2">
        <v>100</v>
      </c>
      <c r="M40" s="2">
        <v>100</v>
      </c>
    </row>
    <row r="41" spans="1:13" x14ac:dyDescent="0.2">
      <c r="A41" s="2" t="s">
        <v>933</v>
      </c>
      <c r="B41" s="2" t="s">
        <v>951</v>
      </c>
      <c r="C41" s="2" t="s">
        <v>952</v>
      </c>
      <c r="D41" s="2" t="s">
        <v>936</v>
      </c>
      <c r="E41" s="2" t="s">
        <v>953</v>
      </c>
      <c r="F41" s="2" t="s">
        <v>954</v>
      </c>
      <c r="G41" s="2" t="s">
        <v>770</v>
      </c>
      <c r="H41" s="2" t="s">
        <v>40</v>
      </c>
      <c r="I41" s="2">
        <v>1</v>
      </c>
      <c r="J41" s="2">
        <v>39</v>
      </c>
      <c r="K41" s="2">
        <v>1</v>
      </c>
      <c r="L41" s="2">
        <v>0</v>
      </c>
      <c r="M41" s="2">
        <v>0</v>
      </c>
    </row>
    <row r="42" spans="1:13" x14ac:dyDescent="0.2">
      <c r="A42" s="2" t="s">
        <v>933</v>
      </c>
      <c r="B42" s="2" t="s">
        <v>955</v>
      </c>
      <c r="C42" s="2" t="s">
        <v>956</v>
      </c>
      <c r="D42" s="2" t="s">
        <v>936</v>
      </c>
      <c r="E42" s="2" t="s">
        <v>957</v>
      </c>
      <c r="F42" s="2" t="s">
        <v>958</v>
      </c>
      <c r="G42" s="2" t="s">
        <v>959</v>
      </c>
      <c r="H42" s="2" t="s">
        <v>960</v>
      </c>
      <c r="I42" s="2">
        <v>1</v>
      </c>
      <c r="J42" s="2">
        <v>40</v>
      </c>
      <c r="K42" s="2">
        <v>2</v>
      </c>
      <c r="L42" s="2">
        <v>100</v>
      </c>
      <c r="M42" s="2">
        <v>0</v>
      </c>
    </row>
    <row r="43" spans="1:13" x14ac:dyDescent="0.2">
      <c r="A43" s="2" t="s">
        <v>933</v>
      </c>
      <c r="B43" s="2" t="s">
        <v>961</v>
      </c>
      <c r="C43" s="2" t="s">
        <v>962</v>
      </c>
      <c r="D43" s="2" t="s">
        <v>936</v>
      </c>
      <c r="E43" s="2" t="s">
        <v>963</v>
      </c>
      <c r="F43" s="2" t="s">
        <v>964</v>
      </c>
      <c r="G43" s="2" t="s">
        <v>965</v>
      </c>
      <c r="H43" s="2" t="s">
        <v>966</v>
      </c>
      <c r="I43" s="2">
        <v>1</v>
      </c>
      <c r="J43" s="2">
        <v>41</v>
      </c>
      <c r="K43" s="2">
        <v>3</v>
      </c>
      <c r="L43" s="2">
        <v>100</v>
      </c>
      <c r="M43" s="2">
        <v>100</v>
      </c>
    </row>
    <row r="44" spans="1:13" x14ac:dyDescent="0.2">
      <c r="A44" s="2" t="s">
        <v>933</v>
      </c>
      <c r="B44" s="2" t="s">
        <v>967</v>
      </c>
      <c r="C44" s="2" t="s">
        <v>968</v>
      </c>
      <c r="D44" s="2" t="s">
        <v>969</v>
      </c>
      <c r="E44" s="2" t="s">
        <v>970</v>
      </c>
      <c r="F44" s="2" t="s">
        <v>971</v>
      </c>
      <c r="G44" s="2" t="s">
        <v>770</v>
      </c>
      <c r="H44" s="2" t="s">
        <v>40</v>
      </c>
      <c r="I44" s="2">
        <v>1</v>
      </c>
      <c r="J44" s="2">
        <v>42</v>
      </c>
      <c r="K44" s="2">
        <v>1</v>
      </c>
      <c r="L44" s="2">
        <v>0</v>
      </c>
      <c r="M44" s="2">
        <v>0</v>
      </c>
    </row>
    <row r="45" spans="1:13" x14ac:dyDescent="0.2">
      <c r="A45" s="2" t="s">
        <v>933</v>
      </c>
      <c r="B45" s="2" t="s">
        <v>972</v>
      </c>
      <c r="C45" s="2" t="s">
        <v>973</v>
      </c>
      <c r="D45" s="2" t="s">
        <v>969</v>
      </c>
      <c r="E45" s="2" t="s">
        <v>974</v>
      </c>
      <c r="F45" s="2" t="s">
        <v>971</v>
      </c>
      <c r="G45" s="2" t="s">
        <v>975</v>
      </c>
      <c r="H45" s="2" t="s">
        <v>976</v>
      </c>
      <c r="I45" s="2">
        <v>1</v>
      </c>
      <c r="J45" s="2">
        <v>43</v>
      </c>
      <c r="K45" s="2">
        <v>2</v>
      </c>
      <c r="L45" s="2">
        <v>50</v>
      </c>
      <c r="M45" s="2">
        <v>50</v>
      </c>
    </row>
    <row r="46" spans="1:13" x14ac:dyDescent="0.2">
      <c r="A46" s="2" t="s">
        <v>933</v>
      </c>
      <c r="B46" s="2" t="s">
        <v>977</v>
      </c>
      <c r="C46" s="2" t="s">
        <v>978</v>
      </c>
      <c r="D46" s="2" t="s">
        <v>969</v>
      </c>
      <c r="E46" s="2" t="s">
        <v>979</v>
      </c>
      <c r="F46" s="2" t="s">
        <v>971</v>
      </c>
      <c r="G46" s="2" t="s">
        <v>980</v>
      </c>
      <c r="H46" s="2" t="s">
        <v>976</v>
      </c>
      <c r="I46" s="2">
        <v>1</v>
      </c>
      <c r="J46" s="2">
        <v>44</v>
      </c>
      <c r="K46" s="2">
        <v>3</v>
      </c>
      <c r="L46" s="2">
        <v>100</v>
      </c>
      <c r="M46" s="2">
        <v>100</v>
      </c>
    </row>
    <row r="47" spans="1:13" x14ac:dyDescent="0.2">
      <c r="A47" s="2" t="s">
        <v>933</v>
      </c>
      <c r="B47" s="2" t="s">
        <v>981</v>
      </c>
      <c r="C47" s="2" t="s">
        <v>982</v>
      </c>
      <c r="D47" s="2" t="s">
        <v>969</v>
      </c>
      <c r="E47" s="2" t="s">
        <v>983</v>
      </c>
      <c r="F47" s="2" t="s">
        <v>971</v>
      </c>
      <c r="G47" s="2" t="s">
        <v>770</v>
      </c>
      <c r="H47" s="2" t="s">
        <v>40</v>
      </c>
      <c r="I47" s="2">
        <v>1</v>
      </c>
      <c r="J47" s="2">
        <v>45</v>
      </c>
      <c r="K47" s="2">
        <v>1</v>
      </c>
      <c r="L47" s="2">
        <v>0</v>
      </c>
      <c r="M47" s="2">
        <v>0</v>
      </c>
    </row>
    <row r="48" spans="1:13" x14ac:dyDescent="0.2">
      <c r="A48" s="2" t="s">
        <v>933</v>
      </c>
      <c r="B48" s="2" t="s">
        <v>984</v>
      </c>
      <c r="C48" s="2" t="s">
        <v>985</v>
      </c>
      <c r="D48" s="2" t="s">
        <v>969</v>
      </c>
      <c r="E48" s="2" t="s">
        <v>986</v>
      </c>
      <c r="F48" s="2" t="s">
        <v>971</v>
      </c>
      <c r="G48" s="2" t="s">
        <v>987</v>
      </c>
      <c r="H48" s="2" t="s">
        <v>976</v>
      </c>
      <c r="I48" s="2">
        <v>1</v>
      </c>
      <c r="J48" s="2">
        <v>46</v>
      </c>
      <c r="K48" s="2">
        <v>2</v>
      </c>
      <c r="L48" s="2">
        <v>50</v>
      </c>
      <c r="M48" s="2">
        <v>50</v>
      </c>
    </row>
    <row r="49" spans="1:13" x14ac:dyDescent="0.2">
      <c r="A49" s="2" t="s">
        <v>933</v>
      </c>
      <c r="B49" s="2" t="s">
        <v>988</v>
      </c>
      <c r="C49" s="2" t="s">
        <v>989</v>
      </c>
      <c r="D49" s="2" t="s">
        <v>969</v>
      </c>
      <c r="E49" s="2" t="s">
        <v>990</v>
      </c>
      <c r="F49" s="2" t="s">
        <v>971</v>
      </c>
      <c r="G49" s="2" t="s">
        <v>991</v>
      </c>
      <c r="H49" s="2" t="s">
        <v>976</v>
      </c>
      <c r="I49" s="2">
        <v>1</v>
      </c>
      <c r="J49" s="2">
        <v>47</v>
      </c>
      <c r="K49" s="2">
        <v>3</v>
      </c>
      <c r="L49" s="2">
        <v>100</v>
      </c>
      <c r="M49" s="2">
        <v>100</v>
      </c>
    </row>
    <row r="50" spans="1:13" ht="49.5" x14ac:dyDescent="0.2">
      <c r="A50" s="2" t="s">
        <v>857</v>
      </c>
      <c r="B50" s="2" t="s">
        <v>992</v>
      </c>
      <c r="C50" s="2" t="s">
        <v>993</v>
      </c>
      <c r="D50" s="31" t="s">
        <v>994</v>
      </c>
      <c r="E50" s="31" t="s">
        <v>995</v>
      </c>
      <c r="F50" s="2" t="s">
        <v>996</v>
      </c>
      <c r="G50" s="2" t="s">
        <v>911</v>
      </c>
      <c r="H50" s="2" t="s">
        <v>40</v>
      </c>
      <c r="I50" s="2">
        <v>1</v>
      </c>
      <c r="J50" s="2">
        <v>48</v>
      </c>
      <c r="K50" s="2">
        <v>1</v>
      </c>
      <c r="L50" s="2">
        <v>0</v>
      </c>
      <c r="M50" s="2">
        <v>0</v>
      </c>
    </row>
    <row r="51" spans="1:13" x14ac:dyDescent="0.2">
      <c r="A51" s="2" t="s">
        <v>857</v>
      </c>
      <c r="B51" s="2" t="s">
        <v>997</v>
      </c>
      <c r="C51" s="2" t="s">
        <v>998</v>
      </c>
      <c r="D51" s="2" t="s">
        <v>999</v>
      </c>
      <c r="E51" s="2" t="s">
        <v>1000</v>
      </c>
      <c r="F51" s="2" t="s">
        <v>996</v>
      </c>
      <c r="G51" s="2" t="s">
        <v>770</v>
      </c>
      <c r="H51" s="2" t="s">
        <v>40</v>
      </c>
      <c r="I51" s="2">
        <v>1</v>
      </c>
      <c r="J51" s="2">
        <v>49</v>
      </c>
      <c r="K51" s="2">
        <v>1</v>
      </c>
      <c r="L51" s="2">
        <v>0</v>
      </c>
      <c r="M51" s="2">
        <v>0</v>
      </c>
    </row>
    <row r="52" spans="1:13" x14ac:dyDescent="0.2">
      <c r="A52" s="2" t="s">
        <v>857</v>
      </c>
      <c r="B52" s="2" t="s">
        <v>1001</v>
      </c>
      <c r="C52" s="2" t="s">
        <v>1002</v>
      </c>
      <c r="D52" s="2" t="s">
        <v>999</v>
      </c>
      <c r="E52" s="2" t="s">
        <v>1003</v>
      </c>
      <c r="F52" s="2" t="s">
        <v>996</v>
      </c>
      <c r="G52" s="2" t="s">
        <v>1004</v>
      </c>
      <c r="H52" s="2" t="s">
        <v>1005</v>
      </c>
      <c r="I52" s="2">
        <v>1</v>
      </c>
      <c r="J52" s="2">
        <v>50</v>
      </c>
      <c r="K52" s="2">
        <v>2</v>
      </c>
      <c r="L52" s="2">
        <v>50</v>
      </c>
      <c r="M52" s="2">
        <v>50</v>
      </c>
    </row>
    <row r="53" spans="1:13" x14ac:dyDescent="0.2">
      <c r="A53" s="2" t="s">
        <v>857</v>
      </c>
      <c r="B53" s="2" t="s">
        <v>1006</v>
      </c>
      <c r="C53" s="2" t="s">
        <v>1007</v>
      </c>
      <c r="D53" s="2" t="s">
        <v>999</v>
      </c>
      <c r="E53" s="2" t="s">
        <v>1008</v>
      </c>
      <c r="F53" s="2" t="s">
        <v>996</v>
      </c>
      <c r="G53" s="2" t="s">
        <v>1009</v>
      </c>
      <c r="H53" s="2" t="s">
        <v>1005</v>
      </c>
      <c r="I53" s="2">
        <v>1</v>
      </c>
      <c r="J53" s="2">
        <v>51</v>
      </c>
      <c r="K53" s="2">
        <v>3</v>
      </c>
      <c r="L53" s="2">
        <v>100</v>
      </c>
      <c r="M53" s="2">
        <v>100</v>
      </c>
    </row>
    <row r="54" spans="1:13" ht="33" x14ac:dyDescent="0.2">
      <c r="A54" s="2" t="s">
        <v>857</v>
      </c>
      <c r="B54" s="2" t="s">
        <v>1010</v>
      </c>
      <c r="C54" s="2" t="s">
        <v>1011</v>
      </c>
      <c r="D54" s="2" t="s">
        <v>999</v>
      </c>
      <c r="E54" s="31" t="s">
        <v>724</v>
      </c>
      <c r="F54" s="2" t="s">
        <v>1012</v>
      </c>
      <c r="G54" s="2" t="s">
        <v>911</v>
      </c>
      <c r="H54" s="2" t="s">
        <v>40</v>
      </c>
      <c r="I54" s="2">
        <v>1</v>
      </c>
      <c r="J54" s="2">
        <v>52</v>
      </c>
      <c r="K54" s="2">
        <v>1</v>
      </c>
      <c r="L54" s="2">
        <v>0</v>
      </c>
      <c r="M54" s="2">
        <v>0</v>
      </c>
    </row>
    <row r="55" spans="1:13" ht="66" x14ac:dyDescent="0.2">
      <c r="A55" s="2" t="s">
        <v>857</v>
      </c>
      <c r="B55" s="2" t="s">
        <v>1013</v>
      </c>
      <c r="C55" s="2" t="s">
        <v>1014</v>
      </c>
      <c r="D55" s="2" t="s">
        <v>999</v>
      </c>
      <c r="E55" s="31" t="s">
        <v>1015</v>
      </c>
      <c r="F55" s="2" t="s">
        <v>1016</v>
      </c>
      <c r="G55" s="2" t="s">
        <v>911</v>
      </c>
      <c r="H55" s="2" t="s">
        <v>40</v>
      </c>
      <c r="I55" s="2">
        <v>1</v>
      </c>
      <c r="J55" s="2">
        <v>53</v>
      </c>
      <c r="K55" s="2">
        <v>1</v>
      </c>
      <c r="L55" s="2">
        <v>0</v>
      </c>
      <c r="M55" s="2">
        <v>0</v>
      </c>
    </row>
    <row r="56" spans="1:13" x14ac:dyDescent="0.2">
      <c r="A56" s="2" t="s">
        <v>764</v>
      </c>
      <c r="B56" s="2" t="s">
        <v>1017</v>
      </c>
      <c r="C56" s="2" t="s">
        <v>1018</v>
      </c>
      <c r="D56" s="2" t="s">
        <v>999</v>
      </c>
      <c r="E56" s="2" t="s">
        <v>1019</v>
      </c>
      <c r="F56" s="2" t="s">
        <v>996</v>
      </c>
      <c r="G56" s="2" t="s">
        <v>1020</v>
      </c>
      <c r="H56" s="2" t="s">
        <v>1005</v>
      </c>
      <c r="I56" s="2">
        <v>1</v>
      </c>
      <c r="J56" s="2">
        <v>54</v>
      </c>
      <c r="K56" s="2">
        <v>2</v>
      </c>
      <c r="L56" s="2">
        <v>50</v>
      </c>
      <c r="M56" s="2">
        <v>50</v>
      </c>
    </row>
    <row r="57" spans="1:13" x14ac:dyDescent="0.2">
      <c r="A57" s="2" t="s">
        <v>764</v>
      </c>
      <c r="B57" s="2" t="s">
        <v>1021</v>
      </c>
      <c r="C57" s="2" t="s">
        <v>1022</v>
      </c>
      <c r="D57" s="2" t="s">
        <v>999</v>
      </c>
      <c r="E57" s="2" t="s">
        <v>1023</v>
      </c>
      <c r="F57" s="2" t="s">
        <v>996</v>
      </c>
      <c r="G57" s="2" t="s">
        <v>1024</v>
      </c>
      <c r="H57" s="2" t="s">
        <v>1005</v>
      </c>
      <c r="I57" s="2">
        <v>1</v>
      </c>
      <c r="J57" s="2">
        <v>55</v>
      </c>
      <c r="K57" s="2">
        <v>3</v>
      </c>
      <c r="L57" s="2">
        <v>100</v>
      </c>
      <c r="M57" s="2">
        <v>100</v>
      </c>
    </row>
    <row r="58" spans="1:13" x14ac:dyDescent="0.2">
      <c r="A58" s="2" t="s">
        <v>764</v>
      </c>
      <c r="B58" s="2" t="s">
        <v>1025</v>
      </c>
      <c r="C58" s="2" t="s">
        <v>1026</v>
      </c>
      <c r="D58" s="2" t="s">
        <v>1027</v>
      </c>
      <c r="E58" s="2" t="s">
        <v>1028</v>
      </c>
      <c r="F58" s="2" t="s">
        <v>1029</v>
      </c>
      <c r="G58" s="2" t="s">
        <v>770</v>
      </c>
      <c r="H58" s="2" t="s">
        <v>40</v>
      </c>
      <c r="I58" s="2">
        <v>1</v>
      </c>
      <c r="J58" s="2">
        <v>56</v>
      </c>
      <c r="K58" s="2">
        <v>1</v>
      </c>
      <c r="L58" s="2">
        <v>0</v>
      </c>
      <c r="M58" s="2">
        <v>0</v>
      </c>
    </row>
    <row r="59" spans="1:13" x14ac:dyDescent="0.2">
      <c r="A59" s="2" t="s">
        <v>1030</v>
      </c>
      <c r="B59" s="2" t="s">
        <v>1031</v>
      </c>
      <c r="C59" s="2" t="s">
        <v>1032</v>
      </c>
      <c r="D59" s="2" t="s">
        <v>1033</v>
      </c>
      <c r="E59" s="2" t="s">
        <v>1034</v>
      </c>
      <c r="F59" s="2" t="s">
        <v>1035</v>
      </c>
      <c r="G59" s="2" t="s">
        <v>1036</v>
      </c>
      <c r="H59" s="2" t="s">
        <v>1037</v>
      </c>
      <c r="I59" s="2">
        <v>1</v>
      </c>
      <c r="J59" s="2">
        <v>57</v>
      </c>
      <c r="K59" s="2">
        <v>1</v>
      </c>
      <c r="L59" s="2">
        <v>0</v>
      </c>
      <c r="M59" s="2">
        <v>0</v>
      </c>
    </row>
    <row r="60" spans="1:13" x14ac:dyDescent="0.2">
      <c r="A60" s="2" t="s">
        <v>1030</v>
      </c>
      <c r="B60" s="2" t="s">
        <v>1038</v>
      </c>
      <c r="C60" s="2" t="s">
        <v>1039</v>
      </c>
      <c r="D60" s="2" t="s">
        <v>1033</v>
      </c>
      <c r="E60" s="2" t="s">
        <v>1040</v>
      </c>
      <c r="F60" s="2" t="s">
        <v>1035</v>
      </c>
      <c r="G60" s="2" t="s">
        <v>1041</v>
      </c>
      <c r="H60" s="2" t="s">
        <v>1037</v>
      </c>
      <c r="I60" s="2">
        <v>1</v>
      </c>
      <c r="J60" s="2">
        <v>58</v>
      </c>
      <c r="K60" s="2">
        <v>2</v>
      </c>
      <c r="L60" s="2">
        <v>50</v>
      </c>
      <c r="M60" s="2">
        <v>50</v>
      </c>
    </row>
    <row r="61" spans="1:13" x14ac:dyDescent="0.2">
      <c r="A61" s="2" t="s">
        <v>1030</v>
      </c>
      <c r="B61" s="2" t="s">
        <v>1042</v>
      </c>
      <c r="C61" s="2" t="s">
        <v>1043</v>
      </c>
      <c r="D61" s="2" t="s">
        <v>1033</v>
      </c>
      <c r="E61" s="2" t="s">
        <v>1044</v>
      </c>
      <c r="F61" s="2" t="s">
        <v>1035</v>
      </c>
      <c r="G61" s="2" t="s">
        <v>1045</v>
      </c>
      <c r="H61" s="2" t="s">
        <v>1037</v>
      </c>
      <c r="I61" s="2">
        <v>1</v>
      </c>
      <c r="J61" s="2">
        <v>59</v>
      </c>
      <c r="K61" s="2">
        <v>3</v>
      </c>
      <c r="L61" s="2">
        <v>100</v>
      </c>
      <c r="M61" s="2">
        <v>100</v>
      </c>
    </row>
    <row r="62" spans="1:13" ht="33" x14ac:dyDescent="0.2">
      <c r="A62" s="2" t="s">
        <v>764</v>
      </c>
      <c r="B62" s="2" t="s">
        <v>1046</v>
      </c>
      <c r="C62" s="2" t="s">
        <v>1047</v>
      </c>
      <c r="D62" s="31" t="s">
        <v>1048</v>
      </c>
      <c r="E62" s="2" t="s">
        <v>1049</v>
      </c>
      <c r="F62" s="2" t="s">
        <v>1050</v>
      </c>
      <c r="G62" s="2" t="s">
        <v>770</v>
      </c>
      <c r="H62" s="2" t="s">
        <v>40</v>
      </c>
      <c r="I62" s="2">
        <v>1</v>
      </c>
      <c r="J62" s="2">
        <v>60</v>
      </c>
      <c r="K62" s="2">
        <v>1</v>
      </c>
      <c r="L62" s="2">
        <v>0</v>
      </c>
      <c r="M62" s="2">
        <v>0</v>
      </c>
    </row>
    <row r="63" spans="1:13" ht="33" x14ac:dyDescent="0.2">
      <c r="A63" s="2" t="s">
        <v>764</v>
      </c>
      <c r="B63" s="2" t="s">
        <v>1051</v>
      </c>
      <c r="C63" s="2" t="s">
        <v>1052</v>
      </c>
      <c r="D63" s="31" t="s">
        <v>1048</v>
      </c>
      <c r="E63" s="2" t="s">
        <v>1053</v>
      </c>
      <c r="F63" s="2" t="s">
        <v>1054</v>
      </c>
      <c r="G63" s="2" t="s">
        <v>770</v>
      </c>
      <c r="H63" s="2" t="s">
        <v>40</v>
      </c>
      <c r="I63" s="2">
        <v>1</v>
      </c>
      <c r="J63" s="2">
        <v>61</v>
      </c>
      <c r="K63" s="2">
        <v>1</v>
      </c>
      <c r="L63" s="2">
        <v>0</v>
      </c>
      <c r="M63" s="2">
        <v>0</v>
      </c>
    </row>
    <row r="64" spans="1:13" ht="33" x14ac:dyDescent="0.2">
      <c r="A64" s="2" t="s">
        <v>764</v>
      </c>
      <c r="B64" s="2" t="s">
        <v>1055</v>
      </c>
      <c r="C64" s="2" t="s">
        <v>1056</v>
      </c>
      <c r="D64" s="31" t="s">
        <v>1057</v>
      </c>
      <c r="E64" s="2" t="s">
        <v>1058</v>
      </c>
      <c r="F64" s="2" t="s">
        <v>1059</v>
      </c>
      <c r="G64" s="2" t="s">
        <v>770</v>
      </c>
      <c r="H64" s="2" t="s">
        <v>40</v>
      </c>
      <c r="I64" s="2">
        <v>1</v>
      </c>
      <c r="J64" s="2">
        <v>62</v>
      </c>
      <c r="K64" s="2">
        <v>1</v>
      </c>
      <c r="L64" s="2">
        <v>0</v>
      </c>
      <c r="M64" s="2">
        <v>0</v>
      </c>
    </row>
    <row r="65" spans="1:14" ht="33" x14ac:dyDescent="0.2">
      <c r="A65" s="2" t="s">
        <v>764</v>
      </c>
      <c r="B65" s="2" t="s">
        <v>1060</v>
      </c>
      <c r="C65" s="2" t="s">
        <v>1061</v>
      </c>
      <c r="D65" s="31" t="s">
        <v>1057</v>
      </c>
      <c r="E65" s="2" t="s">
        <v>1062</v>
      </c>
      <c r="F65" s="2" t="s">
        <v>1063</v>
      </c>
      <c r="G65" s="2" t="s">
        <v>770</v>
      </c>
      <c r="H65" s="2" t="s">
        <v>40</v>
      </c>
      <c r="I65" s="2">
        <v>1</v>
      </c>
      <c r="J65" s="2">
        <v>63</v>
      </c>
      <c r="K65" s="2">
        <v>1</v>
      </c>
      <c r="L65" s="2">
        <v>0</v>
      </c>
      <c r="M65" s="2">
        <v>0</v>
      </c>
    </row>
    <row r="66" spans="1:14" ht="33" x14ac:dyDescent="0.2">
      <c r="A66" s="2" t="s">
        <v>764</v>
      </c>
      <c r="B66" s="2" t="s">
        <v>1064</v>
      </c>
      <c r="C66" s="2" t="s">
        <v>1065</v>
      </c>
      <c r="D66" s="31" t="s">
        <v>1066</v>
      </c>
      <c r="E66" s="2" t="s">
        <v>1067</v>
      </c>
      <c r="F66" s="2" t="s">
        <v>1068</v>
      </c>
      <c r="G66" s="2" t="s">
        <v>770</v>
      </c>
      <c r="H66" s="2" t="s">
        <v>40</v>
      </c>
      <c r="I66" s="2">
        <v>1</v>
      </c>
      <c r="J66" s="2">
        <v>64</v>
      </c>
      <c r="K66" s="2">
        <v>1</v>
      </c>
      <c r="L66" s="2">
        <v>0</v>
      </c>
      <c r="M66" s="2">
        <v>0</v>
      </c>
    </row>
    <row r="67" spans="1:14" ht="33" x14ac:dyDescent="0.2">
      <c r="A67" s="2" t="s">
        <v>764</v>
      </c>
      <c r="B67" s="2" t="s">
        <v>1069</v>
      </c>
      <c r="C67" s="2" t="s">
        <v>1070</v>
      </c>
      <c r="D67" s="31" t="s">
        <v>1066</v>
      </c>
      <c r="E67" s="2" t="s">
        <v>1071</v>
      </c>
      <c r="F67" s="2" t="s">
        <v>1072</v>
      </c>
      <c r="G67" s="2" t="s">
        <v>770</v>
      </c>
      <c r="H67" s="2" t="s">
        <v>40</v>
      </c>
      <c r="I67" s="2">
        <v>1</v>
      </c>
      <c r="J67" s="2">
        <v>65</v>
      </c>
      <c r="K67" s="2">
        <v>1</v>
      </c>
      <c r="L67" s="2">
        <v>0</v>
      </c>
      <c r="M67" s="2">
        <v>0</v>
      </c>
    </row>
    <row r="68" spans="1:14" x14ac:dyDescent="0.2">
      <c r="A68" s="2" t="s">
        <v>764</v>
      </c>
      <c r="B68" s="2" t="s">
        <v>1073</v>
      </c>
      <c r="C68" s="2" t="s">
        <v>1074</v>
      </c>
      <c r="D68" s="2" t="s">
        <v>1560</v>
      </c>
      <c r="E68" s="2" t="s">
        <v>1561</v>
      </c>
      <c r="F68" s="2" t="s">
        <v>1075</v>
      </c>
      <c r="G68" s="2" t="s">
        <v>1562</v>
      </c>
      <c r="H68" s="2" t="s">
        <v>1076</v>
      </c>
      <c r="I68" s="2">
        <v>1</v>
      </c>
      <c r="J68" s="2">
        <v>66</v>
      </c>
      <c r="K68" s="2">
        <v>2</v>
      </c>
      <c r="L68" s="2">
        <v>50</v>
      </c>
      <c r="M68" s="2">
        <v>50</v>
      </c>
    </row>
    <row r="69" spans="1:14" x14ac:dyDescent="0.2">
      <c r="A69" s="2" t="s">
        <v>933</v>
      </c>
      <c r="B69" s="2" t="s">
        <v>1077</v>
      </c>
      <c r="C69" s="2" t="s">
        <v>1078</v>
      </c>
      <c r="D69" s="2" t="s">
        <v>1079</v>
      </c>
      <c r="E69" s="2" t="s">
        <v>1080</v>
      </c>
      <c r="F69" s="2" t="s">
        <v>1081</v>
      </c>
      <c r="G69" s="2" t="s">
        <v>770</v>
      </c>
      <c r="H69" s="2" t="s">
        <v>40</v>
      </c>
      <c r="I69" s="2">
        <v>1</v>
      </c>
      <c r="J69" s="2">
        <v>67</v>
      </c>
      <c r="K69" s="2">
        <v>1</v>
      </c>
      <c r="L69" s="2">
        <v>0</v>
      </c>
      <c r="M69" s="2">
        <v>0</v>
      </c>
    </row>
    <row r="70" spans="1:14" x14ac:dyDescent="0.2">
      <c r="A70" s="2" t="s">
        <v>933</v>
      </c>
      <c r="B70" s="2" t="s">
        <v>1082</v>
      </c>
      <c r="C70" s="2" t="s">
        <v>1083</v>
      </c>
      <c r="D70" s="2" t="s">
        <v>1079</v>
      </c>
      <c r="E70" s="2" t="s">
        <v>710</v>
      </c>
      <c r="F70" s="2" t="s">
        <v>1084</v>
      </c>
      <c r="G70" s="2" t="s">
        <v>1085</v>
      </c>
      <c r="H70" s="2" t="s">
        <v>1086</v>
      </c>
      <c r="I70" s="2">
        <v>1</v>
      </c>
      <c r="J70" s="2">
        <v>68</v>
      </c>
      <c r="K70" s="2">
        <v>2</v>
      </c>
      <c r="L70" s="2">
        <v>50</v>
      </c>
      <c r="M70" s="2">
        <v>50</v>
      </c>
    </row>
    <row r="71" spans="1:14" x14ac:dyDescent="0.2">
      <c r="A71" s="2" t="s">
        <v>933</v>
      </c>
      <c r="B71" s="2" t="s">
        <v>1087</v>
      </c>
      <c r="C71" s="2" t="s">
        <v>1088</v>
      </c>
      <c r="D71" s="2" t="s">
        <v>1079</v>
      </c>
      <c r="E71" s="2" t="s">
        <v>711</v>
      </c>
      <c r="F71" s="2" t="s">
        <v>1089</v>
      </c>
      <c r="G71" s="2" t="s">
        <v>712</v>
      </c>
      <c r="H71" s="2" t="s">
        <v>1090</v>
      </c>
      <c r="I71" s="2">
        <v>1</v>
      </c>
      <c r="J71" s="2">
        <v>69</v>
      </c>
      <c r="K71" s="2">
        <v>3</v>
      </c>
      <c r="L71" s="2">
        <v>100</v>
      </c>
      <c r="M71" s="2">
        <v>100</v>
      </c>
    </row>
    <row r="72" spans="1:14" ht="49.5" x14ac:dyDescent="0.2">
      <c r="A72" s="2" t="s">
        <v>764</v>
      </c>
      <c r="B72" s="2" t="s">
        <v>1091</v>
      </c>
      <c r="C72" s="2" t="s">
        <v>1092</v>
      </c>
      <c r="D72" s="2" t="s">
        <v>624</v>
      </c>
      <c r="E72" s="31" t="s">
        <v>625</v>
      </c>
      <c r="F72" s="2" t="s">
        <v>1093</v>
      </c>
      <c r="G72" s="2" t="s">
        <v>770</v>
      </c>
      <c r="H72" s="2" t="s">
        <v>40</v>
      </c>
      <c r="I72" s="2">
        <v>1</v>
      </c>
      <c r="J72" s="2">
        <v>70</v>
      </c>
      <c r="K72" s="2">
        <v>3</v>
      </c>
      <c r="L72" s="2">
        <v>100</v>
      </c>
      <c r="M72" s="2">
        <v>100</v>
      </c>
    </row>
    <row r="73" spans="1:14" x14ac:dyDescent="0.2">
      <c r="A73" s="2" t="s">
        <v>857</v>
      </c>
      <c r="B73" s="2" t="s">
        <v>1094</v>
      </c>
      <c r="C73" s="2" t="s">
        <v>1095</v>
      </c>
      <c r="D73" s="2" t="s">
        <v>773</v>
      </c>
      <c r="E73" s="2" t="s">
        <v>1096</v>
      </c>
      <c r="F73" s="2" t="s">
        <v>1097</v>
      </c>
      <c r="G73" s="2" t="s">
        <v>770</v>
      </c>
      <c r="H73" s="2" t="s">
        <v>40</v>
      </c>
      <c r="I73" s="2">
        <v>1</v>
      </c>
      <c r="J73" s="2">
        <v>71</v>
      </c>
      <c r="K73" s="2">
        <v>2</v>
      </c>
      <c r="L73" s="2">
        <v>50</v>
      </c>
      <c r="M73" s="2">
        <v>50</v>
      </c>
    </row>
    <row r="74" spans="1:14" x14ac:dyDescent="0.2">
      <c r="A74" s="2" t="s">
        <v>857</v>
      </c>
      <c r="B74" s="2" t="s">
        <v>1098</v>
      </c>
      <c r="C74" s="2" t="s">
        <v>1099</v>
      </c>
      <c r="D74" s="2" t="s">
        <v>773</v>
      </c>
      <c r="E74" s="2" t="s">
        <v>1100</v>
      </c>
      <c r="F74" s="2" t="s">
        <v>1097</v>
      </c>
      <c r="G74" s="2" t="s">
        <v>1101</v>
      </c>
      <c r="H74" s="2" t="s">
        <v>1102</v>
      </c>
      <c r="I74" s="2">
        <v>1</v>
      </c>
      <c r="J74" s="2">
        <v>72</v>
      </c>
      <c r="K74" s="2">
        <v>2</v>
      </c>
      <c r="L74" s="2">
        <v>50</v>
      </c>
      <c r="M74" s="2">
        <v>50</v>
      </c>
    </row>
    <row r="75" spans="1:14" x14ac:dyDescent="0.2">
      <c r="A75" s="2" t="s">
        <v>857</v>
      </c>
      <c r="B75" s="2" t="s">
        <v>1103</v>
      </c>
      <c r="C75" s="2" t="s">
        <v>1104</v>
      </c>
      <c r="D75" s="2" t="s">
        <v>773</v>
      </c>
      <c r="E75" s="2" t="s">
        <v>1105</v>
      </c>
      <c r="F75" s="2" t="s">
        <v>1097</v>
      </c>
      <c r="G75" s="2" t="s">
        <v>1106</v>
      </c>
      <c r="H75" s="2" t="s">
        <v>1102</v>
      </c>
      <c r="I75" s="2">
        <v>1</v>
      </c>
      <c r="J75" s="2">
        <v>73</v>
      </c>
      <c r="K75" s="2">
        <v>3</v>
      </c>
      <c r="L75" s="2">
        <v>100</v>
      </c>
      <c r="M75" s="2">
        <v>100</v>
      </c>
    </row>
    <row r="76" spans="1:14" x14ac:dyDescent="0.2">
      <c r="A76" s="2" t="s">
        <v>764</v>
      </c>
      <c r="B76" s="2" t="s">
        <v>1107</v>
      </c>
      <c r="C76" s="2" t="s">
        <v>1108</v>
      </c>
      <c r="D76" s="2" t="s">
        <v>773</v>
      </c>
      <c r="E76" s="2" t="s">
        <v>1109</v>
      </c>
      <c r="F76" s="2" t="s">
        <v>1110</v>
      </c>
      <c r="G76" s="2" t="s">
        <v>770</v>
      </c>
      <c r="H76" s="2" t="s">
        <v>40</v>
      </c>
      <c r="I76" s="2">
        <v>1</v>
      </c>
      <c r="J76" s="2">
        <v>74</v>
      </c>
      <c r="K76" s="2">
        <v>1</v>
      </c>
      <c r="L76" s="2">
        <v>0</v>
      </c>
      <c r="M76" s="2">
        <v>0</v>
      </c>
    </row>
    <row r="77" spans="1:14" ht="33" x14ac:dyDescent="0.2">
      <c r="A77" s="2" t="s">
        <v>764</v>
      </c>
      <c r="B77" s="2" t="s">
        <v>1111</v>
      </c>
      <c r="C77" s="2" t="s">
        <v>1112</v>
      </c>
      <c r="D77" s="2" t="s">
        <v>773</v>
      </c>
      <c r="E77" s="2" t="s">
        <v>1113</v>
      </c>
      <c r="F77" s="31" t="s">
        <v>1114</v>
      </c>
      <c r="G77" s="2" t="s">
        <v>770</v>
      </c>
      <c r="H77" s="2" t="s">
        <v>40</v>
      </c>
      <c r="I77" s="2">
        <v>1</v>
      </c>
      <c r="J77" s="2">
        <v>75</v>
      </c>
      <c r="K77" s="2">
        <v>1</v>
      </c>
      <c r="L77" s="2">
        <v>0</v>
      </c>
      <c r="M77" s="2">
        <v>0</v>
      </c>
    </row>
    <row r="78" spans="1:14" ht="82.5" x14ac:dyDescent="0.2">
      <c r="A78" s="2" t="s">
        <v>764</v>
      </c>
      <c r="B78" s="2" t="s">
        <v>1115</v>
      </c>
      <c r="C78" s="2" t="s">
        <v>1116</v>
      </c>
      <c r="D78" s="31" t="s">
        <v>1117</v>
      </c>
      <c r="E78" s="2" t="s">
        <v>1118</v>
      </c>
      <c r="F78" s="2" t="s">
        <v>1119</v>
      </c>
      <c r="G78" s="2" t="s">
        <v>911</v>
      </c>
      <c r="H78" s="2" t="s">
        <v>40</v>
      </c>
      <c r="I78" s="2">
        <v>1</v>
      </c>
      <c r="J78" s="2">
        <v>76</v>
      </c>
      <c r="K78" s="2">
        <v>1</v>
      </c>
      <c r="L78" s="2">
        <v>0</v>
      </c>
      <c r="M78" s="2">
        <v>0</v>
      </c>
    </row>
    <row r="79" spans="1:14" x14ac:dyDescent="0.2">
      <c r="A79" s="2" t="s">
        <v>823</v>
      </c>
      <c r="B79" s="2" t="s">
        <v>1120</v>
      </c>
      <c r="C79" s="2" t="s">
        <v>1121</v>
      </c>
      <c r="D79" s="2" t="s">
        <v>842</v>
      </c>
      <c r="E79" s="2" t="s">
        <v>1122</v>
      </c>
      <c r="F79" s="2" t="s">
        <v>1123</v>
      </c>
      <c r="G79" s="2" t="s">
        <v>770</v>
      </c>
      <c r="H79" s="2" t="s">
        <v>40</v>
      </c>
      <c r="I79" s="2">
        <v>0</v>
      </c>
      <c r="J79" s="2">
        <v>77</v>
      </c>
      <c r="K79" s="2">
        <v>1</v>
      </c>
      <c r="L79" s="2">
        <v>0</v>
      </c>
      <c r="M79" s="2">
        <v>0</v>
      </c>
      <c r="N79" s="2" t="s">
        <v>851</v>
      </c>
    </row>
    <row r="80" spans="1:14" x14ac:dyDescent="0.2">
      <c r="A80" s="2" t="s">
        <v>823</v>
      </c>
      <c r="B80" s="2" t="s">
        <v>1124</v>
      </c>
      <c r="C80" s="2" t="s">
        <v>1125</v>
      </c>
      <c r="D80" s="2" t="s">
        <v>842</v>
      </c>
      <c r="E80" s="2" t="s">
        <v>1122</v>
      </c>
      <c r="F80" s="2" t="s">
        <v>687</v>
      </c>
      <c r="G80" s="2" t="s">
        <v>770</v>
      </c>
      <c r="H80" s="2" t="s">
        <v>40</v>
      </c>
      <c r="I80" s="2">
        <v>1</v>
      </c>
      <c r="J80" s="2">
        <v>78</v>
      </c>
      <c r="K80" s="2">
        <v>1</v>
      </c>
      <c r="L80" s="2">
        <v>0</v>
      </c>
      <c r="M80" s="2">
        <v>0</v>
      </c>
    </row>
    <row r="81" spans="1:14" x14ac:dyDescent="0.2">
      <c r="A81" s="2" t="s">
        <v>764</v>
      </c>
      <c r="B81" s="2" t="s">
        <v>1126</v>
      </c>
      <c r="C81" s="2" t="s">
        <v>1127</v>
      </c>
      <c r="D81" s="2" t="s">
        <v>1128</v>
      </c>
      <c r="E81" s="2" t="s">
        <v>1129</v>
      </c>
      <c r="F81" s="2" t="s">
        <v>1539</v>
      </c>
      <c r="G81" s="2" t="s">
        <v>770</v>
      </c>
      <c r="H81" s="2" t="s">
        <v>40</v>
      </c>
      <c r="I81" s="2">
        <v>1</v>
      </c>
      <c r="J81" s="2">
        <v>79</v>
      </c>
      <c r="K81" s="2">
        <v>1</v>
      </c>
      <c r="L81" s="2">
        <v>0</v>
      </c>
      <c r="M81" s="2">
        <v>0</v>
      </c>
    </row>
    <row r="82" spans="1:14" x14ac:dyDescent="0.2">
      <c r="A82" s="2" t="s">
        <v>764</v>
      </c>
      <c r="B82" s="2" t="s">
        <v>1130</v>
      </c>
      <c r="C82" s="2" t="s">
        <v>1131</v>
      </c>
      <c r="D82" s="2" t="s">
        <v>773</v>
      </c>
      <c r="E82" s="2" t="s">
        <v>1132</v>
      </c>
      <c r="F82" s="2" t="s">
        <v>1133</v>
      </c>
      <c r="G82" s="2" t="s">
        <v>770</v>
      </c>
      <c r="H82" s="2" t="s">
        <v>40</v>
      </c>
      <c r="I82" s="2">
        <v>1</v>
      </c>
      <c r="J82" s="2">
        <v>80</v>
      </c>
      <c r="K82" s="2">
        <v>1</v>
      </c>
      <c r="L82" s="2">
        <v>0</v>
      </c>
      <c r="M82" s="2">
        <v>0</v>
      </c>
    </row>
    <row r="83" spans="1:14" x14ac:dyDescent="0.2">
      <c r="A83" s="2" t="s">
        <v>933</v>
      </c>
      <c r="B83" s="2" t="s">
        <v>1134</v>
      </c>
      <c r="C83" s="2" t="s">
        <v>1135</v>
      </c>
      <c r="D83" s="2" t="s">
        <v>773</v>
      </c>
      <c r="E83" s="2" t="s">
        <v>1136</v>
      </c>
      <c r="F83" s="2" t="s">
        <v>1137</v>
      </c>
      <c r="G83" s="2" t="s">
        <v>770</v>
      </c>
      <c r="H83" s="2" t="s">
        <v>40</v>
      </c>
      <c r="I83" s="2">
        <v>1</v>
      </c>
      <c r="J83" s="2">
        <v>81</v>
      </c>
      <c r="K83" s="2">
        <v>1</v>
      </c>
      <c r="L83" s="2">
        <v>0</v>
      </c>
      <c r="M83" s="2">
        <v>0</v>
      </c>
    </row>
    <row r="84" spans="1:14" x14ac:dyDescent="0.2">
      <c r="A84" s="2" t="s">
        <v>933</v>
      </c>
      <c r="B84" s="2" t="s">
        <v>1138</v>
      </c>
      <c r="C84" s="2" t="s">
        <v>1139</v>
      </c>
      <c r="D84" s="2" t="s">
        <v>773</v>
      </c>
      <c r="E84" s="2" t="s">
        <v>1140</v>
      </c>
      <c r="F84" s="2" t="s">
        <v>1141</v>
      </c>
      <c r="G84" s="2" t="s">
        <v>770</v>
      </c>
      <c r="H84" s="2" t="s">
        <v>40</v>
      </c>
      <c r="I84" s="2">
        <v>1</v>
      </c>
      <c r="J84" s="2">
        <v>82</v>
      </c>
      <c r="K84" s="2">
        <v>1</v>
      </c>
      <c r="L84" s="2">
        <v>0</v>
      </c>
      <c r="M84" s="2">
        <v>0</v>
      </c>
    </row>
    <row r="85" spans="1:14" x14ac:dyDescent="0.2">
      <c r="A85" s="2" t="s">
        <v>857</v>
      </c>
      <c r="B85" s="2" t="s">
        <v>1142</v>
      </c>
      <c r="C85" s="2" t="s">
        <v>1143</v>
      </c>
      <c r="D85" s="2" t="s">
        <v>1144</v>
      </c>
      <c r="E85" s="2" t="s">
        <v>1145</v>
      </c>
      <c r="F85" s="2" t="s">
        <v>1146</v>
      </c>
      <c r="G85" s="2" t="s">
        <v>1147</v>
      </c>
      <c r="H85" s="2" t="s">
        <v>1148</v>
      </c>
      <c r="I85" s="2">
        <v>1</v>
      </c>
      <c r="J85" s="2">
        <v>83</v>
      </c>
      <c r="K85" s="2">
        <v>1</v>
      </c>
      <c r="L85" s="2">
        <v>0</v>
      </c>
      <c r="M85" s="2">
        <v>0</v>
      </c>
    </row>
    <row r="86" spans="1:14" x14ac:dyDescent="0.2">
      <c r="A86" s="2" t="s">
        <v>933</v>
      </c>
      <c r="B86" s="2" t="s">
        <v>1149</v>
      </c>
      <c r="C86" s="2" t="s">
        <v>1150</v>
      </c>
      <c r="D86" s="2" t="s">
        <v>773</v>
      </c>
      <c r="E86" s="2" t="s">
        <v>1151</v>
      </c>
      <c r="F86" s="2" t="s">
        <v>1152</v>
      </c>
      <c r="G86" s="2" t="s">
        <v>1153</v>
      </c>
      <c r="H86" s="2" t="s">
        <v>1154</v>
      </c>
      <c r="I86" s="2">
        <v>1</v>
      </c>
      <c r="J86" s="2">
        <v>84</v>
      </c>
      <c r="K86" s="2">
        <v>3</v>
      </c>
      <c r="L86" s="2">
        <v>100</v>
      </c>
      <c r="M86" s="2">
        <v>100</v>
      </c>
    </row>
    <row r="87" spans="1:14" x14ac:dyDescent="0.2">
      <c r="A87" s="2" t="s">
        <v>933</v>
      </c>
      <c r="B87" s="2" t="s">
        <v>1155</v>
      </c>
      <c r="C87" s="2" t="s">
        <v>1156</v>
      </c>
      <c r="D87" s="2" t="s">
        <v>773</v>
      </c>
      <c r="E87" s="2" t="s">
        <v>1157</v>
      </c>
      <c r="F87" s="2" t="s">
        <v>1152</v>
      </c>
      <c r="G87" s="2" t="s">
        <v>1158</v>
      </c>
      <c r="H87" s="2" t="s">
        <v>1154</v>
      </c>
      <c r="I87" s="2">
        <v>0</v>
      </c>
      <c r="J87" s="2">
        <v>85</v>
      </c>
      <c r="K87" s="2">
        <v>3</v>
      </c>
      <c r="L87" s="2">
        <v>100</v>
      </c>
      <c r="M87" s="2">
        <v>100</v>
      </c>
    </row>
    <row r="88" spans="1:14" x14ac:dyDescent="0.2">
      <c r="A88" s="2" t="s">
        <v>933</v>
      </c>
      <c r="B88" s="2" t="s">
        <v>1159</v>
      </c>
      <c r="C88" s="2" t="s">
        <v>1160</v>
      </c>
      <c r="D88" s="2" t="s">
        <v>773</v>
      </c>
      <c r="E88" s="2" t="s">
        <v>1161</v>
      </c>
      <c r="F88" s="2" t="s">
        <v>1162</v>
      </c>
      <c r="G88" s="2" t="s">
        <v>1163</v>
      </c>
      <c r="H88" s="2" t="s">
        <v>1164</v>
      </c>
      <c r="I88" s="2">
        <v>1</v>
      </c>
      <c r="J88" s="2">
        <v>86</v>
      </c>
      <c r="K88" s="2">
        <v>3</v>
      </c>
      <c r="L88" s="2">
        <v>100</v>
      </c>
      <c r="M88" s="2">
        <v>100</v>
      </c>
    </row>
    <row r="89" spans="1:14" x14ac:dyDescent="0.2">
      <c r="A89" s="2" t="s">
        <v>933</v>
      </c>
      <c r="B89" s="2" t="s">
        <v>1165</v>
      </c>
      <c r="C89" s="2" t="s">
        <v>1166</v>
      </c>
      <c r="D89" s="2" t="s">
        <v>773</v>
      </c>
      <c r="E89" s="2" t="s">
        <v>1167</v>
      </c>
      <c r="F89" s="2" t="s">
        <v>1168</v>
      </c>
      <c r="G89" s="2" t="s">
        <v>770</v>
      </c>
      <c r="H89" s="2" t="s">
        <v>40</v>
      </c>
      <c r="I89" s="2">
        <v>1</v>
      </c>
      <c r="J89" s="2">
        <v>87</v>
      </c>
      <c r="K89" s="2">
        <v>1</v>
      </c>
      <c r="L89" s="2">
        <v>0</v>
      </c>
      <c r="M89" s="2">
        <v>0</v>
      </c>
    </row>
    <row r="90" spans="1:14" x14ac:dyDescent="0.2">
      <c r="A90" s="2" t="s">
        <v>933</v>
      </c>
      <c r="B90" s="2" t="s">
        <v>1169</v>
      </c>
      <c r="C90" s="2" t="s">
        <v>1170</v>
      </c>
      <c r="D90" s="2" t="s">
        <v>773</v>
      </c>
      <c r="E90" s="2" t="s">
        <v>1171</v>
      </c>
      <c r="F90" s="2" t="s">
        <v>1168</v>
      </c>
      <c r="G90" s="2" t="s">
        <v>770</v>
      </c>
      <c r="H90" s="2" t="s">
        <v>40</v>
      </c>
      <c r="I90" s="2">
        <v>1</v>
      </c>
      <c r="J90" s="2">
        <v>88</v>
      </c>
      <c r="K90" s="2">
        <v>2</v>
      </c>
      <c r="L90" s="2">
        <v>50</v>
      </c>
      <c r="M90" s="2">
        <v>50</v>
      </c>
    </row>
    <row r="91" spans="1:14" x14ac:dyDescent="0.2">
      <c r="A91" s="2" t="s">
        <v>933</v>
      </c>
      <c r="B91" s="2" t="s">
        <v>1172</v>
      </c>
      <c r="C91" s="2" t="s">
        <v>1173</v>
      </c>
      <c r="D91" s="2" t="s">
        <v>773</v>
      </c>
      <c r="E91" s="2" t="s">
        <v>1174</v>
      </c>
      <c r="F91" s="2" t="s">
        <v>1168</v>
      </c>
      <c r="G91" s="2" t="s">
        <v>770</v>
      </c>
      <c r="H91" s="2" t="s">
        <v>40</v>
      </c>
      <c r="I91" s="2">
        <v>1</v>
      </c>
      <c r="J91" s="2">
        <v>89</v>
      </c>
      <c r="K91" s="2">
        <v>3</v>
      </c>
      <c r="L91" s="2">
        <v>100</v>
      </c>
      <c r="M91" s="2">
        <v>100</v>
      </c>
    </row>
    <row r="92" spans="1:14" x14ac:dyDescent="0.2">
      <c r="A92" s="2" t="s">
        <v>823</v>
      </c>
      <c r="B92" s="2" t="s">
        <v>747</v>
      </c>
      <c r="C92" s="2" t="s">
        <v>1175</v>
      </c>
      <c r="D92" s="2" t="s">
        <v>1176</v>
      </c>
      <c r="E92" s="2" t="s">
        <v>1177</v>
      </c>
      <c r="F92" s="2" t="s">
        <v>1178</v>
      </c>
      <c r="G92" s="2" t="s">
        <v>1179</v>
      </c>
      <c r="H92" s="2" t="s">
        <v>1180</v>
      </c>
      <c r="I92" s="2">
        <v>0</v>
      </c>
      <c r="J92" s="2">
        <v>90</v>
      </c>
      <c r="K92" s="2">
        <v>1</v>
      </c>
      <c r="L92" s="2">
        <v>0</v>
      </c>
      <c r="M92" s="2">
        <v>0</v>
      </c>
      <c r="N92" s="2" t="s">
        <v>851</v>
      </c>
    </row>
    <row r="93" spans="1:14" x14ac:dyDescent="0.2">
      <c r="A93" s="2" t="s">
        <v>933</v>
      </c>
      <c r="B93" s="2" t="s">
        <v>1181</v>
      </c>
      <c r="C93" s="2" t="s">
        <v>1182</v>
      </c>
      <c r="D93" s="2" t="s">
        <v>773</v>
      </c>
      <c r="E93" s="2" t="s">
        <v>1183</v>
      </c>
      <c r="F93" s="2" t="s">
        <v>1152</v>
      </c>
      <c r="G93" s="2" t="s">
        <v>1184</v>
      </c>
      <c r="H93" s="2" t="s">
        <v>1154</v>
      </c>
      <c r="I93" s="2">
        <v>0</v>
      </c>
      <c r="J93" s="2">
        <v>91</v>
      </c>
      <c r="K93" s="2">
        <v>3</v>
      </c>
      <c r="L93" s="2">
        <v>100</v>
      </c>
      <c r="M93" s="2">
        <v>100</v>
      </c>
    </row>
    <row r="94" spans="1:14" x14ac:dyDescent="0.2">
      <c r="A94" s="2" t="s">
        <v>933</v>
      </c>
      <c r="B94" s="2" t="s">
        <v>1185</v>
      </c>
      <c r="C94" s="2" t="s">
        <v>1186</v>
      </c>
      <c r="D94" s="2" t="s">
        <v>773</v>
      </c>
      <c r="E94" s="2" t="s">
        <v>1187</v>
      </c>
      <c r="F94" s="2" t="s">
        <v>1188</v>
      </c>
      <c r="G94" s="2" t="s">
        <v>1189</v>
      </c>
      <c r="H94" s="2" t="s">
        <v>1190</v>
      </c>
      <c r="I94" s="2">
        <v>1</v>
      </c>
      <c r="J94" s="2">
        <v>92</v>
      </c>
      <c r="K94" s="2">
        <v>3</v>
      </c>
      <c r="L94" s="2">
        <v>100</v>
      </c>
      <c r="M94" s="2">
        <v>100</v>
      </c>
    </row>
    <row r="95" spans="1:14" x14ac:dyDescent="0.2">
      <c r="A95" s="2" t="s">
        <v>933</v>
      </c>
      <c r="B95" s="2" t="s">
        <v>1191</v>
      </c>
      <c r="C95" s="2" t="s">
        <v>1192</v>
      </c>
      <c r="D95" s="2" t="s">
        <v>773</v>
      </c>
      <c r="E95" s="2" t="s">
        <v>1193</v>
      </c>
      <c r="F95" s="2" t="s">
        <v>1188</v>
      </c>
      <c r="G95" s="2" t="s">
        <v>1194</v>
      </c>
      <c r="H95" s="2" t="s">
        <v>1190</v>
      </c>
      <c r="I95" s="2">
        <v>0</v>
      </c>
      <c r="J95" s="2">
        <v>93</v>
      </c>
      <c r="K95" s="2">
        <v>3</v>
      </c>
      <c r="L95" s="2">
        <v>100</v>
      </c>
      <c r="M95" s="2">
        <v>100</v>
      </c>
    </row>
    <row r="96" spans="1:14" x14ac:dyDescent="0.2">
      <c r="A96" s="2" t="s">
        <v>933</v>
      </c>
      <c r="B96" s="2" t="s">
        <v>1195</v>
      </c>
      <c r="C96" s="2" t="s">
        <v>1196</v>
      </c>
      <c r="D96" s="2" t="s">
        <v>773</v>
      </c>
      <c r="E96" s="2" t="s">
        <v>1197</v>
      </c>
      <c r="F96" s="2" t="s">
        <v>1188</v>
      </c>
      <c r="G96" s="2" t="s">
        <v>1198</v>
      </c>
      <c r="H96" s="2" t="s">
        <v>1190</v>
      </c>
      <c r="I96" s="2">
        <v>0</v>
      </c>
      <c r="J96" s="2">
        <v>94</v>
      </c>
      <c r="K96" s="2">
        <v>3</v>
      </c>
      <c r="L96" s="2">
        <v>100</v>
      </c>
      <c r="M96" s="2">
        <v>100</v>
      </c>
    </row>
    <row r="97" spans="1:13" x14ac:dyDescent="0.2">
      <c r="A97" s="2" t="s">
        <v>857</v>
      </c>
      <c r="B97" s="2" t="s">
        <v>1199</v>
      </c>
      <c r="C97" s="2" t="s">
        <v>1200</v>
      </c>
      <c r="D97" s="2" t="s">
        <v>1201</v>
      </c>
      <c r="E97" s="2" t="s">
        <v>1202</v>
      </c>
      <c r="F97" s="2" t="s">
        <v>996</v>
      </c>
      <c r="G97" s="2" t="s">
        <v>1203</v>
      </c>
      <c r="H97" s="2" t="s">
        <v>1005</v>
      </c>
      <c r="I97" s="2">
        <v>1</v>
      </c>
      <c r="J97" s="2">
        <v>95</v>
      </c>
      <c r="K97" s="2">
        <v>1</v>
      </c>
      <c r="L97" s="2">
        <v>0</v>
      </c>
      <c r="M97" s="2">
        <v>0</v>
      </c>
    </row>
    <row r="98" spans="1:13" x14ac:dyDescent="0.2">
      <c r="A98" s="2" t="s">
        <v>857</v>
      </c>
      <c r="B98" s="2" t="s">
        <v>1204</v>
      </c>
      <c r="C98" s="2" t="s">
        <v>1205</v>
      </c>
      <c r="D98" s="2" t="s">
        <v>1201</v>
      </c>
      <c r="E98" s="2" t="s">
        <v>1206</v>
      </c>
      <c r="F98" s="2" t="s">
        <v>996</v>
      </c>
      <c r="G98" s="2" t="s">
        <v>1207</v>
      </c>
      <c r="H98" s="2" t="s">
        <v>1005</v>
      </c>
      <c r="I98" s="2">
        <v>1</v>
      </c>
      <c r="J98" s="2">
        <v>96</v>
      </c>
      <c r="K98" s="2">
        <v>2</v>
      </c>
      <c r="L98" s="2">
        <v>50</v>
      </c>
      <c r="M98" s="2">
        <v>50</v>
      </c>
    </row>
    <row r="99" spans="1:13" x14ac:dyDescent="0.2">
      <c r="A99" s="2" t="s">
        <v>857</v>
      </c>
      <c r="B99" s="2" t="s">
        <v>1208</v>
      </c>
      <c r="C99" s="2" t="s">
        <v>1209</v>
      </c>
      <c r="D99" s="2" t="s">
        <v>1201</v>
      </c>
      <c r="E99" s="2" t="s">
        <v>1210</v>
      </c>
      <c r="F99" s="2" t="s">
        <v>996</v>
      </c>
      <c r="G99" s="2" t="s">
        <v>1211</v>
      </c>
      <c r="H99" s="2" t="s">
        <v>1005</v>
      </c>
      <c r="I99" s="2">
        <v>1</v>
      </c>
      <c r="J99" s="2">
        <v>97</v>
      </c>
      <c r="K99" s="2">
        <v>3</v>
      </c>
      <c r="L99" s="2">
        <v>100</v>
      </c>
      <c r="M99" s="2">
        <v>100</v>
      </c>
    </row>
    <row r="100" spans="1:13" ht="33" x14ac:dyDescent="0.2">
      <c r="A100" s="2" t="s">
        <v>857</v>
      </c>
      <c r="B100" s="2" t="s">
        <v>1212</v>
      </c>
      <c r="C100" s="2" t="s">
        <v>1213</v>
      </c>
      <c r="D100" s="31" t="s">
        <v>994</v>
      </c>
      <c r="E100" s="2" t="s">
        <v>717</v>
      </c>
      <c r="F100" s="2" t="s">
        <v>996</v>
      </c>
      <c r="G100" s="2" t="s">
        <v>770</v>
      </c>
      <c r="H100" s="2" t="s">
        <v>40</v>
      </c>
      <c r="I100" s="2">
        <v>1</v>
      </c>
      <c r="J100" s="2">
        <v>98</v>
      </c>
      <c r="K100" s="2">
        <v>1</v>
      </c>
      <c r="L100" s="2">
        <v>0</v>
      </c>
      <c r="M100" s="2">
        <v>0</v>
      </c>
    </row>
    <row r="101" spans="1:13" ht="49.5" x14ac:dyDescent="0.2">
      <c r="A101" s="2" t="s">
        <v>857</v>
      </c>
      <c r="B101" s="2" t="s">
        <v>1214</v>
      </c>
      <c r="C101" s="2" t="s">
        <v>1215</v>
      </c>
      <c r="D101" s="31" t="s">
        <v>994</v>
      </c>
      <c r="E101" s="2" t="s">
        <v>718</v>
      </c>
      <c r="F101" s="2" t="s">
        <v>996</v>
      </c>
      <c r="G101" s="31" t="s">
        <v>1216</v>
      </c>
      <c r="H101" s="2" t="s">
        <v>1005</v>
      </c>
      <c r="I101" s="2">
        <v>1</v>
      </c>
      <c r="J101" s="2">
        <v>99</v>
      </c>
      <c r="K101" s="2">
        <v>2</v>
      </c>
      <c r="L101" s="2">
        <v>50</v>
      </c>
      <c r="M101" s="2">
        <v>50</v>
      </c>
    </row>
    <row r="102" spans="1:13" ht="49.5" x14ac:dyDescent="0.2">
      <c r="A102" s="2" t="s">
        <v>857</v>
      </c>
      <c r="B102" s="2" t="s">
        <v>1217</v>
      </c>
      <c r="C102" s="2" t="s">
        <v>1218</v>
      </c>
      <c r="D102" s="31" t="s">
        <v>994</v>
      </c>
      <c r="E102" s="2" t="s">
        <v>719</v>
      </c>
      <c r="F102" s="2" t="s">
        <v>996</v>
      </c>
      <c r="G102" s="31" t="s">
        <v>1219</v>
      </c>
      <c r="H102" s="2" t="s">
        <v>1005</v>
      </c>
      <c r="I102" s="2">
        <v>1</v>
      </c>
      <c r="J102" s="2">
        <v>100</v>
      </c>
      <c r="K102" s="2">
        <v>3</v>
      </c>
      <c r="L102" s="2">
        <v>100</v>
      </c>
      <c r="M102" s="2">
        <v>100</v>
      </c>
    </row>
    <row r="103" spans="1:13" ht="33" x14ac:dyDescent="0.2">
      <c r="A103" s="2" t="s">
        <v>857</v>
      </c>
      <c r="B103" s="2" t="s">
        <v>1220</v>
      </c>
      <c r="C103" s="2" t="s">
        <v>1221</v>
      </c>
      <c r="D103" s="31" t="s">
        <v>994</v>
      </c>
      <c r="E103" s="2" t="s">
        <v>721</v>
      </c>
      <c r="F103" s="2" t="s">
        <v>996</v>
      </c>
      <c r="G103" s="2" t="s">
        <v>770</v>
      </c>
      <c r="H103" s="2" t="s">
        <v>40</v>
      </c>
      <c r="I103" s="2">
        <v>1</v>
      </c>
      <c r="J103" s="2">
        <v>101</v>
      </c>
      <c r="K103" s="2">
        <v>1</v>
      </c>
      <c r="L103" s="2">
        <v>0</v>
      </c>
      <c r="M103" s="2">
        <v>0</v>
      </c>
    </row>
    <row r="104" spans="1:13" ht="49.5" x14ac:dyDescent="0.2">
      <c r="A104" s="2" t="s">
        <v>857</v>
      </c>
      <c r="B104" s="2" t="s">
        <v>1222</v>
      </c>
      <c r="C104" s="2" t="s">
        <v>1223</v>
      </c>
      <c r="D104" s="31" t="s">
        <v>994</v>
      </c>
      <c r="E104" s="2" t="s">
        <v>722</v>
      </c>
      <c r="F104" s="2" t="s">
        <v>996</v>
      </c>
      <c r="G104" s="31" t="s">
        <v>1224</v>
      </c>
      <c r="H104" s="2" t="s">
        <v>1005</v>
      </c>
      <c r="I104" s="2">
        <v>1</v>
      </c>
      <c r="J104" s="2">
        <v>102</v>
      </c>
      <c r="K104" s="2">
        <v>2</v>
      </c>
      <c r="L104" s="2">
        <v>50</v>
      </c>
      <c r="M104" s="2">
        <v>50</v>
      </c>
    </row>
    <row r="105" spans="1:13" ht="49.5" x14ac:dyDescent="0.2">
      <c r="A105" s="2" t="s">
        <v>857</v>
      </c>
      <c r="B105" s="2" t="s">
        <v>1225</v>
      </c>
      <c r="C105" s="2" t="s">
        <v>1226</v>
      </c>
      <c r="D105" s="31" t="s">
        <v>994</v>
      </c>
      <c r="E105" s="2" t="s">
        <v>723</v>
      </c>
      <c r="F105" s="2" t="s">
        <v>996</v>
      </c>
      <c r="G105" s="31" t="s">
        <v>1227</v>
      </c>
      <c r="H105" s="2" t="s">
        <v>1005</v>
      </c>
      <c r="I105" s="2">
        <v>1</v>
      </c>
      <c r="J105" s="2">
        <v>103</v>
      </c>
      <c r="K105" s="2">
        <v>3</v>
      </c>
      <c r="L105" s="2">
        <v>100</v>
      </c>
      <c r="M105" s="2">
        <v>100</v>
      </c>
    </row>
    <row r="106" spans="1:13" ht="33" x14ac:dyDescent="0.2">
      <c r="A106" s="2" t="s">
        <v>857</v>
      </c>
      <c r="B106" s="2" t="s">
        <v>1228</v>
      </c>
      <c r="C106" s="2" t="s">
        <v>1229</v>
      </c>
      <c r="D106" s="31" t="s">
        <v>994</v>
      </c>
      <c r="E106" s="2" t="s">
        <v>727</v>
      </c>
      <c r="F106" s="2" t="s">
        <v>996</v>
      </c>
      <c r="G106" s="2" t="s">
        <v>770</v>
      </c>
      <c r="H106" s="2" t="s">
        <v>40</v>
      </c>
      <c r="I106" s="2">
        <v>1</v>
      </c>
      <c r="J106" s="2">
        <v>104</v>
      </c>
      <c r="K106" s="2">
        <v>1</v>
      </c>
      <c r="L106" s="2">
        <v>0</v>
      </c>
      <c r="M106" s="2">
        <v>0</v>
      </c>
    </row>
    <row r="107" spans="1:13" ht="49.5" x14ac:dyDescent="0.2">
      <c r="A107" s="2" t="s">
        <v>857</v>
      </c>
      <c r="B107" s="2" t="s">
        <v>1230</v>
      </c>
      <c r="C107" s="2" t="s">
        <v>1231</v>
      </c>
      <c r="D107" s="31" t="s">
        <v>994</v>
      </c>
      <c r="E107" s="2" t="s">
        <v>728</v>
      </c>
      <c r="F107" s="2" t="s">
        <v>996</v>
      </c>
      <c r="G107" s="31" t="s">
        <v>729</v>
      </c>
      <c r="H107" s="2" t="s">
        <v>1005</v>
      </c>
      <c r="I107" s="2">
        <v>1</v>
      </c>
      <c r="J107" s="2">
        <v>105</v>
      </c>
      <c r="K107" s="2">
        <v>2</v>
      </c>
      <c r="L107" s="2">
        <v>100</v>
      </c>
      <c r="M107" s="2">
        <v>100</v>
      </c>
    </row>
    <row r="108" spans="1:13" ht="49.5" x14ac:dyDescent="0.2">
      <c r="A108" s="2" t="s">
        <v>857</v>
      </c>
      <c r="B108" s="2" t="s">
        <v>1232</v>
      </c>
      <c r="C108" s="2" t="s">
        <v>1233</v>
      </c>
      <c r="D108" s="31" t="s">
        <v>994</v>
      </c>
      <c r="E108" s="2" t="s">
        <v>730</v>
      </c>
      <c r="F108" s="2" t="s">
        <v>996</v>
      </c>
      <c r="G108" s="31" t="s">
        <v>731</v>
      </c>
      <c r="H108" s="2" t="s">
        <v>1005</v>
      </c>
      <c r="I108" s="2">
        <v>1</v>
      </c>
      <c r="J108" s="2">
        <v>106</v>
      </c>
      <c r="K108" s="2">
        <v>3</v>
      </c>
      <c r="L108" s="2">
        <v>100</v>
      </c>
      <c r="M108" s="2">
        <v>100</v>
      </c>
    </row>
    <row r="109" spans="1:13" ht="33" x14ac:dyDescent="0.2">
      <c r="A109" s="2" t="s">
        <v>857</v>
      </c>
      <c r="B109" s="2" t="s">
        <v>1234</v>
      </c>
      <c r="C109" s="2" t="s">
        <v>1235</v>
      </c>
      <c r="D109" s="31" t="s">
        <v>994</v>
      </c>
      <c r="E109" s="2" t="s">
        <v>732</v>
      </c>
      <c r="F109" s="2" t="s">
        <v>996</v>
      </c>
      <c r="G109" s="2" t="s">
        <v>770</v>
      </c>
      <c r="H109" s="2" t="s">
        <v>40</v>
      </c>
      <c r="I109" s="2">
        <v>1</v>
      </c>
      <c r="J109" s="2">
        <v>107</v>
      </c>
      <c r="K109" s="2">
        <v>1</v>
      </c>
      <c r="L109" s="2">
        <v>0</v>
      </c>
      <c r="M109" s="2">
        <v>0</v>
      </c>
    </row>
    <row r="110" spans="1:13" ht="49.5" x14ac:dyDescent="0.2">
      <c r="A110" s="2" t="s">
        <v>857</v>
      </c>
      <c r="B110" s="2" t="s">
        <v>1236</v>
      </c>
      <c r="C110" s="2" t="s">
        <v>1237</v>
      </c>
      <c r="D110" s="31" t="s">
        <v>994</v>
      </c>
      <c r="E110" s="2" t="s">
        <v>733</v>
      </c>
      <c r="F110" s="2" t="s">
        <v>996</v>
      </c>
      <c r="G110" s="31" t="s">
        <v>734</v>
      </c>
      <c r="H110" s="2" t="s">
        <v>1005</v>
      </c>
      <c r="I110" s="2">
        <v>1</v>
      </c>
      <c r="J110" s="2">
        <v>108</v>
      </c>
      <c r="K110" s="2">
        <v>2</v>
      </c>
      <c r="L110" s="2">
        <v>100</v>
      </c>
      <c r="M110" s="2">
        <v>100</v>
      </c>
    </row>
    <row r="111" spans="1:13" ht="49.5" x14ac:dyDescent="0.2">
      <c r="A111" s="2" t="s">
        <v>857</v>
      </c>
      <c r="B111" s="2" t="s">
        <v>1238</v>
      </c>
      <c r="C111" s="2" t="s">
        <v>1239</v>
      </c>
      <c r="D111" s="31" t="s">
        <v>994</v>
      </c>
      <c r="E111" s="2" t="s">
        <v>720</v>
      </c>
      <c r="F111" s="2" t="s">
        <v>996</v>
      </c>
      <c r="G111" s="31" t="s">
        <v>735</v>
      </c>
      <c r="H111" s="2" t="s">
        <v>1005</v>
      </c>
      <c r="I111" s="2">
        <v>1</v>
      </c>
      <c r="J111" s="2">
        <v>109</v>
      </c>
      <c r="K111" s="2">
        <v>3</v>
      </c>
      <c r="L111" s="2">
        <v>100</v>
      </c>
      <c r="M111" s="2">
        <v>100</v>
      </c>
    </row>
    <row r="112" spans="1:13" x14ac:dyDescent="0.2">
      <c r="A112" s="2" t="s">
        <v>1240</v>
      </c>
      <c r="B112" s="2" t="s">
        <v>1241</v>
      </c>
      <c r="C112" s="2" t="s">
        <v>1242</v>
      </c>
      <c r="D112" s="2" t="s">
        <v>1243</v>
      </c>
      <c r="E112" s="2" t="s">
        <v>1244</v>
      </c>
      <c r="F112" s="2" t="s">
        <v>862</v>
      </c>
      <c r="G112" s="2" t="s">
        <v>770</v>
      </c>
      <c r="H112" s="2" t="s">
        <v>40</v>
      </c>
      <c r="I112" s="2">
        <v>1</v>
      </c>
      <c r="J112" s="2">
        <v>110</v>
      </c>
      <c r="K112" s="2">
        <v>1</v>
      </c>
      <c r="L112" s="2">
        <v>0</v>
      </c>
      <c r="M112" s="2">
        <v>0</v>
      </c>
    </row>
    <row r="113" spans="1:14" x14ac:dyDescent="0.2">
      <c r="A113" s="2" t="s">
        <v>1240</v>
      </c>
      <c r="B113" s="2" t="s">
        <v>1245</v>
      </c>
      <c r="C113" s="2" t="s">
        <v>1246</v>
      </c>
      <c r="D113" s="2" t="s">
        <v>1243</v>
      </c>
      <c r="E113" s="2" t="s">
        <v>1247</v>
      </c>
      <c r="F113" s="2" t="s">
        <v>866</v>
      </c>
      <c r="G113" s="2" t="s">
        <v>1248</v>
      </c>
      <c r="H113" s="2" t="s">
        <v>868</v>
      </c>
      <c r="I113" s="2">
        <v>1</v>
      </c>
      <c r="J113" s="2">
        <v>111</v>
      </c>
      <c r="K113" s="2">
        <v>2</v>
      </c>
      <c r="L113" s="2">
        <v>0</v>
      </c>
      <c r="M113" s="2">
        <v>100</v>
      </c>
    </row>
    <row r="114" spans="1:14" x14ac:dyDescent="0.2">
      <c r="A114" s="2" t="s">
        <v>1240</v>
      </c>
      <c r="B114" s="2" t="s">
        <v>1249</v>
      </c>
      <c r="C114" s="2" t="s">
        <v>1250</v>
      </c>
      <c r="D114" s="2" t="s">
        <v>1243</v>
      </c>
      <c r="E114" s="2" t="s">
        <v>1251</v>
      </c>
      <c r="F114" s="2" t="s">
        <v>872</v>
      </c>
      <c r="G114" s="2" t="s">
        <v>1252</v>
      </c>
      <c r="H114" s="2" t="s">
        <v>874</v>
      </c>
      <c r="I114" s="2">
        <v>1</v>
      </c>
      <c r="J114" s="2">
        <v>112</v>
      </c>
      <c r="K114" s="2">
        <v>3</v>
      </c>
      <c r="L114" s="2">
        <v>100</v>
      </c>
      <c r="M114" s="2">
        <v>100</v>
      </c>
    </row>
    <row r="115" spans="1:14" x14ac:dyDescent="0.2">
      <c r="A115" s="2" t="s">
        <v>1240</v>
      </c>
      <c r="B115" s="2" t="s">
        <v>1253</v>
      </c>
      <c r="C115" s="2" t="s">
        <v>1254</v>
      </c>
      <c r="D115" s="2" t="s">
        <v>1243</v>
      </c>
      <c r="E115" s="2" t="s">
        <v>1255</v>
      </c>
      <c r="F115" s="2" t="s">
        <v>878</v>
      </c>
      <c r="G115" s="2" t="s">
        <v>770</v>
      </c>
      <c r="H115" s="2" t="s">
        <v>40</v>
      </c>
      <c r="I115" s="2">
        <v>1</v>
      </c>
      <c r="J115" s="2">
        <v>113</v>
      </c>
      <c r="K115" s="2">
        <v>1</v>
      </c>
      <c r="L115" s="2">
        <v>0</v>
      </c>
      <c r="M115" s="2">
        <v>0</v>
      </c>
    </row>
    <row r="116" spans="1:14" x14ac:dyDescent="0.2">
      <c r="A116" s="2" t="s">
        <v>1240</v>
      </c>
      <c r="B116" s="2" t="s">
        <v>1256</v>
      </c>
      <c r="C116" s="2" t="s">
        <v>1257</v>
      </c>
      <c r="D116" s="2" t="s">
        <v>1243</v>
      </c>
      <c r="E116" s="2" t="s">
        <v>1258</v>
      </c>
      <c r="F116" s="2" t="s">
        <v>882</v>
      </c>
      <c r="G116" s="2" t="s">
        <v>1259</v>
      </c>
      <c r="H116" s="2" t="s">
        <v>884</v>
      </c>
      <c r="I116" s="2">
        <v>1</v>
      </c>
      <c r="J116" s="2">
        <v>114</v>
      </c>
      <c r="K116" s="2">
        <v>2</v>
      </c>
      <c r="L116" s="2">
        <v>100</v>
      </c>
      <c r="M116" s="2">
        <v>0</v>
      </c>
    </row>
    <row r="117" spans="1:14" x14ac:dyDescent="0.2">
      <c r="A117" s="2" t="s">
        <v>1240</v>
      </c>
      <c r="B117" s="2" t="s">
        <v>1260</v>
      </c>
      <c r="C117" s="2" t="s">
        <v>1261</v>
      </c>
      <c r="D117" s="2" t="s">
        <v>1243</v>
      </c>
      <c r="E117" s="2" t="s">
        <v>1262</v>
      </c>
      <c r="F117" s="2" t="s">
        <v>888</v>
      </c>
      <c r="G117" s="2" t="s">
        <v>1263</v>
      </c>
      <c r="H117" s="2" t="s">
        <v>890</v>
      </c>
      <c r="I117" s="2">
        <v>1</v>
      </c>
      <c r="J117" s="2">
        <v>115</v>
      </c>
      <c r="K117" s="2">
        <v>3</v>
      </c>
      <c r="L117" s="2">
        <v>100</v>
      </c>
      <c r="M117" s="2">
        <v>100</v>
      </c>
    </row>
    <row r="118" spans="1:14" x14ac:dyDescent="0.2">
      <c r="A118" s="2" t="s">
        <v>764</v>
      </c>
      <c r="B118" s="2" t="s">
        <v>1264</v>
      </c>
      <c r="C118" s="2" t="s">
        <v>1265</v>
      </c>
      <c r="D118" s="2" t="s">
        <v>618</v>
      </c>
      <c r="E118" s="2" t="s">
        <v>1266</v>
      </c>
      <c r="F118" s="2" t="s">
        <v>1267</v>
      </c>
      <c r="G118" s="2" t="s">
        <v>911</v>
      </c>
      <c r="H118" s="2" t="s">
        <v>40</v>
      </c>
      <c r="I118" s="2">
        <v>1</v>
      </c>
      <c r="J118" s="2">
        <v>116</v>
      </c>
      <c r="K118" s="2">
        <v>1</v>
      </c>
      <c r="L118" s="2">
        <v>0</v>
      </c>
      <c r="M118" s="2">
        <v>0</v>
      </c>
    </row>
    <row r="119" spans="1:14" x14ac:dyDescent="0.2">
      <c r="A119" s="2" t="s">
        <v>764</v>
      </c>
      <c r="B119" s="2" t="s">
        <v>1268</v>
      </c>
      <c r="C119" s="2" t="s">
        <v>1269</v>
      </c>
      <c r="D119" s="2" t="s">
        <v>618</v>
      </c>
      <c r="E119" s="2" t="s">
        <v>1270</v>
      </c>
      <c r="F119" s="2" t="s">
        <v>1271</v>
      </c>
      <c r="G119" s="2" t="s">
        <v>770</v>
      </c>
      <c r="H119" s="2" t="s">
        <v>40</v>
      </c>
      <c r="I119" s="2">
        <v>1</v>
      </c>
      <c r="J119" s="2">
        <v>117</v>
      </c>
      <c r="K119" s="2">
        <v>1</v>
      </c>
      <c r="L119" s="2">
        <v>0</v>
      </c>
      <c r="M119" s="2">
        <v>0</v>
      </c>
    </row>
    <row r="120" spans="1:14" x14ac:dyDescent="0.2">
      <c r="A120" s="2" t="s">
        <v>764</v>
      </c>
      <c r="B120" s="2" t="s">
        <v>1272</v>
      </c>
      <c r="C120" s="2" t="s">
        <v>1273</v>
      </c>
      <c r="D120" s="2" t="s">
        <v>618</v>
      </c>
      <c r="E120" s="2" t="s">
        <v>1274</v>
      </c>
      <c r="F120" s="2" t="s">
        <v>1275</v>
      </c>
      <c r="G120" s="2" t="s">
        <v>911</v>
      </c>
      <c r="H120" s="2" t="s">
        <v>40</v>
      </c>
      <c r="I120" s="2">
        <v>1</v>
      </c>
      <c r="J120" s="2">
        <v>118</v>
      </c>
      <c r="K120" s="2">
        <v>1</v>
      </c>
      <c r="L120" s="2">
        <v>0</v>
      </c>
      <c r="M120" s="2">
        <v>0</v>
      </c>
    </row>
    <row r="121" spans="1:14" x14ac:dyDescent="0.2">
      <c r="A121" s="2" t="s">
        <v>764</v>
      </c>
      <c r="B121" s="2" t="s">
        <v>1276</v>
      </c>
      <c r="C121" s="2" t="s">
        <v>1277</v>
      </c>
      <c r="D121" s="2" t="s">
        <v>618</v>
      </c>
      <c r="E121" s="2" t="s">
        <v>1278</v>
      </c>
      <c r="F121" s="2" t="s">
        <v>1279</v>
      </c>
      <c r="G121" s="2" t="s">
        <v>770</v>
      </c>
      <c r="H121" s="2" t="s">
        <v>40</v>
      </c>
      <c r="I121" s="2">
        <v>1</v>
      </c>
      <c r="J121" s="2">
        <v>119</v>
      </c>
      <c r="K121" s="2">
        <v>1</v>
      </c>
      <c r="L121" s="2">
        <v>0</v>
      </c>
      <c r="M121" s="2">
        <v>0</v>
      </c>
    </row>
    <row r="122" spans="1:14" x14ac:dyDescent="0.2">
      <c r="A122" s="2" t="s">
        <v>764</v>
      </c>
      <c r="B122" s="2" t="s">
        <v>1280</v>
      </c>
      <c r="C122" s="2" t="s">
        <v>1281</v>
      </c>
      <c r="D122" s="2" t="s">
        <v>1282</v>
      </c>
      <c r="E122" s="2" t="s">
        <v>1283</v>
      </c>
      <c r="F122" s="2" t="s">
        <v>1284</v>
      </c>
      <c r="G122" s="2" t="s">
        <v>770</v>
      </c>
      <c r="H122" s="2" t="s">
        <v>40</v>
      </c>
      <c r="I122" s="2">
        <v>0</v>
      </c>
      <c r="J122" s="2">
        <v>120</v>
      </c>
      <c r="K122" s="2">
        <v>3</v>
      </c>
      <c r="L122" s="2">
        <v>100</v>
      </c>
      <c r="M122" s="2">
        <v>100</v>
      </c>
      <c r="N122" s="2" t="s">
        <v>851</v>
      </c>
    </row>
    <row r="123" spans="1:14" x14ac:dyDescent="0.2">
      <c r="A123" s="2" t="s">
        <v>764</v>
      </c>
      <c r="B123" s="2" t="s">
        <v>1285</v>
      </c>
      <c r="C123" s="2" t="s">
        <v>1286</v>
      </c>
      <c r="D123" s="2" t="s">
        <v>1282</v>
      </c>
      <c r="E123" s="2" t="s">
        <v>1287</v>
      </c>
      <c r="F123" s="2" t="s">
        <v>1288</v>
      </c>
      <c r="G123" s="2" t="s">
        <v>770</v>
      </c>
      <c r="H123" s="2" t="s">
        <v>40</v>
      </c>
      <c r="I123" s="2">
        <v>0</v>
      </c>
      <c r="J123" s="2">
        <v>121</v>
      </c>
      <c r="K123" s="2">
        <v>3</v>
      </c>
      <c r="L123" s="2">
        <v>100</v>
      </c>
      <c r="M123" s="2">
        <v>100</v>
      </c>
      <c r="N123" s="2" t="s">
        <v>851</v>
      </c>
    </row>
    <row r="124" spans="1:14" x14ac:dyDescent="0.2">
      <c r="A124" s="2" t="s">
        <v>823</v>
      </c>
      <c r="B124" s="2" t="s">
        <v>688</v>
      </c>
      <c r="C124" s="2" t="s">
        <v>1289</v>
      </c>
      <c r="D124" s="2" t="s">
        <v>773</v>
      </c>
      <c r="E124" s="2" t="s">
        <v>1290</v>
      </c>
      <c r="F124" s="2" t="s">
        <v>1291</v>
      </c>
      <c r="G124" s="2" t="s">
        <v>1292</v>
      </c>
      <c r="H124" s="2" t="s">
        <v>1293</v>
      </c>
      <c r="I124" s="2">
        <v>0</v>
      </c>
      <c r="J124" s="2">
        <v>122</v>
      </c>
      <c r="K124" s="2">
        <v>3</v>
      </c>
      <c r="L124" s="2">
        <v>100</v>
      </c>
      <c r="M124" s="2">
        <v>100</v>
      </c>
    </row>
    <row r="125" spans="1:14" x14ac:dyDescent="0.2">
      <c r="A125" s="2" t="s">
        <v>764</v>
      </c>
      <c r="B125" s="2" t="s">
        <v>1294</v>
      </c>
      <c r="C125" s="2" t="s">
        <v>1295</v>
      </c>
      <c r="D125" s="2" t="s">
        <v>1296</v>
      </c>
      <c r="E125" s="2" t="s">
        <v>1535</v>
      </c>
      <c r="F125" s="2" t="s">
        <v>1297</v>
      </c>
      <c r="G125" s="2" t="s">
        <v>1536</v>
      </c>
      <c r="H125" s="2" t="s">
        <v>1298</v>
      </c>
      <c r="I125" s="2">
        <v>1</v>
      </c>
      <c r="J125" s="2">
        <v>123</v>
      </c>
      <c r="K125" s="2">
        <v>1</v>
      </c>
      <c r="L125" s="2">
        <v>0</v>
      </c>
      <c r="M125" s="2">
        <v>0</v>
      </c>
    </row>
    <row r="126" spans="1:14" x14ac:dyDescent="0.2">
      <c r="A126" s="2" t="s">
        <v>933</v>
      </c>
      <c r="B126" s="2" t="s">
        <v>1299</v>
      </c>
      <c r="C126" s="2" t="s">
        <v>1300</v>
      </c>
      <c r="D126" s="2" t="s">
        <v>969</v>
      </c>
      <c r="E126" s="2" t="s">
        <v>1301</v>
      </c>
      <c r="F126" s="2" t="s">
        <v>971</v>
      </c>
      <c r="G126" s="2" t="s">
        <v>911</v>
      </c>
      <c r="H126" s="2" t="s">
        <v>40</v>
      </c>
      <c r="I126" s="2">
        <v>1</v>
      </c>
      <c r="J126" s="2">
        <v>124</v>
      </c>
      <c r="K126" s="2">
        <v>1</v>
      </c>
      <c r="L126" s="2">
        <v>0</v>
      </c>
      <c r="M126" s="2">
        <v>0</v>
      </c>
    </row>
    <row r="127" spans="1:14" x14ac:dyDescent="0.2">
      <c r="A127" s="2" t="s">
        <v>933</v>
      </c>
      <c r="B127" s="2" t="s">
        <v>1302</v>
      </c>
      <c r="C127" s="2" t="s">
        <v>1303</v>
      </c>
      <c r="D127" s="2" t="s">
        <v>969</v>
      </c>
      <c r="E127" s="2" t="s">
        <v>1304</v>
      </c>
      <c r="F127" s="2" t="s">
        <v>971</v>
      </c>
      <c r="G127" s="2" t="s">
        <v>911</v>
      </c>
      <c r="H127" s="2" t="s">
        <v>40</v>
      </c>
      <c r="I127" s="2">
        <v>1</v>
      </c>
      <c r="J127" s="2">
        <v>125</v>
      </c>
      <c r="K127" s="2">
        <v>1</v>
      </c>
      <c r="L127" s="2">
        <v>0</v>
      </c>
      <c r="M127" s="2">
        <v>0</v>
      </c>
    </row>
    <row r="128" spans="1:14" ht="33" x14ac:dyDescent="0.2">
      <c r="A128" s="2" t="s">
        <v>764</v>
      </c>
      <c r="B128" s="2" t="s">
        <v>1305</v>
      </c>
      <c r="C128" s="2" t="s">
        <v>1306</v>
      </c>
      <c r="D128" s="2" t="s">
        <v>773</v>
      </c>
      <c r="E128" s="31" t="s">
        <v>1307</v>
      </c>
      <c r="F128" s="2" t="s">
        <v>1308</v>
      </c>
      <c r="G128" s="2" t="s">
        <v>770</v>
      </c>
      <c r="H128" s="2" t="s">
        <v>40</v>
      </c>
      <c r="I128" s="2">
        <v>1</v>
      </c>
      <c r="J128" s="2">
        <v>126</v>
      </c>
      <c r="K128" s="2">
        <v>1</v>
      </c>
      <c r="L128" s="2">
        <v>0</v>
      </c>
      <c r="M128" s="2">
        <v>0</v>
      </c>
    </row>
    <row r="129" spans="1:14" ht="33" x14ac:dyDescent="0.2">
      <c r="A129" s="2" t="s">
        <v>764</v>
      </c>
      <c r="B129" s="2" t="s">
        <v>1309</v>
      </c>
      <c r="C129" s="2" t="s">
        <v>1310</v>
      </c>
      <c r="D129" s="2" t="s">
        <v>773</v>
      </c>
      <c r="E129" s="31" t="s">
        <v>1311</v>
      </c>
      <c r="F129" s="2" t="s">
        <v>1312</v>
      </c>
      <c r="G129" s="2" t="s">
        <v>770</v>
      </c>
      <c r="H129" s="2" t="s">
        <v>40</v>
      </c>
      <c r="I129" s="2">
        <v>1</v>
      </c>
      <c r="J129" s="2">
        <v>127</v>
      </c>
      <c r="K129" s="2">
        <v>1</v>
      </c>
      <c r="L129" s="2">
        <v>0</v>
      </c>
      <c r="M129" s="2">
        <v>0</v>
      </c>
    </row>
    <row r="130" spans="1:14" ht="33" x14ac:dyDescent="0.2">
      <c r="A130" s="2" t="s">
        <v>764</v>
      </c>
      <c r="B130" s="2" t="s">
        <v>1313</v>
      </c>
      <c r="C130" s="2" t="s">
        <v>1314</v>
      </c>
      <c r="D130" s="2" t="s">
        <v>773</v>
      </c>
      <c r="E130" s="31" t="s">
        <v>1315</v>
      </c>
      <c r="F130" s="2" t="s">
        <v>1316</v>
      </c>
      <c r="G130" s="2" t="s">
        <v>770</v>
      </c>
      <c r="H130" s="2" t="s">
        <v>40</v>
      </c>
      <c r="I130" s="2">
        <v>1</v>
      </c>
      <c r="J130" s="2">
        <v>128</v>
      </c>
      <c r="K130" s="2">
        <v>1</v>
      </c>
      <c r="L130" s="2">
        <v>0</v>
      </c>
      <c r="M130" s="2">
        <v>0</v>
      </c>
    </row>
    <row r="131" spans="1:14" ht="49.5" x14ac:dyDescent="0.2">
      <c r="A131" s="2" t="s">
        <v>857</v>
      </c>
      <c r="B131" s="2" t="s">
        <v>1317</v>
      </c>
      <c r="C131" s="2" t="s">
        <v>1318</v>
      </c>
      <c r="D131" s="31" t="s">
        <v>994</v>
      </c>
      <c r="E131" s="31" t="s">
        <v>1319</v>
      </c>
      <c r="F131" s="2" t="s">
        <v>996</v>
      </c>
      <c r="G131" s="2" t="s">
        <v>911</v>
      </c>
      <c r="H131" s="2" t="s">
        <v>40</v>
      </c>
      <c r="I131" s="2">
        <v>1</v>
      </c>
      <c r="J131" s="2">
        <v>129</v>
      </c>
      <c r="K131" s="2">
        <v>1</v>
      </c>
      <c r="L131" s="2">
        <v>0</v>
      </c>
      <c r="M131" s="2">
        <v>0</v>
      </c>
    </row>
    <row r="132" spans="1:14" ht="82.5" x14ac:dyDescent="0.2">
      <c r="A132" s="2" t="s">
        <v>764</v>
      </c>
      <c r="B132" s="2" t="s">
        <v>1320</v>
      </c>
      <c r="C132" s="2" t="s">
        <v>1321</v>
      </c>
      <c r="D132" s="2" t="s">
        <v>773</v>
      </c>
      <c r="E132" s="31" t="s">
        <v>1322</v>
      </c>
      <c r="F132" s="2" t="s">
        <v>1323</v>
      </c>
      <c r="G132" s="2" t="s">
        <v>770</v>
      </c>
      <c r="H132" s="2" t="s">
        <v>40</v>
      </c>
      <c r="I132" s="2">
        <v>1</v>
      </c>
      <c r="J132" s="2">
        <v>130</v>
      </c>
      <c r="K132" s="2">
        <v>1</v>
      </c>
      <c r="L132" s="2">
        <v>0</v>
      </c>
      <c r="M132" s="2">
        <v>0</v>
      </c>
    </row>
    <row r="133" spans="1:14" x14ac:dyDescent="0.2">
      <c r="A133" s="2" t="s">
        <v>823</v>
      </c>
      <c r="B133" s="2" t="s">
        <v>1324</v>
      </c>
      <c r="C133" s="2" t="s">
        <v>1325</v>
      </c>
      <c r="D133" s="2" t="s">
        <v>773</v>
      </c>
      <c r="E133" s="2" t="s">
        <v>1326</v>
      </c>
      <c r="F133" s="2" t="s">
        <v>1327</v>
      </c>
      <c r="G133" s="2" t="s">
        <v>770</v>
      </c>
      <c r="H133" s="2" t="s">
        <v>40</v>
      </c>
      <c r="I133" s="2">
        <v>1</v>
      </c>
      <c r="J133" s="2">
        <v>131</v>
      </c>
      <c r="K133" s="2">
        <v>1</v>
      </c>
      <c r="L133" s="2">
        <v>0</v>
      </c>
      <c r="M133" s="2">
        <v>0</v>
      </c>
    </row>
    <row r="134" spans="1:14" x14ac:dyDescent="0.2">
      <c r="A134" s="2" t="s">
        <v>823</v>
      </c>
      <c r="B134" s="2" t="s">
        <v>1328</v>
      </c>
      <c r="C134" s="2" t="s">
        <v>1329</v>
      </c>
      <c r="D134" s="2" t="s">
        <v>773</v>
      </c>
      <c r="E134" s="2" t="s">
        <v>1330</v>
      </c>
      <c r="F134" s="2" t="s">
        <v>1331</v>
      </c>
      <c r="G134" s="2" t="s">
        <v>770</v>
      </c>
      <c r="H134" s="2" t="s">
        <v>40</v>
      </c>
      <c r="I134" s="2">
        <v>1</v>
      </c>
      <c r="J134" s="2">
        <v>132</v>
      </c>
      <c r="K134" s="2">
        <v>1</v>
      </c>
      <c r="L134" s="2">
        <v>0</v>
      </c>
      <c r="M134" s="2">
        <v>0</v>
      </c>
    </row>
    <row r="135" spans="1:14" x14ac:dyDescent="0.2">
      <c r="A135" s="2" t="s">
        <v>823</v>
      </c>
      <c r="B135" s="2" t="s">
        <v>1332</v>
      </c>
      <c r="C135" s="2" t="s">
        <v>1333</v>
      </c>
      <c r="D135" s="2" t="s">
        <v>773</v>
      </c>
      <c r="E135" s="2" t="s">
        <v>1334</v>
      </c>
      <c r="F135" s="2" t="s">
        <v>1335</v>
      </c>
      <c r="G135" s="2" t="s">
        <v>770</v>
      </c>
      <c r="H135" s="2" t="s">
        <v>40</v>
      </c>
      <c r="I135" s="2">
        <v>1</v>
      </c>
      <c r="J135" s="2">
        <v>133</v>
      </c>
      <c r="K135" s="2">
        <v>1</v>
      </c>
      <c r="L135" s="2">
        <v>0</v>
      </c>
      <c r="M135" s="2">
        <v>0</v>
      </c>
    </row>
    <row r="136" spans="1:14" ht="115.5" x14ac:dyDescent="0.2">
      <c r="A136" s="2" t="s">
        <v>764</v>
      </c>
      <c r="B136" s="2" t="s">
        <v>1336</v>
      </c>
      <c r="C136" s="2" t="s">
        <v>1337</v>
      </c>
      <c r="D136" s="2" t="s">
        <v>1338</v>
      </c>
      <c r="E136" s="31" t="s">
        <v>1339</v>
      </c>
      <c r="F136" s="2" t="s">
        <v>1340</v>
      </c>
      <c r="G136" s="2" t="s">
        <v>770</v>
      </c>
      <c r="H136" s="2" t="s">
        <v>40</v>
      </c>
      <c r="I136" s="2">
        <v>1</v>
      </c>
      <c r="J136" s="2">
        <v>134</v>
      </c>
      <c r="K136" s="2">
        <v>1</v>
      </c>
      <c r="L136" s="2">
        <v>0</v>
      </c>
      <c r="M136" s="2">
        <v>0</v>
      </c>
    </row>
    <row r="137" spans="1:14" ht="33" x14ac:dyDescent="0.2">
      <c r="A137" s="2" t="s">
        <v>764</v>
      </c>
      <c r="B137" s="2" t="s">
        <v>1341</v>
      </c>
      <c r="C137" s="2" t="s">
        <v>1342</v>
      </c>
      <c r="D137" s="2" t="s">
        <v>773</v>
      </c>
      <c r="E137" s="31" t="s">
        <v>1343</v>
      </c>
      <c r="F137" s="2" t="s">
        <v>1344</v>
      </c>
      <c r="G137" s="2" t="s">
        <v>770</v>
      </c>
      <c r="H137" s="2" t="s">
        <v>40</v>
      </c>
      <c r="I137" s="2">
        <v>1</v>
      </c>
      <c r="J137" s="2">
        <v>135</v>
      </c>
      <c r="K137" s="2">
        <v>1</v>
      </c>
      <c r="L137" s="2">
        <v>0</v>
      </c>
      <c r="M137" s="2">
        <v>0</v>
      </c>
    </row>
    <row r="138" spans="1:14" ht="33" x14ac:dyDescent="0.2">
      <c r="A138" s="2" t="s">
        <v>764</v>
      </c>
      <c r="B138" s="2" t="s">
        <v>1345</v>
      </c>
      <c r="C138" s="2" t="s">
        <v>1346</v>
      </c>
      <c r="D138" s="2" t="s">
        <v>773</v>
      </c>
      <c r="E138" s="31" t="s">
        <v>1347</v>
      </c>
      <c r="F138" s="2" t="s">
        <v>1344</v>
      </c>
      <c r="G138" s="2" t="s">
        <v>770</v>
      </c>
      <c r="H138" s="2" t="s">
        <v>40</v>
      </c>
      <c r="I138" s="2">
        <v>1</v>
      </c>
      <c r="J138" s="2">
        <v>136</v>
      </c>
      <c r="K138" s="2">
        <v>1</v>
      </c>
      <c r="L138" s="2">
        <v>0</v>
      </c>
      <c r="M138" s="2">
        <v>0</v>
      </c>
    </row>
    <row r="139" spans="1:14" ht="33" x14ac:dyDescent="0.2">
      <c r="A139" s="2" t="s">
        <v>764</v>
      </c>
      <c r="B139" s="2" t="s">
        <v>1348</v>
      </c>
      <c r="C139" s="2" t="s">
        <v>1349</v>
      </c>
      <c r="D139" s="2" t="s">
        <v>773</v>
      </c>
      <c r="E139" s="31" t="s">
        <v>1350</v>
      </c>
      <c r="F139" s="2" t="s">
        <v>1344</v>
      </c>
      <c r="G139" s="2" t="s">
        <v>770</v>
      </c>
      <c r="H139" s="2" t="s">
        <v>40</v>
      </c>
      <c r="I139" s="2">
        <v>1</v>
      </c>
      <c r="J139" s="2">
        <v>137</v>
      </c>
      <c r="K139" s="2">
        <v>1</v>
      </c>
      <c r="L139" s="2">
        <v>0</v>
      </c>
      <c r="M139" s="2">
        <v>0</v>
      </c>
    </row>
    <row r="140" spans="1:14" ht="33" x14ac:dyDescent="0.2">
      <c r="A140" s="2" t="s">
        <v>764</v>
      </c>
      <c r="B140" s="2" t="s">
        <v>1351</v>
      </c>
      <c r="C140" s="2" t="s">
        <v>1352</v>
      </c>
      <c r="D140" s="2" t="s">
        <v>773</v>
      </c>
      <c r="E140" s="31" t="s">
        <v>1353</v>
      </c>
      <c r="F140" s="2" t="s">
        <v>1344</v>
      </c>
      <c r="G140" s="2" t="s">
        <v>770</v>
      </c>
      <c r="H140" s="2" t="s">
        <v>40</v>
      </c>
      <c r="I140" s="2">
        <v>1</v>
      </c>
      <c r="J140" s="2">
        <v>138</v>
      </c>
      <c r="K140" s="2">
        <v>1</v>
      </c>
      <c r="L140" s="2">
        <v>0</v>
      </c>
      <c r="M140" s="2">
        <v>0</v>
      </c>
    </row>
    <row r="141" spans="1:14" ht="181.5" x14ac:dyDescent="0.2">
      <c r="A141" s="2" t="s">
        <v>764</v>
      </c>
      <c r="B141" s="2" t="s">
        <v>1354</v>
      </c>
      <c r="C141" s="2" t="s">
        <v>1355</v>
      </c>
      <c r="D141" s="31" t="s">
        <v>619</v>
      </c>
      <c r="E141" s="31" t="s">
        <v>1356</v>
      </c>
      <c r="F141" s="2" t="s">
        <v>1357</v>
      </c>
      <c r="G141" s="2" t="s">
        <v>770</v>
      </c>
      <c r="H141" s="2" t="s">
        <v>40</v>
      </c>
      <c r="I141" s="2">
        <v>1</v>
      </c>
      <c r="J141" s="2">
        <v>139</v>
      </c>
      <c r="K141" s="2">
        <v>1</v>
      </c>
      <c r="L141" s="2">
        <v>0</v>
      </c>
      <c r="M141" s="2">
        <v>0</v>
      </c>
    </row>
    <row r="142" spans="1:14" ht="181.5" x14ac:dyDescent="0.2">
      <c r="A142" s="2" t="s">
        <v>764</v>
      </c>
      <c r="B142" s="2" t="s">
        <v>1358</v>
      </c>
      <c r="C142" s="2" t="s">
        <v>1359</v>
      </c>
      <c r="D142" s="31" t="s">
        <v>619</v>
      </c>
      <c r="E142" s="31" t="s">
        <v>1360</v>
      </c>
      <c r="F142" s="2" t="s">
        <v>1361</v>
      </c>
      <c r="G142" s="2" t="s">
        <v>770</v>
      </c>
      <c r="H142" s="2" t="s">
        <v>40</v>
      </c>
      <c r="I142" s="2">
        <v>1</v>
      </c>
      <c r="J142" s="2">
        <v>140</v>
      </c>
      <c r="K142" s="2">
        <v>1</v>
      </c>
      <c r="L142" s="2">
        <v>0</v>
      </c>
      <c r="M142" s="2">
        <v>0</v>
      </c>
    </row>
    <row r="143" spans="1:14" x14ac:dyDescent="0.2">
      <c r="A143" s="2" t="s">
        <v>764</v>
      </c>
      <c r="B143" s="2" t="s">
        <v>1362</v>
      </c>
      <c r="C143" s="2" t="s">
        <v>1363</v>
      </c>
      <c r="D143" s="2" t="s">
        <v>773</v>
      </c>
      <c r="E143" s="2" t="s">
        <v>1364</v>
      </c>
      <c r="F143" s="2" t="s">
        <v>1365</v>
      </c>
      <c r="G143" s="2" t="s">
        <v>770</v>
      </c>
      <c r="H143" s="2" t="s">
        <v>40</v>
      </c>
      <c r="I143" s="2">
        <v>1</v>
      </c>
      <c r="J143" s="2">
        <v>141</v>
      </c>
      <c r="K143" s="2">
        <v>1</v>
      </c>
      <c r="L143" s="2">
        <v>0</v>
      </c>
      <c r="M143" s="2">
        <v>0</v>
      </c>
    </row>
    <row r="144" spans="1:14" x14ac:dyDescent="0.2">
      <c r="A144" s="2" t="s">
        <v>823</v>
      </c>
      <c r="B144" s="2" t="s">
        <v>1366</v>
      </c>
      <c r="C144" s="2" t="s">
        <v>1367</v>
      </c>
      <c r="D144" s="2" t="s">
        <v>773</v>
      </c>
      <c r="E144" s="2" t="s">
        <v>1368</v>
      </c>
      <c r="F144" s="2" t="s">
        <v>1369</v>
      </c>
      <c r="G144" s="2" t="s">
        <v>770</v>
      </c>
      <c r="H144" s="2" t="s">
        <v>40</v>
      </c>
      <c r="I144" s="2">
        <v>0</v>
      </c>
      <c r="J144" s="2">
        <v>142</v>
      </c>
      <c r="K144" s="2">
        <v>1</v>
      </c>
      <c r="L144" s="2">
        <v>0</v>
      </c>
      <c r="M144" s="2">
        <v>0</v>
      </c>
      <c r="N144" s="2" t="s">
        <v>1370</v>
      </c>
    </row>
    <row r="145" spans="1:13" x14ac:dyDescent="0.2">
      <c r="A145" s="2" t="s">
        <v>764</v>
      </c>
      <c r="B145" s="2" t="s">
        <v>1371</v>
      </c>
      <c r="C145" s="2" t="s">
        <v>1372</v>
      </c>
      <c r="D145" s="2" t="s">
        <v>773</v>
      </c>
      <c r="E145" s="2" t="s">
        <v>1373</v>
      </c>
      <c r="F145" s="2" t="s">
        <v>1374</v>
      </c>
      <c r="G145" s="2" t="s">
        <v>1375</v>
      </c>
      <c r="H145" s="2" t="s">
        <v>1376</v>
      </c>
      <c r="I145" s="2">
        <v>1</v>
      </c>
      <c r="J145" s="2">
        <v>143</v>
      </c>
      <c r="K145" s="2">
        <v>3</v>
      </c>
      <c r="L145" s="2">
        <v>100</v>
      </c>
      <c r="M145" s="2">
        <v>100</v>
      </c>
    </row>
    <row r="146" spans="1:13" x14ac:dyDescent="0.2">
      <c r="A146" s="2" t="s">
        <v>1030</v>
      </c>
      <c r="B146" s="2" t="s">
        <v>1377</v>
      </c>
      <c r="C146" s="2" t="s">
        <v>1378</v>
      </c>
      <c r="D146" s="2" t="s">
        <v>773</v>
      </c>
      <c r="E146" s="2" t="s">
        <v>1379</v>
      </c>
      <c r="F146" s="2" t="s">
        <v>1380</v>
      </c>
      <c r="G146" s="2" t="s">
        <v>770</v>
      </c>
      <c r="H146" s="2" t="s">
        <v>40</v>
      </c>
      <c r="I146" s="2">
        <v>1</v>
      </c>
      <c r="J146" s="2">
        <v>144</v>
      </c>
      <c r="K146" s="2">
        <v>1</v>
      </c>
      <c r="L146" s="2">
        <v>0</v>
      </c>
      <c r="M146" s="2">
        <v>0</v>
      </c>
    </row>
    <row r="147" spans="1:13" x14ac:dyDescent="0.2">
      <c r="A147" s="2" t="s">
        <v>1030</v>
      </c>
      <c r="B147" s="2" t="s">
        <v>1381</v>
      </c>
      <c r="C147" s="2" t="s">
        <v>1382</v>
      </c>
      <c r="D147" s="2" t="s">
        <v>1383</v>
      </c>
      <c r="E147" s="2" t="s">
        <v>1384</v>
      </c>
      <c r="F147" s="2" t="s">
        <v>996</v>
      </c>
      <c r="G147" s="2" t="s">
        <v>770</v>
      </c>
      <c r="H147" s="2" t="s">
        <v>40</v>
      </c>
      <c r="I147" s="2">
        <v>1</v>
      </c>
      <c r="J147" s="2">
        <v>145</v>
      </c>
      <c r="K147" s="2">
        <v>1</v>
      </c>
      <c r="L147" s="2">
        <v>0</v>
      </c>
      <c r="M147" s="2">
        <v>0</v>
      </c>
    </row>
    <row r="148" spans="1:13" x14ac:dyDescent="0.2">
      <c r="A148" s="2" t="s">
        <v>1030</v>
      </c>
      <c r="B148" s="2" t="s">
        <v>1385</v>
      </c>
      <c r="C148" s="2" t="s">
        <v>1386</v>
      </c>
      <c r="D148" s="2" t="s">
        <v>1383</v>
      </c>
      <c r="E148" s="2" t="s">
        <v>1387</v>
      </c>
      <c r="F148" s="2" t="s">
        <v>996</v>
      </c>
      <c r="G148" s="2" t="s">
        <v>1388</v>
      </c>
      <c r="H148" s="2" t="s">
        <v>1005</v>
      </c>
      <c r="I148" s="2">
        <v>1</v>
      </c>
      <c r="J148" s="2">
        <v>146</v>
      </c>
      <c r="K148" s="2">
        <v>2</v>
      </c>
      <c r="L148" s="2">
        <v>50</v>
      </c>
      <c r="M148" s="2">
        <v>50</v>
      </c>
    </row>
    <row r="149" spans="1:13" x14ac:dyDescent="0.2">
      <c r="A149" s="2" t="s">
        <v>1030</v>
      </c>
      <c r="B149" s="2" t="s">
        <v>1389</v>
      </c>
      <c r="C149" s="2" t="s">
        <v>1390</v>
      </c>
      <c r="D149" s="2" t="s">
        <v>1383</v>
      </c>
      <c r="E149" s="2" t="s">
        <v>1391</v>
      </c>
      <c r="F149" s="2" t="s">
        <v>996</v>
      </c>
      <c r="G149" s="2" t="s">
        <v>1392</v>
      </c>
      <c r="H149" s="2" t="s">
        <v>1005</v>
      </c>
      <c r="I149" s="2">
        <v>1</v>
      </c>
      <c r="J149" s="2">
        <v>147</v>
      </c>
      <c r="K149" s="2">
        <v>3</v>
      </c>
      <c r="L149" s="2">
        <v>100</v>
      </c>
      <c r="M149" s="2">
        <v>100</v>
      </c>
    </row>
    <row r="150" spans="1:13" x14ac:dyDescent="0.2">
      <c r="A150" s="2" t="s">
        <v>764</v>
      </c>
      <c r="B150" s="2" t="s">
        <v>1393</v>
      </c>
      <c r="C150" s="2" t="s">
        <v>1394</v>
      </c>
      <c r="D150" s="2" t="s">
        <v>842</v>
      </c>
      <c r="E150" s="2" t="s">
        <v>1395</v>
      </c>
      <c r="F150" s="2" t="s">
        <v>1396</v>
      </c>
      <c r="G150" s="2" t="s">
        <v>770</v>
      </c>
      <c r="H150" s="2" t="s">
        <v>40</v>
      </c>
      <c r="I150" s="2">
        <v>1</v>
      </c>
      <c r="J150" s="2">
        <v>148</v>
      </c>
      <c r="K150" s="2">
        <v>3</v>
      </c>
      <c r="L150" s="2">
        <v>100</v>
      </c>
      <c r="M150" s="2">
        <v>100</v>
      </c>
    </row>
    <row r="151" spans="1:13" x14ac:dyDescent="0.2">
      <c r="A151" s="2" t="s">
        <v>764</v>
      </c>
      <c r="B151" s="2" t="s">
        <v>1397</v>
      </c>
      <c r="C151" s="2" t="s">
        <v>1398</v>
      </c>
      <c r="D151" s="2" t="s">
        <v>842</v>
      </c>
      <c r="E151" s="2" t="s">
        <v>1399</v>
      </c>
      <c r="F151" s="2" t="s">
        <v>1400</v>
      </c>
      <c r="G151" s="2" t="s">
        <v>770</v>
      </c>
      <c r="H151" s="2" t="s">
        <v>40</v>
      </c>
      <c r="I151" s="2">
        <v>1</v>
      </c>
      <c r="J151" s="2">
        <v>149</v>
      </c>
      <c r="K151" s="2">
        <v>3</v>
      </c>
      <c r="L151" s="2">
        <v>100</v>
      </c>
      <c r="M151" s="2">
        <v>100</v>
      </c>
    </row>
    <row r="152" spans="1:13" x14ac:dyDescent="0.2">
      <c r="A152" s="2" t="s">
        <v>1240</v>
      </c>
      <c r="B152" s="2" t="s">
        <v>1401</v>
      </c>
      <c r="C152" s="2" t="s">
        <v>1402</v>
      </c>
      <c r="D152" s="2" t="s">
        <v>1243</v>
      </c>
      <c r="E152" s="2" t="s">
        <v>1403</v>
      </c>
      <c r="F152" s="2" t="s">
        <v>894</v>
      </c>
      <c r="G152" s="2" t="s">
        <v>770</v>
      </c>
      <c r="H152" s="2" t="s">
        <v>40</v>
      </c>
      <c r="I152" s="2">
        <v>1</v>
      </c>
      <c r="J152" s="2">
        <v>150</v>
      </c>
      <c r="K152" s="2">
        <v>1</v>
      </c>
      <c r="L152" s="2">
        <v>0</v>
      </c>
      <c r="M152" s="2">
        <v>0</v>
      </c>
    </row>
    <row r="153" spans="1:13" x14ac:dyDescent="0.2">
      <c r="A153" s="2" t="s">
        <v>1240</v>
      </c>
      <c r="B153" s="2" t="s">
        <v>1404</v>
      </c>
      <c r="C153" s="2" t="s">
        <v>1405</v>
      </c>
      <c r="D153" s="2" t="s">
        <v>1243</v>
      </c>
      <c r="E153" s="2" t="s">
        <v>1406</v>
      </c>
      <c r="F153" s="2" t="s">
        <v>898</v>
      </c>
      <c r="G153" s="2" t="s">
        <v>1407</v>
      </c>
      <c r="H153" s="2" t="s">
        <v>900</v>
      </c>
      <c r="I153" s="2">
        <v>1</v>
      </c>
      <c r="J153" s="2">
        <v>151</v>
      </c>
      <c r="K153" s="2">
        <v>2</v>
      </c>
      <c r="L153" s="2">
        <v>50</v>
      </c>
      <c r="M153" s="2">
        <v>50</v>
      </c>
    </row>
    <row r="154" spans="1:13" x14ac:dyDescent="0.2">
      <c r="A154" s="2" t="s">
        <v>1240</v>
      </c>
      <c r="B154" s="2" t="s">
        <v>1408</v>
      </c>
      <c r="C154" s="2" t="s">
        <v>1409</v>
      </c>
      <c r="D154" s="2" t="s">
        <v>1243</v>
      </c>
      <c r="E154" s="2" t="s">
        <v>1410</v>
      </c>
      <c r="F154" s="2" t="s">
        <v>904</v>
      </c>
      <c r="G154" s="2" t="s">
        <v>1411</v>
      </c>
      <c r="H154" s="2" t="s">
        <v>906</v>
      </c>
      <c r="I154" s="2">
        <v>1</v>
      </c>
      <c r="J154" s="2">
        <v>152</v>
      </c>
      <c r="K154" s="2">
        <v>3</v>
      </c>
      <c r="L154" s="2">
        <v>100</v>
      </c>
      <c r="M154" s="2">
        <v>100</v>
      </c>
    </row>
    <row r="155" spans="1:13" x14ac:dyDescent="0.2">
      <c r="A155" s="2" t="s">
        <v>764</v>
      </c>
      <c r="B155" s="2" t="s">
        <v>1412</v>
      </c>
      <c r="C155" s="2" t="s">
        <v>1413</v>
      </c>
      <c r="D155" s="2" t="s">
        <v>773</v>
      </c>
      <c r="E155" s="2" t="s">
        <v>1414</v>
      </c>
      <c r="F155" s="2" t="s">
        <v>1415</v>
      </c>
      <c r="G155" s="2" t="s">
        <v>770</v>
      </c>
      <c r="H155" s="2" t="s">
        <v>40</v>
      </c>
      <c r="I155" s="2">
        <v>1</v>
      </c>
      <c r="J155" s="2">
        <v>153</v>
      </c>
      <c r="K155" s="2">
        <v>1</v>
      </c>
      <c r="L155" s="2">
        <v>0</v>
      </c>
      <c r="M155" s="2">
        <v>0</v>
      </c>
    </row>
    <row r="156" spans="1:13" ht="33" x14ac:dyDescent="0.2">
      <c r="A156" s="2" t="s">
        <v>764</v>
      </c>
      <c r="B156" s="2" t="s">
        <v>1416</v>
      </c>
      <c r="C156" s="2" t="s">
        <v>1417</v>
      </c>
      <c r="D156" s="31" t="s">
        <v>1418</v>
      </c>
      <c r="E156" s="2" t="s">
        <v>1419</v>
      </c>
      <c r="F156" s="2" t="s">
        <v>1420</v>
      </c>
      <c r="G156" s="2" t="s">
        <v>770</v>
      </c>
      <c r="H156" s="2" t="s">
        <v>40</v>
      </c>
      <c r="I156" s="2">
        <v>1</v>
      </c>
      <c r="J156" s="2">
        <v>154</v>
      </c>
      <c r="K156" s="2">
        <v>1</v>
      </c>
      <c r="L156" s="2">
        <v>0</v>
      </c>
      <c r="M156" s="2">
        <v>0</v>
      </c>
    </row>
    <row r="157" spans="1:13" x14ac:dyDescent="0.2">
      <c r="A157" s="2" t="s">
        <v>764</v>
      </c>
      <c r="B157" s="2" t="s">
        <v>1421</v>
      </c>
      <c r="C157" s="2" t="s">
        <v>1422</v>
      </c>
      <c r="D157" s="2" t="s">
        <v>773</v>
      </c>
      <c r="E157" s="2" t="s">
        <v>1423</v>
      </c>
      <c r="F157" s="2" t="s">
        <v>1424</v>
      </c>
      <c r="G157" s="2" t="s">
        <v>770</v>
      </c>
      <c r="H157" s="2" t="s">
        <v>40</v>
      </c>
      <c r="I157" s="2">
        <v>1</v>
      </c>
      <c r="J157" s="2">
        <v>155</v>
      </c>
      <c r="K157" s="2">
        <v>1</v>
      </c>
      <c r="L157" s="2">
        <v>0</v>
      </c>
      <c r="M157" s="2">
        <v>0</v>
      </c>
    </row>
    <row r="158" spans="1:13" x14ac:dyDescent="0.2">
      <c r="A158" s="2" t="s">
        <v>764</v>
      </c>
      <c r="B158" s="2" t="s">
        <v>1425</v>
      </c>
      <c r="C158" s="2" t="s">
        <v>1426</v>
      </c>
      <c r="D158" s="2" t="s">
        <v>1427</v>
      </c>
      <c r="E158" s="2" t="s">
        <v>680</v>
      </c>
      <c r="F158" s="2" t="s">
        <v>1428</v>
      </c>
      <c r="G158" s="2" t="s">
        <v>770</v>
      </c>
      <c r="H158" s="2" t="s">
        <v>40</v>
      </c>
      <c r="I158" s="2">
        <v>1</v>
      </c>
      <c r="J158" s="2">
        <v>156</v>
      </c>
      <c r="K158" s="2">
        <v>1</v>
      </c>
      <c r="L158" s="2">
        <v>0</v>
      </c>
      <c r="M158" s="2">
        <v>0</v>
      </c>
    </row>
    <row r="159" spans="1:13" x14ac:dyDescent="0.2">
      <c r="A159" s="2" t="s">
        <v>823</v>
      </c>
      <c r="B159" s="2" t="s">
        <v>1429</v>
      </c>
      <c r="C159" s="2" t="s">
        <v>1430</v>
      </c>
      <c r="D159" s="2" t="s">
        <v>773</v>
      </c>
      <c r="E159" s="2" t="s">
        <v>1431</v>
      </c>
      <c r="F159" s="2" t="s">
        <v>1432</v>
      </c>
      <c r="G159" s="2" t="s">
        <v>1433</v>
      </c>
      <c r="H159" s="2" t="s">
        <v>1434</v>
      </c>
      <c r="I159" s="2">
        <v>0</v>
      </c>
      <c r="J159" s="2">
        <v>157</v>
      </c>
      <c r="K159" s="2">
        <v>3</v>
      </c>
      <c r="L159" s="2">
        <v>100</v>
      </c>
      <c r="M159" s="2">
        <v>100</v>
      </c>
    </row>
    <row r="160" spans="1:13" x14ac:dyDescent="0.2">
      <c r="A160" s="2" t="s">
        <v>823</v>
      </c>
      <c r="B160" s="2" t="s">
        <v>1435</v>
      </c>
      <c r="C160" s="2" t="s">
        <v>1436</v>
      </c>
      <c r="D160" s="2" t="s">
        <v>773</v>
      </c>
      <c r="E160" s="2" t="s">
        <v>1437</v>
      </c>
      <c r="F160" s="2" t="s">
        <v>1438</v>
      </c>
      <c r="G160" s="2" t="s">
        <v>770</v>
      </c>
      <c r="H160" s="2" t="s">
        <v>40</v>
      </c>
      <c r="I160" s="2">
        <v>0</v>
      </c>
      <c r="J160" s="2">
        <v>158</v>
      </c>
      <c r="K160" s="2">
        <v>1</v>
      </c>
      <c r="L160" s="2">
        <v>0</v>
      </c>
      <c r="M160" s="2">
        <v>0</v>
      </c>
    </row>
    <row r="161" spans="1:13" x14ac:dyDescent="0.2">
      <c r="A161" s="2" t="s">
        <v>823</v>
      </c>
      <c r="B161" s="2" t="s">
        <v>1439</v>
      </c>
      <c r="C161" s="2" t="s">
        <v>1440</v>
      </c>
      <c r="D161" s="2" t="s">
        <v>773</v>
      </c>
      <c r="E161" s="2" t="s">
        <v>1441</v>
      </c>
      <c r="F161" s="2" t="s">
        <v>1442</v>
      </c>
      <c r="G161" s="2" t="s">
        <v>770</v>
      </c>
      <c r="H161" s="2" t="s">
        <v>40</v>
      </c>
      <c r="I161" s="2">
        <v>0</v>
      </c>
      <c r="J161" s="2">
        <v>159</v>
      </c>
      <c r="K161" s="2">
        <v>1</v>
      </c>
      <c r="L161" s="2">
        <v>0</v>
      </c>
      <c r="M161" s="2">
        <v>0</v>
      </c>
    </row>
    <row r="162" spans="1:13" x14ac:dyDescent="0.2">
      <c r="A162" s="2" t="s">
        <v>823</v>
      </c>
      <c r="B162" s="2" t="s">
        <v>1443</v>
      </c>
      <c r="C162" s="2" t="s">
        <v>1444</v>
      </c>
      <c r="D162" s="2" t="s">
        <v>773</v>
      </c>
      <c r="E162" s="2" t="s">
        <v>1445</v>
      </c>
      <c r="F162" s="2" t="s">
        <v>1446</v>
      </c>
      <c r="G162" s="2" t="s">
        <v>770</v>
      </c>
      <c r="H162" s="2" t="s">
        <v>40</v>
      </c>
      <c r="I162" s="2">
        <v>0</v>
      </c>
      <c r="J162" s="2">
        <v>160</v>
      </c>
      <c r="K162" s="2">
        <v>1</v>
      </c>
      <c r="L162" s="2">
        <v>0</v>
      </c>
      <c r="M162" s="2">
        <v>0</v>
      </c>
    </row>
    <row r="163" spans="1:13" x14ac:dyDescent="0.2">
      <c r="A163" s="2" t="s">
        <v>823</v>
      </c>
      <c r="B163" s="2" t="s">
        <v>1447</v>
      </c>
      <c r="C163" s="2" t="s">
        <v>1448</v>
      </c>
      <c r="D163" s="2" t="s">
        <v>773</v>
      </c>
      <c r="E163" s="2" t="s">
        <v>1449</v>
      </c>
      <c r="F163" s="2" t="s">
        <v>1450</v>
      </c>
      <c r="G163" s="2" t="s">
        <v>770</v>
      </c>
      <c r="H163" s="2" t="s">
        <v>40</v>
      </c>
      <c r="I163" s="2">
        <v>0</v>
      </c>
      <c r="J163" s="2">
        <v>161</v>
      </c>
      <c r="K163" s="2">
        <v>1</v>
      </c>
      <c r="L163" s="2">
        <v>0</v>
      </c>
      <c r="M163" s="2">
        <v>0</v>
      </c>
    </row>
    <row r="164" spans="1:13" x14ac:dyDescent="0.2">
      <c r="A164" s="2" t="s">
        <v>823</v>
      </c>
      <c r="B164" s="2" t="s">
        <v>1451</v>
      </c>
      <c r="C164" s="2" t="s">
        <v>1452</v>
      </c>
      <c r="D164" s="2" t="s">
        <v>773</v>
      </c>
      <c r="E164" s="2" t="s">
        <v>1453</v>
      </c>
      <c r="F164" s="2" t="s">
        <v>1454</v>
      </c>
      <c r="G164" s="2" t="s">
        <v>1455</v>
      </c>
      <c r="H164" s="2" t="s">
        <v>1456</v>
      </c>
      <c r="I164" s="2">
        <v>0</v>
      </c>
      <c r="J164" s="2">
        <v>162</v>
      </c>
      <c r="K164" s="2">
        <v>2</v>
      </c>
      <c r="L164" s="2">
        <v>50</v>
      </c>
      <c r="M164" s="2">
        <v>50</v>
      </c>
    </row>
    <row r="165" spans="1:13" x14ac:dyDescent="0.2">
      <c r="A165" s="2" t="s">
        <v>1240</v>
      </c>
      <c r="B165" s="2" t="s">
        <v>1542</v>
      </c>
      <c r="C165" s="2" t="s">
        <v>1457</v>
      </c>
      <c r="D165" s="2" t="s">
        <v>773</v>
      </c>
      <c r="E165" s="2" t="s">
        <v>1458</v>
      </c>
      <c r="F165" s="2" t="s">
        <v>1459</v>
      </c>
      <c r="G165" s="2" t="s">
        <v>770</v>
      </c>
      <c r="H165" s="2" t="s">
        <v>40</v>
      </c>
      <c r="I165" s="2">
        <v>0</v>
      </c>
      <c r="J165" s="2">
        <v>163</v>
      </c>
      <c r="K165" s="2">
        <v>1</v>
      </c>
      <c r="L165" s="2">
        <v>0</v>
      </c>
      <c r="M165" s="2">
        <v>0</v>
      </c>
    </row>
    <row r="166" spans="1:13" x14ac:dyDescent="0.2">
      <c r="A166" s="2" t="s">
        <v>1240</v>
      </c>
      <c r="B166" s="2" t="s">
        <v>1543</v>
      </c>
      <c r="C166" s="2" t="s">
        <v>1460</v>
      </c>
      <c r="D166" s="2" t="s">
        <v>773</v>
      </c>
      <c r="E166" s="2" t="s">
        <v>1458</v>
      </c>
      <c r="F166" s="2" t="s">
        <v>1461</v>
      </c>
      <c r="G166" s="2" t="s">
        <v>770</v>
      </c>
      <c r="H166" s="2" t="s">
        <v>40</v>
      </c>
      <c r="I166" s="2">
        <v>0</v>
      </c>
      <c r="J166" s="2">
        <v>164</v>
      </c>
      <c r="K166" s="2">
        <v>1</v>
      </c>
      <c r="L166" s="2">
        <v>0</v>
      </c>
      <c r="M166" s="2">
        <v>0</v>
      </c>
    </row>
    <row r="167" spans="1:13" x14ac:dyDescent="0.2">
      <c r="A167" s="2" t="s">
        <v>823</v>
      </c>
      <c r="B167" s="2" t="s">
        <v>1462</v>
      </c>
      <c r="C167" s="2" t="s">
        <v>1463</v>
      </c>
      <c r="D167" s="2" t="s">
        <v>773</v>
      </c>
      <c r="E167" s="2" t="s">
        <v>1464</v>
      </c>
      <c r="F167" s="2" t="s">
        <v>1465</v>
      </c>
      <c r="G167" s="2" t="s">
        <v>1466</v>
      </c>
      <c r="H167" s="2" t="s">
        <v>1467</v>
      </c>
      <c r="I167" s="2">
        <v>0</v>
      </c>
      <c r="J167" s="2">
        <v>165</v>
      </c>
      <c r="K167" s="2">
        <v>3</v>
      </c>
      <c r="L167" s="2">
        <v>100</v>
      </c>
      <c r="M167" s="2">
        <v>100</v>
      </c>
    </row>
    <row r="168" spans="1:13" x14ac:dyDescent="0.2">
      <c r="A168" s="2" t="s">
        <v>823</v>
      </c>
      <c r="B168" s="2" t="s">
        <v>1468</v>
      </c>
      <c r="C168" s="2" t="s">
        <v>1469</v>
      </c>
      <c r="D168" s="2" t="s">
        <v>773</v>
      </c>
      <c r="E168" s="2" t="s">
        <v>1470</v>
      </c>
      <c r="F168" s="2" t="s">
        <v>1465</v>
      </c>
      <c r="G168" s="2" t="s">
        <v>770</v>
      </c>
      <c r="H168" s="2" t="s">
        <v>40</v>
      </c>
      <c r="I168" s="2">
        <v>0</v>
      </c>
      <c r="J168" s="2">
        <v>166</v>
      </c>
      <c r="K168" s="2">
        <v>1</v>
      </c>
      <c r="L168" s="2">
        <v>0</v>
      </c>
      <c r="M168" s="2">
        <v>0</v>
      </c>
    </row>
    <row r="169" spans="1:13" x14ac:dyDescent="0.2">
      <c r="A169" s="2" t="s">
        <v>764</v>
      </c>
      <c r="B169" s="2" t="s">
        <v>1471</v>
      </c>
      <c r="C169" s="2" t="s">
        <v>1472</v>
      </c>
      <c r="D169" s="2" t="s">
        <v>1473</v>
      </c>
      <c r="E169" s="2" t="s">
        <v>1474</v>
      </c>
      <c r="F169" s="2" t="s">
        <v>1475</v>
      </c>
      <c r="G169" s="2" t="s">
        <v>770</v>
      </c>
      <c r="H169" s="2" t="s">
        <v>40</v>
      </c>
      <c r="I169" s="2">
        <v>0</v>
      </c>
      <c r="J169" s="2">
        <v>167</v>
      </c>
      <c r="K169" s="2">
        <v>1</v>
      </c>
      <c r="L169" s="2">
        <v>0</v>
      </c>
      <c r="M169" s="2">
        <v>0</v>
      </c>
    </row>
    <row r="170" spans="1:13" x14ac:dyDescent="0.2">
      <c r="A170" s="2" t="s">
        <v>823</v>
      </c>
      <c r="B170" s="2" t="s">
        <v>1476</v>
      </c>
      <c r="C170" s="2" t="s">
        <v>1477</v>
      </c>
      <c r="D170" s="2" t="s">
        <v>969</v>
      </c>
      <c r="E170" s="2" t="s">
        <v>1478</v>
      </c>
      <c r="F170" s="2" t="s">
        <v>1479</v>
      </c>
      <c r="G170" s="2" t="s">
        <v>770</v>
      </c>
      <c r="H170" s="2" t="s">
        <v>40</v>
      </c>
      <c r="I170" s="2">
        <v>0</v>
      </c>
      <c r="J170" s="2">
        <v>168</v>
      </c>
      <c r="K170" s="2">
        <v>1</v>
      </c>
      <c r="L170" s="2">
        <v>0</v>
      </c>
      <c r="M170" s="2">
        <v>0</v>
      </c>
    </row>
    <row r="171" spans="1:13" x14ac:dyDescent="0.2">
      <c r="A171" s="2" t="s">
        <v>823</v>
      </c>
      <c r="B171" s="2" t="s">
        <v>1480</v>
      </c>
      <c r="C171" s="2" t="s">
        <v>1481</v>
      </c>
      <c r="D171" s="2" t="s">
        <v>773</v>
      </c>
      <c r="E171" s="2" t="s">
        <v>1482</v>
      </c>
      <c r="F171" s="2" t="s">
        <v>1483</v>
      </c>
      <c r="G171" s="2" t="s">
        <v>1484</v>
      </c>
      <c r="H171" s="2" t="s">
        <v>1485</v>
      </c>
      <c r="I171" s="2">
        <v>0</v>
      </c>
      <c r="J171" s="2">
        <v>169</v>
      </c>
      <c r="K171" s="2">
        <v>3</v>
      </c>
      <c r="L171" s="2">
        <v>100</v>
      </c>
      <c r="M171" s="2">
        <v>100</v>
      </c>
    </row>
    <row r="172" spans="1:13" x14ac:dyDescent="0.2">
      <c r="A172" s="2" t="s">
        <v>1563</v>
      </c>
      <c r="B172" s="2" t="s">
        <v>1568</v>
      </c>
      <c r="C172" s="2" t="s">
        <v>1569</v>
      </c>
      <c r="D172" s="2" t="s">
        <v>1559</v>
      </c>
      <c r="E172" s="2" t="s">
        <v>1564</v>
      </c>
      <c r="F172" s="2" t="s">
        <v>1565</v>
      </c>
      <c r="G172" s="2" t="s">
        <v>1566</v>
      </c>
      <c r="H172" s="2" t="s">
        <v>1567</v>
      </c>
      <c r="I172" s="2">
        <v>1</v>
      </c>
      <c r="J172" s="2">
        <v>170</v>
      </c>
      <c r="K172" s="2">
        <v>2</v>
      </c>
      <c r="L172" s="2">
        <v>50</v>
      </c>
      <c r="M172" s="2">
        <v>50</v>
      </c>
    </row>
    <row r="173" spans="1:13" x14ac:dyDescent="0.2">
      <c r="A173" s="2" t="s">
        <v>1563</v>
      </c>
      <c r="B173" s="2" t="s">
        <v>1576</v>
      </c>
      <c r="C173" s="2" t="s">
        <v>1577</v>
      </c>
      <c r="D173" s="2" t="s">
        <v>1572</v>
      </c>
      <c r="E173" s="2" t="s">
        <v>1573</v>
      </c>
      <c r="F173" s="2" t="s">
        <v>1574</v>
      </c>
      <c r="G173" s="2" t="s">
        <v>1575</v>
      </c>
      <c r="H173" s="2" t="s">
        <v>160</v>
      </c>
      <c r="I173" s="2">
        <v>0</v>
      </c>
      <c r="J173" s="2">
        <v>171</v>
      </c>
      <c r="K173" s="2">
        <v>1</v>
      </c>
      <c r="L173" s="2">
        <v>0</v>
      </c>
      <c r="M173" s="2">
        <v>0</v>
      </c>
    </row>
  </sheetData>
  <phoneticPr fontId="2" type="noConversion"/>
  <dataValidations count="3">
    <dataValidation type="list" allowBlank="1" showInputMessage="1" showErrorMessage="1" sqref="H143:H144 H31:H68 H141 H70:H134 H14:H29">
      <formula1>"0,1"</formula1>
    </dataValidation>
    <dataValidation type="list" allowBlank="1" showInputMessage="1" showErrorMessage="1" sqref="J138:K142 J158:K160 J1:K134">
      <formula1>"0,1,2,3"</formula1>
    </dataValidation>
    <dataValidation type="list" allowBlank="1" showInputMessage="1" showErrorMessage="1" sqref="J143:K144 J135:K135">
      <formula1>"0,1,2,3,4,5,6,7"</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4"/>
  <sheetViews>
    <sheetView showGridLines="0" zoomScale="115" zoomScaleNormal="115" workbookViewId="0">
      <selection activeCell="F12" sqref="F12"/>
    </sheetView>
  </sheetViews>
  <sheetFormatPr defaultColWidth="8.375" defaultRowHeight="14.25" x14ac:dyDescent="0.2"/>
  <cols>
    <col min="1" max="4" width="23.125" style="27" customWidth="1"/>
    <col min="5" max="16384" width="8.375" style="27"/>
  </cols>
  <sheetData>
    <row r="1" spans="1:4" x14ac:dyDescent="0.2">
      <c r="A1" s="32" t="s">
        <v>237</v>
      </c>
      <c r="B1" s="32" t="s">
        <v>238</v>
      </c>
      <c r="C1" s="32" t="s">
        <v>239</v>
      </c>
      <c r="D1" s="32" t="s">
        <v>240</v>
      </c>
    </row>
    <row r="2" spans="1:4" x14ac:dyDescent="0.2">
      <c r="A2" s="33" t="s">
        <v>612</v>
      </c>
      <c r="B2" s="33" t="s">
        <v>41</v>
      </c>
      <c r="C2" s="33" t="s">
        <v>242</v>
      </c>
      <c r="D2" s="33" t="s">
        <v>241</v>
      </c>
    </row>
    <row r="3" spans="1:4" x14ac:dyDescent="0.2">
      <c r="A3" s="33" t="s">
        <v>243</v>
      </c>
      <c r="B3" s="33" t="s">
        <v>41</v>
      </c>
      <c r="C3" s="33" t="s">
        <v>244</v>
      </c>
      <c r="D3" s="33" t="s">
        <v>245</v>
      </c>
    </row>
    <row r="4" spans="1:4" s="28" customFormat="1" ht="243.6" customHeight="1" x14ac:dyDescent="0.2">
      <c r="A4" s="34" t="s">
        <v>613</v>
      </c>
      <c r="B4" s="34"/>
      <c r="C4" s="34"/>
      <c r="D4" s="34"/>
    </row>
  </sheetData>
  <mergeCells count="1">
    <mergeCell ref="A4:D4"/>
  </mergeCells>
  <phoneticPr fontId="2"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49281f0c-7665-4bec-b410-2f4949496428">
      <Terms xmlns="http://schemas.microsoft.com/office/infopath/2007/PartnerControls"/>
    </lcf76f155ced4ddcb4097134ff3c332f>
    <TaxCatchAll xmlns="95b7a27d-1b81-43f0-b8c3-dfafd7208ff4"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58747F14778EC4F95189F16D09C2EA9" ma:contentTypeVersion="16" ma:contentTypeDescription="Create a new document." ma:contentTypeScope="" ma:versionID="a866cc32f5f411ab0e36b61dbdfa96db">
  <xsd:schema xmlns:xsd="http://www.w3.org/2001/XMLSchema" xmlns:xs="http://www.w3.org/2001/XMLSchema" xmlns:p="http://schemas.microsoft.com/office/2006/metadata/properties" xmlns:ns2="49281f0c-7665-4bec-b410-2f4949496428" xmlns:ns3="95b7a27d-1b81-43f0-b8c3-dfafd7208ff4" targetNamespace="http://schemas.microsoft.com/office/2006/metadata/properties" ma:root="true" ma:fieldsID="4a8a8dd306016dc94ae07149d12f9eb2" ns2:_="" ns3:_="">
    <xsd:import namespace="49281f0c-7665-4bec-b410-2f4949496428"/>
    <xsd:import namespace="95b7a27d-1b81-43f0-b8c3-dfafd7208ff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9281f0c-7665-4bec-b410-2f494949642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a3f0b306-5c8f-44a5-9de7-bb42e716fd36"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95b7a27d-1b81-43f0-b8c3-dfafd7208ff4"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931e378a-822d-4c91-ac2f-ecc5b37a1d1b}" ma:internalName="TaxCatchAll" ma:showField="CatchAllData" ma:web="95b7a27d-1b81-43f0-b8c3-dfafd7208ff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7231565-5A55-4759-89DC-27D3320EEAF9}">
  <ds:schemaRefs>
    <ds:schemaRef ds:uri="http://schemas.microsoft.com/sharepoint/v3/contenttype/forms"/>
  </ds:schemaRefs>
</ds:datastoreItem>
</file>

<file path=customXml/itemProps2.xml><?xml version="1.0" encoding="utf-8"?>
<ds:datastoreItem xmlns:ds="http://schemas.openxmlformats.org/officeDocument/2006/customXml" ds:itemID="{32EF9D0E-B1DA-4FEB-98A3-E26DECC6D425}">
  <ds:schemaRefs>
    <ds:schemaRef ds:uri="http://schemas.openxmlformats.org/package/2006/metadata/core-properties"/>
    <ds:schemaRef ds:uri="http://purl.org/dc/terms/"/>
    <ds:schemaRef ds:uri="http://www.w3.org/XML/1998/namespace"/>
    <ds:schemaRef ds:uri="http://purl.org/dc/elements/1.1/"/>
    <ds:schemaRef ds:uri="http://schemas.microsoft.com/office/infopath/2007/PartnerControls"/>
    <ds:schemaRef ds:uri="49281f0c-7665-4bec-b410-2f4949496428"/>
    <ds:schemaRef ds:uri="http://purl.org/dc/dcmitype/"/>
    <ds:schemaRef ds:uri="http://schemas.microsoft.com/office/2006/documentManagement/types"/>
    <ds:schemaRef ds:uri="95b7a27d-1b81-43f0-b8c3-dfafd7208ff4"/>
    <ds:schemaRef ds:uri="http://schemas.microsoft.com/office/2006/metadata/properties"/>
  </ds:schemaRefs>
</ds:datastoreItem>
</file>

<file path=customXml/itemProps3.xml><?xml version="1.0" encoding="utf-8"?>
<ds:datastoreItem xmlns:ds="http://schemas.openxmlformats.org/officeDocument/2006/customXml" ds:itemID="{FD603537-5DF3-4325-8495-F6685A7692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9281f0c-7665-4bec-b410-2f4949496428"/>
    <ds:schemaRef ds:uri="95b7a27d-1b81-43f0-b8c3-dfafd7208f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History</vt:lpstr>
      <vt:lpstr>SystemParameter</vt:lpstr>
      <vt:lpstr>FaultList</vt:lpstr>
      <vt:lpstr>Fault Category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Administrator</dc:creator>
  <cp:keywords/>
  <dc:description/>
  <cp:lastModifiedBy>admin1</cp:lastModifiedBy>
  <cp:revision/>
  <dcterms:created xsi:type="dcterms:W3CDTF">2015-06-05T18:19:34Z</dcterms:created>
  <dcterms:modified xsi:type="dcterms:W3CDTF">2026-03-24T09:58:08Z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0x010100058747F14778EC4F95189F16D09C2EA9</vt:lpwstr>
  </property>
  <property fmtid="{D5CDD505-2E9C-101B-9397-08002B2CF9AE}" pid="3" name="MediaServiceImageTags">
    <vt:lpwstr/>
  </property>
</Properties>
</file>