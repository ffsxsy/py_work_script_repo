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D:\Users\01_Project\02_BMS\03_ASW_Git\03_AppCommunication\"/>
    </mc:Choice>
  </mc:AlternateContent>
  <bookViews>
    <workbookView xWindow="-17" yWindow="15249" windowWidth="21600" windowHeight="20914"/>
  </bookViews>
  <sheets>
    <sheet name="History" sheetId="2" r:id="rId1"/>
    <sheet name="特殊说明与寄存器分布" sheetId="3" r:id="rId2"/>
    <sheet name="离散输入寄存器" sheetId="4" r:id="rId3"/>
    <sheet name="保持寄存器" sheetId="5" r:id="rId4"/>
    <sheet name="输入寄存器" sheetId="6" r:id="rId5"/>
  </sheets>
  <definedNames>
    <definedName name="_xlnm._FilterDatabase" localSheetId="2" hidden="1">离散输入寄存器!$A$1:$M$1</definedName>
    <definedName name="_xlnm._FilterDatabase" localSheetId="4" hidden="1">输入寄存器!$A$1:$L$1</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3" i="6" l="1"/>
  <c r="B4" i="6" s="1"/>
  <c r="B5" i="6" s="1"/>
  <c r="B6" i="6" s="1"/>
  <c r="B7" i="6" s="1"/>
  <c r="B8" i="6" s="1"/>
  <c r="B9" i="6" s="1"/>
  <c r="B10" i="6" s="1"/>
  <c r="B11" i="6" s="1"/>
  <c r="B12" i="6" s="1"/>
  <c r="B13" i="6" s="1"/>
  <c r="B14" i="6" s="1"/>
  <c r="B15" i="6" s="1"/>
  <c r="B16" i="6" s="1"/>
  <c r="B17" i="6" s="1"/>
  <c r="B18" i="6" s="1"/>
  <c r="B19" i="6" s="1"/>
  <c r="B20" i="6" s="1"/>
  <c r="B21" i="6" s="1"/>
  <c r="B22" i="6" s="1"/>
  <c r="B23" i="6" s="1"/>
  <c r="B24" i="6" s="1"/>
  <c r="B25" i="6" s="1"/>
  <c r="B26" i="6" s="1"/>
  <c r="B27" i="6" s="1"/>
  <c r="B28" i="6" s="1"/>
  <c r="B29" i="6" s="1"/>
  <c r="B30" i="6" s="1"/>
  <c r="B31" i="6" s="1"/>
  <c r="B32" i="6" s="1"/>
  <c r="B33" i="6" s="1"/>
  <c r="B34" i="6" s="1"/>
  <c r="B35" i="6" s="1"/>
  <c r="B36" i="6" s="1"/>
  <c r="B37" i="6" s="1"/>
  <c r="B24" i="3"/>
  <c r="B25" i="3" s="1"/>
  <c r="B26" i="3" s="1"/>
  <c r="B27" i="3" s="1"/>
  <c r="B28" i="3" s="1"/>
  <c r="B29" i="3" s="1"/>
  <c r="B30" i="3" s="1"/>
  <c r="B6" i="3"/>
  <c r="B7" i="3" s="1"/>
  <c r="B8" i="3" s="1"/>
  <c r="B9" i="3" s="1"/>
  <c r="B10" i="3" s="1"/>
  <c r="B11" i="3" s="1"/>
  <c r="B12" i="3" s="1"/>
  <c r="B13" i="3" s="1"/>
</calcChain>
</file>

<file path=xl/sharedStrings.xml><?xml version="1.0" encoding="utf-8"?>
<sst xmlns="http://schemas.openxmlformats.org/spreadsheetml/2006/main" count="3292" uniqueCount="1202">
  <si>
    <t>Version</t>
  </si>
  <si>
    <t>Date</t>
  </si>
  <si>
    <t>Revised by</t>
  </si>
  <si>
    <t>Reviewed by</t>
  </si>
  <si>
    <t>Description</t>
  </si>
  <si>
    <t>V1.0.0</t>
  </si>
  <si>
    <t>OPJ</t>
  </si>
  <si>
    <t>重新梳理，初版，base版本是MIC_自研版本点表。</t>
  </si>
  <si>
    <t>V1.0.1</t>
  </si>
  <si>
    <t>xuc01</t>
  </si>
  <si>
    <t>离散输入寄存器表 / Discrete Input Register Table</t>
  </si>
  <si>
    <t>名称 / Name</t>
  </si>
  <si>
    <t>总长度 / Total length</t>
  </si>
  <si>
    <t>堆数据信息/System data information</t>
  </si>
  <si>
    <t>簇 1 数据信息/String 1 data informaton</t>
  </si>
  <si>
    <t>簇 2 数据信息/String 2 data informaton</t>
  </si>
  <si>
    <t>簇 3 数据信息/String 3 data informaton</t>
  </si>
  <si>
    <t>簇 4 数据信息/String 4 data information</t>
  </si>
  <si>
    <t>簇 5 数据信息/String 5 data information</t>
  </si>
  <si>
    <t>簇 6 数据信息/String 6 data information</t>
  </si>
  <si>
    <t>簇 7 数据信息/String 7 data information</t>
  </si>
  <si>
    <t>簇 8 数据信息/String 8 data information</t>
  </si>
  <si>
    <t>……</t>
  </si>
  <si>
    <t>…</t>
  </si>
  <si>
    <t>保持寄存器表 / Holding register table</t>
  </si>
  <si>
    <t xml:space="preserve">项目控制和配置信息/Project control and configuration information </t>
  </si>
  <si>
    <t>输入寄存器表 / Input register table</t>
  </si>
  <si>
    <t>簇 1 数据信息/String 1 data information</t>
  </si>
  <si>
    <t>簇 2 数据信息/String 2 data information</t>
  </si>
  <si>
    <t>簇 3 数据信息/String 3 data information</t>
  </si>
  <si>
    <t>外设信息/ Project peripheral information</t>
  </si>
  <si>
    <t>Field</t>
  </si>
  <si>
    <t>Start address (decimal)</t>
  </si>
  <si>
    <t>Bit Length (Bit)</t>
  </si>
  <si>
    <t>Resolution</t>
  </si>
  <si>
    <t>offset</t>
  </si>
  <si>
    <t>Unit</t>
  </si>
  <si>
    <t>Remark</t>
  </si>
  <si>
    <t>Layer</t>
  </si>
  <si>
    <t>Classification</t>
  </si>
  <si>
    <t>Signal Source</t>
  </si>
  <si>
    <t>Mapping Signal BMS20</t>
  </si>
  <si>
    <t>堆内各组端电压欠压轻度告警汇总
Summary of total voltage undervoltage slight alarm at each string</t>
  </si>
  <si>
    <t>0-无告警， 1-告警/0 - No alarm, 1 - Alarm</t>
  </si>
  <si>
    <t>Bank</t>
  </si>
  <si>
    <t>Fault</t>
  </si>
  <si>
    <t>RBMS_Fault_Data</t>
  </si>
  <si>
    <t>RBMS_HVSH_BATTERY_UNDER_VOLTAGE_LEVEL3_FAULT</t>
  </si>
  <si>
    <t>/</t>
  </si>
  <si>
    <t>堆内各组端电压欠压中度告警汇总
Summary of total voltage undervoltage medium alarm at each string</t>
  </si>
  <si>
    <t>RBMS_HVSH_BATTERY_UNDER_VOLTAGE_LEVEL2_FAULT</t>
  </si>
  <si>
    <t>堆内各组端电压欠压重度告警汇总
Summary of total voltage undervoltage serious alarm at each string</t>
  </si>
  <si>
    <t>RBMS_HVSH_BATTERY_UNDER_VOLTAGE_LEVEL1_FAULT</t>
  </si>
  <si>
    <t>堆内各组端电压过压轻度告警汇总
Summary of total voltage overvoltage slight alarm at each string</t>
  </si>
  <si>
    <t>RBMS_HVSH_BATTERY_OVER_VOLTAGE_LEVEL3_FAULT</t>
  </si>
  <si>
    <t>堆内各组端过压过压中度告警汇总
Summary of total voltage overvoltage medium alarm at each string</t>
  </si>
  <si>
    <t>RBMS_HVSH_BATTERY_OVER_VOLTAGE_LEVEL2_FAULT</t>
  </si>
  <si>
    <t>堆内各组端过压过压重度告警汇总
Summary of total voltage overvoltage serious alarm at each string</t>
  </si>
  <si>
    <t>RBMS_HVSH_BATTERY_OVER_VOLTAGE_LEVEL1_FAULT</t>
  </si>
  <si>
    <t>堆内各组端充电过流轻度告警汇总
Summary of charge overcurrent slight alarm at each string</t>
  </si>
  <si>
    <t>RBMS_BTCD_RECHARGE_OVER_CURRENT_LEVEL3_FAULT</t>
  </si>
  <si>
    <t>堆内各组端充电过流中度告警汇总 
Summary of charge overcurrent medium alarm at each string</t>
  </si>
  <si>
    <t>RBMS_BTCD_RECHARGE_OVER_CURRENT_LEVEL2_FAULT</t>
  </si>
  <si>
    <t>堆内各组端充电过流重度告警汇总
Summary of charge overcurrent serious alarm at each string</t>
  </si>
  <si>
    <t>RBMS_BTCD_RECHARGE_OVER_CURRENT_LEVEL1_FAULT</t>
  </si>
  <si>
    <t>堆内各组端放电过流轻度告警汇总
Summary of discharge overcurrent slight alarm at each string</t>
  </si>
  <si>
    <t>RBMS_BTCD_DISCHARGE_OVER_CURRENT_LEVEL3_FAULT</t>
  </si>
  <si>
    <t>堆内各组端放电过流中度告警汇总 
Summary of discharge overcurrent medium alarm at each string</t>
  </si>
  <si>
    <t>RBMS_BTCD_DISCHARGE_OVER_CURRENT_LEVEL2_FAULT</t>
  </si>
  <si>
    <t>堆内各组端放电过流重度告警汇总
Summary of discharge overcurrent serious alarm at each string</t>
  </si>
  <si>
    <t>RBMS_BTCD_DISCHARGE_OVER_CURRENT_LEVEL1_FAULT</t>
  </si>
  <si>
    <t>堆内各组绝缘电阻低轻度告警汇总
Summary of low insulation resistance slight alarm at each string</t>
  </si>
  <si>
    <t>RBMS_ISOH_ISOLATION_LOW_LEVEL3_FAULT</t>
  </si>
  <si>
    <t>堆内各组绝缘电阻低中度告警汇总
Summary of low insulation resistance medium alarm at each string</t>
  </si>
  <si>
    <t>RBMS_ISOH_ISOLATION_LOW_LEVEL2_FAULT</t>
  </si>
  <si>
    <t>堆内各组绝缘电阻低重度告警汇总
Summary of low insulation resistance serious alarm at each string</t>
  </si>
  <si>
    <t>RBMS_ISOH_ISOLATION_LOW_LEVEL1_FAULT</t>
  </si>
  <si>
    <t>堆内各单体过压轻度告警汇总
Summary of cell over voltage slight alarm at each string</t>
  </si>
  <si>
    <t>RBMS_CLVH_MAXCELLV_OV_LEVEL3_FAULT</t>
  </si>
  <si>
    <t>堆内各单体过压中度告警汇总
Summary of cell over voltage medium alarm at each string</t>
  </si>
  <si>
    <t>RBMS_CLVH_MAXCELLV_OV_LEVEL2_FAULT</t>
  </si>
  <si>
    <t>堆内各单体过压重度告警汇总
Summary of cell over voltage serious alarm at each string</t>
  </si>
  <si>
    <t>RBMS_CLVH_MAXCELLV_OV_LEVEL1_FAULT</t>
  </si>
  <si>
    <t>堆内各单体欠压轻度告警汇总
Summary of cell low voltage slight alarm at each string</t>
  </si>
  <si>
    <t>RBMS_CLVH_MINCELLV_UV_LEVEL3_FAULT</t>
  </si>
  <si>
    <t>堆内各单体欠压中度告警汇总
Summary of cell low voltage medium alarm at each string</t>
  </si>
  <si>
    <t>RBMS_CLVH_MINCELLV_UV_LEVEL2_FAULT</t>
  </si>
  <si>
    <t>堆内各单体欠压重度告警汇总
Summary of cell low voltage serious alarm at each string</t>
  </si>
  <si>
    <t>RBMS_CLVH_MINCELLV_UV_LEVEL1_FAULT</t>
  </si>
  <si>
    <t>堆内各单体压差轻度告警汇总
Summary of cell differential voltage slight alarm at each string</t>
  </si>
  <si>
    <t>RBMS_CLVH_DELTACELLV_OL_LEVEL3_FAULT</t>
  </si>
  <si>
    <t>堆内各单体压差中度告警汇总
Summary of cell differential voltage medium alarm at each string</t>
  </si>
  <si>
    <t>RBMS_CLVH_DELTACELLV_OL_LEVEL2_FAULT</t>
  </si>
  <si>
    <t>堆内各单体压差重度告警汇总
Summary of cell differential voltage serious alarm at each string</t>
  </si>
  <si>
    <t>RBMS_CLVH_DELTACELLV_OL_LEVEL1_FAULT</t>
  </si>
  <si>
    <t>堆内各单体充电欠温轻度告警汇总
Summary of cell charge low temperature slight alarm at each string</t>
  </si>
  <si>
    <t>RBMS_CLTH_CHG_UNDER_TEMPERATURE_LEVEL3_FAULT</t>
  </si>
  <si>
    <t>堆内各单体充电欠温中度告警汇总
Summary of cell charge low temperature medium alarm at each string</t>
  </si>
  <si>
    <t>RBMS_CLTH_CHG_UNDER_TEMPERATURE_LEVEL2_FAULT</t>
  </si>
  <si>
    <t>堆内各单体充电欠温重度告警汇总
Summary of cell charge low temperature serious alarm at each string</t>
  </si>
  <si>
    <t>RBMS_CLTH_CHG_UNDER_TEMPERATURE_LEVEL1_FAULT</t>
  </si>
  <si>
    <t>堆内各单体充电过温轻度告警汇总
Summary of cell charge over temperature slight alarm at each string</t>
  </si>
  <si>
    <t>RBMS_CLTH_CHG_OVER_TEMPERATURE_LEVEL3_FAULT</t>
  </si>
  <si>
    <t>堆内各单体充电过温中度告警汇总
Summary of cell charge over temperature medium alarm at each string</t>
  </si>
  <si>
    <t>RBMS_CLTH_CHG_OVER_TEMPERATURE_LEVEL2_FAULT</t>
  </si>
  <si>
    <t>堆内各单体充电过温重度告警汇总
Summary of cell charge over temperature serious alarm at each string</t>
  </si>
  <si>
    <t>RBMS_CLTH_CHG_OVER_TEMPERATURE_LEVEL1_FAULT</t>
  </si>
  <si>
    <t>堆内各单体放电欠温轻度告警汇总
Summary of cell discharge low temperature slight alarm at each string</t>
  </si>
  <si>
    <t>RBMS_CLTH_DSG_UNDER_TEMPERATURE_LEVEL3_FAULT</t>
  </si>
  <si>
    <t>堆内各单体放电欠温中度告警汇总
Summary of cell discharge low temperature medium alarm at each string</t>
  </si>
  <si>
    <t>RBMS_CLTH_DSG_UNDER_TEMPERATURE_LEVEL2_FAULT</t>
  </si>
  <si>
    <t>堆内各单体放电欠温重度告警汇总
Summary of cell discharge low temperature serious alarm at each string</t>
  </si>
  <si>
    <t>RBMS_CLTH_DSG_UNDER_TEMPERATURE_LEVEL1_FAULT</t>
  </si>
  <si>
    <t>堆内各单体放电过温轻度告警汇总
Summary of cell discharge over temperature slight alarm at each string</t>
  </si>
  <si>
    <t>RBMS_CLTH_DSG_OVER_TEMPERATURE_LEVEL3_FAULT</t>
  </si>
  <si>
    <t>堆内各单体放电过温中度告警汇总
Summary of cell discharge over temperature medium alarm at each string</t>
  </si>
  <si>
    <t>RBMS_CLTH_DSG_OVER_TEMPERATURE_LEVEL2_FAULT</t>
  </si>
  <si>
    <t>堆内各单体放电过温重度告警汇总
Summary of cell discharge over temperature serious alarm at each string</t>
  </si>
  <si>
    <t>RBMS_CLTH_DSG_OVER_TEMPERATURE_LEVEL1_FAULT</t>
  </si>
  <si>
    <t>堆内各单体温差轻度告警汇总
Summary of cell differential temperature slight alarm at each string</t>
  </si>
  <si>
    <t>RBMS_CLTH_DELTA_TEMPERATURE_TOO_MUCH_LEVEL3_FAULT</t>
  </si>
  <si>
    <t>堆内各单体温差中度告警汇总
Summary of cell differential temperature medium alarm at each string</t>
  </si>
  <si>
    <t>RBMS_CLTH_DELTA_TEMPERATURE_TOO_MUCH_LEVEL2_FAULT</t>
  </si>
  <si>
    <t>RBMS_CLTH_DELTA_TEMPERATURE_TOO_MUCH_LEVEL1_FAULT</t>
  </si>
  <si>
    <t>RBMS_SOCA_SOC_TOO_LOW_LEVEL3_FAULT</t>
  </si>
  <si>
    <t>堆内各单体 SOC 低中度告警汇总
Summary of cell SOC low medium alarm at each string</t>
  </si>
  <si>
    <t>RBMS_SOCA_SOC_TOO_LOW_LEVEL2_FAULT</t>
  </si>
  <si>
    <t>堆内各单体 SOC 低重度告警汇总
Summary of cell SOC low serious alarm at each string</t>
  </si>
  <si>
    <t>RBMS_SOCA_SOC_TOO_LOW_LEVEL1_FAULT</t>
  </si>
  <si>
    <t>堆内各单体 SOC 高轻度告警汇总
Summary of cell SOC high slight alarm at each string</t>
  </si>
  <si>
    <t>RBMS_SOCA_SOC_TOO_HIGH_LEVEL3_FAULT</t>
  </si>
  <si>
    <t>堆内各单体 SOC 高中度告警汇总
Summary of cell SOC high medium alarm at each string</t>
  </si>
  <si>
    <t>RBMS_SOCA_SOC_TOO_HIGH_LEVEL2_FAULT</t>
  </si>
  <si>
    <t>堆内各单体 SOC 高重度告警汇总
Summary of cell SOC high serious alarm at each string</t>
  </si>
  <si>
    <t>RBMS_SOCA_SOC_TOO_HIGH_LEVEL1_FAULT</t>
  </si>
  <si>
    <t>堆内各单体 SOH 低轻度告警汇总
Summary of cell SOH low slight alarm at each string</t>
  </si>
  <si>
    <t>RBMS_SOHA_SOH_TOO_LOW_LEVEL3_FAULT</t>
  </si>
  <si>
    <t>堆内各单体 SOH 低中度告警汇总
Summary of cell SOH low medium alarm at each string</t>
  </si>
  <si>
    <t>RBMS_SOHA_SOH_TOO_LOW_LEVEL2_FAULT</t>
  </si>
  <si>
    <t>堆内各单体 SOH 低重度告警汇总
Summary of cell SOH low serious alarm at each string</t>
  </si>
  <si>
    <t>RBMS_SOHA_SOH_TOO_LOW_LEVEL1_FAULT</t>
  </si>
  <si>
    <t>堆内各主控失联汇总
Summary of ESBCM lost communicaion alarm at each string</t>
  </si>
  <si>
    <t>BBMS_Fault_Data</t>
  </si>
  <si>
    <t>BBMS_EMCR_ONERACK_TO_BANK_COMMUNICATION_LOST_FAULT</t>
  </si>
  <si>
    <t>堆内各从控失联汇总
Summary of ESBMM lost communicaion alarm at each string</t>
  </si>
  <si>
    <t>RBMS_AFES_DAISY_CHAIN_MULTIPLE_POINT_OFF_FAULT</t>
  </si>
  <si>
    <t>堆内组间电压差异过大告警
 Abnormal voltage difference between strings alarm</t>
  </si>
  <si>
    <t>BBMS_BCFR_EXCESSIVE_VOLTAGE_DIFF_FAULT</t>
  </si>
  <si>
    <t>堆内主正继电器断开告警汇总
Summary of main positive contactor stuck open alarm at each string</t>
  </si>
  <si>
    <t>RBMS_CTSC_MAIN_POSITIVE_RELAY_STUCK_OPEN_FAULT</t>
  </si>
  <si>
    <t>堆内主负继电器断开告警汇总
Summary of main negative contactor stuck open alarm at each string</t>
  </si>
  <si>
    <t>RBMS_CTSC_MAIN_NEGATIVE_RELAY_STUCK_OPEN_FAULT</t>
  </si>
  <si>
    <t>堆内主正继电器粘连告警汇总
Summary of main positive contactor stuck close alarm at each string</t>
  </si>
  <si>
    <t>RBMS_CTSC_MAIN_POSITIVE_RELAY_STUCK_CLOSE_FAULT</t>
  </si>
  <si>
    <t>堆内主负继电器粘连告警汇总
Summary of main negative contactor stuck close alarm at each string</t>
  </si>
  <si>
    <t>RBMS_CTSC_MAIN_NEGATIVE_RELAY_STUCK_CLOSE_FAULT</t>
  </si>
  <si>
    <t>堆 BMS 轻度与中度告警汇总
Summary of BMS system slight and medium alarm</t>
  </si>
  <si>
    <t>FaultLv</t>
  </si>
  <si>
    <t>BBMS_SumInfo_Data</t>
  </si>
  <si>
    <t>(BBMS_BMSMaxFltLevel == 2) || (BBMS_BMSMaxFltLevel == 3 )</t>
  </si>
  <si>
    <t>堆 BMS 重度告警汇总
Summary of BMS system serious alarm</t>
  </si>
  <si>
    <t>BBMS_BMSMaxFltLevel == 1</t>
  </si>
  <si>
    <t>预留
Reserved</t>
  </si>
  <si>
    <t>58-69</t>
  </si>
  <si>
    <t>堆内各极柱过温轻度告警汇总
Summary of pole over temperature slight alarm at each string</t>
  </si>
  <si>
    <t>RBMS_CLTH_POLE_OVER_TEMPERATURE_LEVEL3_FAULT</t>
  </si>
  <si>
    <t>堆内各极柱过温中度告警汇总
Summary of pole over temperature medium alarm at each string</t>
  </si>
  <si>
    <t>RBMS_CLTH_POLE_OVER_TEMPERATURE_LEVEL2_FAULT</t>
  </si>
  <si>
    <t>堆内各极柱过温重度告警汇总
Summary of pole over temperature serious alarm at each string</t>
  </si>
  <si>
    <t>RBMS_CLTH_POLE_OVER_TEMPERATURE_LEVEL1_FAULT</t>
  </si>
  <si>
    <t>堆内模块电压过压轻度告警汇总
Summary of pack overvoltage slight alarm at each string</t>
  </si>
  <si>
    <t>RBMS_CLVH_MODULE_OVER_VOLTAGE_LEVEL3_FAULT</t>
  </si>
  <si>
    <t>堆内模块电压过压中度告警汇总
Summary of pack overvoltage medium alarm at each string</t>
  </si>
  <si>
    <t>RBMS_CLVH_MODULE_OVER_VOLTAGE_LEVEL2_FAULT</t>
  </si>
  <si>
    <t>堆内模块电压过压重度告警汇总
Summary of pack overvoltage serious alarm at  each string</t>
  </si>
  <si>
    <t>RBMS_CLVH_MODULE_OVER_VOLTAGE_LEVEL1_FAULT</t>
  </si>
  <si>
    <t>堆内模块电压欠压轻度告警汇总
Summary of pack undervoltage slight alarm at each string</t>
  </si>
  <si>
    <t>RBMS_CLVH_MODULE_UNDER_VOLTAGE_LEVEL3_FAULT</t>
  </si>
  <si>
    <t>堆内模块电压欠压中度告警汇总
Summary of pack undervoltage medium alarm at each string</t>
  </si>
  <si>
    <t>RBMS_CLVH_MODULE_UNDER_VOLTAGE_LEVEL2_FAULT</t>
  </si>
  <si>
    <t>堆内模块电压欠压重度告警汇总
Summary of pack undervoltage serious alarm at each string</t>
  </si>
  <si>
    <t>RBMS_CLVH_MODULE_UNDER_VOLTAGE_LEVEL1_FAULT</t>
  </si>
  <si>
    <t>堆内电压采集失联告警汇总
Summary of cell voltage acquisition alarm at each string</t>
  </si>
  <si>
    <t>RBMS_AFES_AFE_FAULT || RBMS_AFES_CELL_VOLTAGE_SAMPLING_LINE_OFF_FAULT</t>
  </si>
  <si>
    <t>堆内温度采集失联告警汇总
Summary of cell temperature acquisition alarm at each string</t>
  </si>
  <si>
    <t>RBMS_AFES_AFE_FAULT || RBMS_CLTS_CELL_TEMPERATURE_SAMPLING_MUX_FAULT</t>
  </si>
  <si>
    <t>堆总控与EMS通讯丢失告警
EMS to BMS communication lost alarm</t>
  </si>
  <si>
    <t>BBMS_EMCR_EMS_TO_BMS_COMMUNICATION_LOST_FAULT</t>
  </si>
  <si>
    <t>堆总控与PCS通讯丢失告警
PCS to BMS communication lost alarm</t>
  </si>
  <si>
    <t>BBMS_EMCR_PCS_TO_BANK_COMMUNICATION_LOST_FAULT</t>
  </si>
  <si>
    <t>堆总控与TMS通讯丢失告警
TMS to BMS communication lost alarm</t>
  </si>
  <si>
    <t>BBMS_TMCR_TMS_TO_BANK_COMMUNICATION_LOST_FAULT</t>
  </si>
  <si>
    <t>堆总控与UPS通讯丢失告警
UPS to BMS communication lost alarm</t>
  </si>
  <si>
    <t>BBMS_EMCR_UPS_TO_BMS_COMMUNICATION_LOST_FAULT</t>
  </si>
  <si>
    <t>堆总控与电表通讯丢失告警
Energymeter to BMS communication lost alarm</t>
  </si>
  <si>
    <t>BBMS_EMCR_ENERGYMETER_TO_BMS_COMMUNICATION_LOST_FAULT</t>
  </si>
  <si>
    <t>备电SPD1告警
Bakeup power spd alarm</t>
  </si>
  <si>
    <t>BBMS_ACIS_BAKEUP_POWER_SPD_FAULT</t>
  </si>
  <si>
    <t>可燃气体告警告警
Conbustile gas alarm</t>
  </si>
  <si>
    <t>BBMS_ACIS_CONBUSTILE_GAS_FAULT</t>
  </si>
  <si>
    <t>集装箱急停告警
Container EPO alarm</t>
  </si>
  <si>
    <t>BBMS_ACIS_CONTAINER_EPO_FAULT</t>
  </si>
  <si>
    <t>配电柜急停告警
Distribution cab epo alarm</t>
  </si>
  <si>
    <t>BBMS_ACIS_DISTRIBUTION_CAB_EPO_FAULT</t>
  </si>
  <si>
    <t>门禁告警
Door open alarm</t>
  </si>
  <si>
    <t>BBMS_ACIS_DOOR_OPEN_FAULT</t>
  </si>
  <si>
    <t>急停告警
Estop alarm</t>
  </si>
  <si>
    <t>BBMS_ACIS_ESTOP_FAULT</t>
  </si>
  <si>
    <t>防爆风机告警告警
Explosion proof fan alarm</t>
  </si>
  <si>
    <t>BBMS_ACIS_EXPLOSIONPROOF_FAN_FAULT</t>
  </si>
  <si>
    <t>客户外部急停告警
External EPO alarm</t>
  </si>
  <si>
    <t>BBMS_ACIS_EXTERNAL_EPO_FAULT</t>
  </si>
  <si>
    <t>消防火警启动异常
Fire alarm activated alarm</t>
  </si>
  <si>
    <t>BBMS_ACIS_FIRE_ALARM_ACTIVATED_FAULT</t>
  </si>
  <si>
    <t>消防二级告警
Fire extinguisher alarm alarm</t>
  </si>
  <si>
    <t>BBMS_ACIS_FIRE_EXTINGUISHER_ALARM_FAULT</t>
  </si>
  <si>
    <t>消防一级告警
Fire extinguisher alert alarm</t>
  </si>
  <si>
    <t>BBMS_ACIS_FIRE_EXTINGUISHER_ALERT_FAULT</t>
  </si>
  <si>
    <t>消防告警
Fire extinguisher warn alarm</t>
  </si>
  <si>
    <t>BBMS_ACIS_FIRE_EXTINGUISHER_WARN_FAULT</t>
  </si>
  <si>
    <t>IDLearm编码失败告警
IDLearm failed alarm</t>
  </si>
  <si>
    <t>BBMS_ACIS_IDLEARN_FAILED_FAULT</t>
  </si>
  <si>
    <t>PCS急停告警
PCS EPO alarm</t>
  </si>
  <si>
    <t>BBMS_ACIS_PCS_EPO_FAULT</t>
  </si>
  <si>
    <t>QF1断路器告警
QF1 breaker alarm</t>
  </si>
  <si>
    <t>BBMS_ACIS_QF1_BREAKER_FAULT</t>
  </si>
  <si>
    <t>中控柜直流SPD浪涌告警
SPD dc surge alarm</t>
  </si>
  <si>
    <t>BBMS_ACIS_SPD_DC_SURGE_FAULT</t>
  </si>
  <si>
    <t>SPD2浪涌告警
SPD2 surge alarm</t>
  </si>
  <si>
    <t>BBMS_ACIS_SPD2_SURGE_FAULT</t>
  </si>
  <si>
    <t>水浸告警告警
Water flood alarm</t>
  </si>
  <si>
    <t>BBMS_ACIS_WATER_FLOOD_FAULT</t>
  </si>
  <si>
    <t>簇间环流越限轻度告警
String differential current slight alarm</t>
  </si>
  <si>
    <t>BBMS_BKPC_DELTA_BRANCH_OVERCURRENT_LEVEL3_FAULT</t>
  </si>
  <si>
    <t>簇间环流越限中度告警
String differential current medium alarm</t>
  </si>
  <si>
    <t>BBMS_BKPC_DELTA_BRANCH_OVERCURRENT_LEVEL2_FAULT</t>
  </si>
  <si>
    <t>簇间环流越限重度告警
String differential current serious alarm</t>
  </si>
  <si>
    <t>BBMS_BKPC_DELTA_BRANCH_OVERCURRENT_LEVEL1_FAULT</t>
  </si>
  <si>
    <t>簇间温差过大告警
String differential temperature alarm</t>
  </si>
  <si>
    <t>BBMS_BKPC_DELTA_BRANCH_OVERTEMP_FAULT</t>
  </si>
  <si>
    <t>过功率告警
Overpower alarm</t>
  </si>
  <si>
    <t>BBMS_BSOX_OVERPOWER_FAULT</t>
  </si>
  <si>
    <t>簇间SOC差距过大告警
String differential SOC alarm</t>
  </si>
  <si>
    <t>BBMS_BSOX_SOC_DIFF_FAULT</t>
  </si>
  <si>
    <t>A核通讯告警
ACore communication alarm</t>
  </si>
  <si>
    <t>BBMS_EMCR_A_CORE_COMMUNICATION_FAULT</t>
  </si>
  <si>
    <t>所有簇CAN通讯丢失告警
All rack to bank CAN communication lost alarm</t>
  </si>
  <si>
    <t>BBMS_EMCR_ALLRACK_TO_BANK_CAN_COMMUNICATION_LOST_FAULT</t>
  </si>
  <si>
    <t>所有簇通讯丢失告警
All rack to bank communication lost alarm</t>
  </si>
  <si>
    <t>BBMS_EMCR_ALLRACK_TO_BANK_COMMUNICATION_LOST_FAULT</t>
  </si>
  <si>
    <t>12V电压超范围告警
12V internal power supply overorunder voltage alarm</t>
  </si>
  <si>
    <t>BBMS_LVPS_12V_INTERNAL_POWER_SUPPLY_OVERORUNDER_VOLTAGE_FAULT</t>
  </si>
  <si>
    <t>24V电压超范围告警
24V internal power supply overorunder voltage alarm</t>
  </si>
  <si>
    <t>BBMS_LVPS_24V_INTERNAL_POWER_SUPPLY_OVERORUNDER_VOLTAGE_FAULT</t>
  </si>
  <si>
    <t>水冷机轻度告警
TMS slight alarm</t>
  </si>
  <si>
    <t>BBMS_THMC_TMS_LEVEL3_FAULT</t>
  </si>
  <si>
    <t>水冷机中度告警
TMS medium alarm</t>
  </si>
  <si>
    <t>BBMS_THMC_TMS_LEVEL2_FAULT</t>
  </si>
  <si>
    <t>水冷机重度告警
TMS serious alarm</t>
  </si>
  <si>
    <t>BBMS_THMC_TMS_LEVEL1_FAULT</t>
  </si>
  <si>
    <t>水冷机组工作模式不匹配告警
TMS request and work mode different alarm</t>
  </si>
  <si>
    <t>BBMS_THMC_TMS_REQUEST_DIFF_FAULT</t>
  </si>
  <si>
    <t>i * 200 + 200</t>
  </si>
  <si>
    <t>Rack</t>
  </si>
  <si>
    <t>RBMS_EMCR_RANK_TO_BANK_COMMUNICATION_LOST_FAULT</t>
  </si>
  <si>
    <t>i * 200 + 201</t>
  </si>
  <si>
    <t>i * 200 + 202</t>
  </si>
  <si>
    <t>i * 200 + 203</t>
  </si>
  <si>
    <t>i * 200 + 204</t>
  </si>
  <si>
    <t>i * 200 + 205</t>
  </si>
  <si>
    <t>i * 200 + 206</t>
  </si>
  <si>
    <t>i * 200 + 207</t>
  </si>
  <si>
    <t>i * 200 + 208</t>
  </si>
  <si>
    <t>i * 200 + 209</t>
  </si>
  <si>
    <t>i * 200 + 210</t>
  </si>
  <si>
    <t>i * 200 + 211</t>
  </si>
  <si>
    <t>i * 200 + 212</t>
  </si>
  <si>
    <t>i * 200 + 213</t>
  </si>
  <si>
    <t>i * 200 + 214</t>
  </si>
  <si>
    <t>i * 200 + 215</t>
  </si>
  <si>
    <t>i * 200 + 216</t>
  </si>
  <si>
    <t>i * 200 + 217</t>
  </si>
  <si>
    <t>i * 200 + 218</t>
  </si>
  <si>
    <t>i * 200 + 219</t>
  </si>
  <si>
    <t>i * 200 + 220</t>
  </si>
  <si>
    <t>i * 200 + 221</t>
  </si>
  <si>
    <t>i * 200 + 222</t>
  </si>
  <si>
    <t>i * 200 + 223</t>
  </si>
  <si>
    <t>i * 200 + 224</t>
  </si>
  <si>
    <t>i * 200 + 225</t>
  </si>
  <si>
    <t>i * 200 + 226</t>
  </si>
  <si>
    <t>i * 200 + 227</t>
  </si>
  <si>
    <t>i * 200 + 228</t>
  </si>
  <si>
    <t>i * 200 + 229</t>
  </si>
  <si>
    <t>i * 200 + 230</t>
  </si>
  <si>
    <t>i * 200 + 231</t>
  </si>
  <si>
    <t>i * 200 + 232</t>
  </si>
  <si>
    <t>i * 200 + 233</t>
  </si>
  <si>
    <t>i * 200 + 234</t>
  </si>
  <si>
    <t>i * 200 + 235</t>
  </si>
  <si>
    <t>i * 200 + 236</t>
  </si>
  <si>
    <t>i * 200 + 237</t>
  </si>
  <si>
    <t>i * 200 + 238</t>
  </si>
  <si>
    <t>i * 200 + 239</t>
  </si>
  <si>
    <t>i * 200 + 240</t>
  </si>
  <si>
    <t>i * 200 + 241</t>
  </si>
  <si>
    <t>i * 200 + 242</t>
  </si>
  <si>
    <t>i * 200 + 243</t>
  </si>
  <si>
    <t>i * 200 + 244</t>
  </si>
  <si>
    <t>i * 200 + 245</t>
  </si>
  <si>
    <t>i * 200 + 246</t>
  </si>
  <si>
    <t>RBMS_BTCD_DISCHARGE_OVER_CURRENT_LEVEL0_FAULT</t>
  </si>
  <si>
    <t>i * 200 + 247</t>
  </si>
  <si>
    <t>RBMS_BTCD_RECHARGE_OVER_CURRENT_LEVEL0_FAULT</t>
  </si>
  <si>
    <t>i * 200 + 248</t>
  </si>
  <si>
    <t>RBMS_BTCS_CANBATI_ZERODRIFT_FAULT</t>
  </si>
  <si>
    <t>i * 200 + 249</t>
  </si>
  <si>
    <t>RBMS_CBSS_BALANCING_LOOP_CIRCUIT_FAULT</t>
  </si>
  <si>
    <t>i * 200 + 250</t>
  </si>
  <si>
    <t>RBMS_AFES_AFE_OVER_TEMPERATURE_FAULT</t>
  </si>
  <si>
    <t>i * 200 + 251</t>
  </si>
  <si>
    <t>RBMS_AFES_CELL_VOLTAGE_REDUNDABCY_DETECT_FAULT</t>
  </si>
  <si>
    <t>i * 200 + 252</t>
  </si>
  <si>
    <t>RBMS_AFES_DAISY_CHAIN_COUNTER_ERROR_FAULT</t>
  </si>
  <si>
    <t>i * 200 + 253</t>
  </si>
  <si>
    <t>i * 200 + 254</t>
  </si>
  <si>
    <t>RBMS_AFES_DAISY_CHAIN_SINGLE_POINT_OFF_FAULT</t>
  </si>
  <si>
    <t>i * 200 + 255</t>
  </si>
  <si>
    <t>RBMS_AFES_NTC_POWER_SUPPLY_FAULT</t>
  </si>
  <si>
    <t>i * 200 + 256</t>
  </si>
  <si>
    <t>RBMS_AFES_AFE_FAULT</t>
  </si>
  <si>
    <t>i * 200 + 257</t>
  </si>
  <si>
    <t>RBMS_AFES_DAISY_CHAIN_NO_UPDATE_FAULT</t>
  </si>
  <si>
    <t>i * 200 + 258</t>
  </si>
  <si>
    <t>RBMS_AFES_CRC_FAULT</t>
  </si>
  <si>
    <t>i * 200 + 259</t>
  </si>
  <si>
    <t>RBMS_AFES_CELL_VOLTAGE_SAMPLING_LINE_OFF_FAULT</t>
  </si>
  <si>
    <t>i * 200 + 260</t>
  </si>
  <si>
    <t>RBMS_CLTS_CELL_TEMPERATURE_OUT_OF_RANGE_HIGH_FAULT</t>
  </si>
  <si>
    <t>i * 200 + 261</t>
  </si>
  <si>
    <t>RBMS_CLTS_CELL_TEMPERATURE_OUT_OF_RANGE_LOW_FAULT</t>
  </si>
  <si>
    <t>i * 200 + 262</t>
  </si>
  <si>
    <t>RBMS_CLTS_CELL_TEMPERATURE_SAMPLING_MUX_FAULT</t>
  </si>
  <si>
    <t>i * 200 + 263</t>
  </si>
  <si>
    <t>RBMS_CLVS_CELL_VOLTAGE_OUT_OF_RANGE_FAULT</t>
  </si>
  <si>
    <t>i * 200 + 264</t>
  </si>
  <si>
    <t>RBMS_HVSS_HIGH_VOLTAGE_SENSOR_FAULT</t>
  </si>
  <si>
    <t>i * 200 + 265</t>
  </si>
  <si>
    <t>RBMS_HVSS_BATTERY_VOLTAGE_OUT_OF_RANGE_FAULT</t>
  </si>
  <si>
    <t>i * 200 + 266</t>
  </si>
  <si>
    <t>RBMS_HVSS_LINK_POSITIVE_VOLTAGE_OUT_OF_RANGE_FAULT</t>
  </si>
  <si>
    <t>i * 200 + 267</t>
  </si>
  <si>
    <t>RBMS_BTCS_CANMSG_TIMEOUT_FAULT</t>
  </si>
  <si>
    <t>i * 200 + 268</t>
  </si>
  <si>
    <t>RBMS_BTCS_CANBATI_IMPLY_FAULT</t>
  </si>
  <si>
    <t>i * 200 + 269</t>
  </si>
  <si>
    <t>RBMS_BTCS_CANMSG_CRCRES_FAULT</t>
  </si>
  <si>
    <t>i * 200 + 270</t>
  </si>
  <si>
    <t>i * 200 + 271</t>
  </si>
  <si>
    <t>RBMS_CLVH_MAXCELLV_OV_LEVEL4_FAULT</t>
  </si>
  <si>
    <t>i * 200 + 272</t>
  </si>
  <si>
    <t>RBMS_CLVH_MINCELLV_UV_LEVEL4_FAULT</t>
  </si>
  <si>
    <t>i * 200 + 273</t>
  </si>
  <si>
    <t>RBMS_HVSH_HIGH_VOLTAGE_LOOP_BROKEN_FAULT</t>
  </si>
  <si>
    <t>i * 200 + 274</t>
  </si>
  <si>
    <t>RBMS_CLTH_OVER_TEMPERATURE_LEVEL0_FAULT</t>
  </si>
  <si>
    <t>i * 200 + 275</t>
  </si>
  <si>
    <t>RBMS_CLTH_TEMPERATURE_RISE_TOO_FAST_FAULT</t>
  </si>
  <si>
    <t>i * 200 + 276</t>
  </si>
  <si>
    <t>RBMS_CLTH_THERMAL_RUNAWAY_FAULT</t>
  </si>
  <si>
    <t>i * 200 + 277</t>
  </si>
  <si>
    <t>RBMS_CLTH_PCB_BOARD_OVER_TEMPERATURE1_FAULT</t>
  </si>
  <si>
    <t>i * 200 + 278</t>
  </si>
  <si>
    <t>i * 200 + 279</t>
  </si>
  <si>
    <t>RBMS_ISOH_ISOLATION_VALUE_INVALID_FAULT</t>
  </si>
  <si>
    <t>i * 200 + 280</t>
  </si>
  <si>
    <t>RBMS_CBCC_SELF_DISCHARGE_DIFFERENCE_OVER_HIGH1_FAULT</t>
  </si>
  <si>
    <t>i * 200 + 281</t>
  </si>
  <si>
    <t>RBMS_SOCA_RACK_OVER_CHARGE_FAULT</t>
  </si>
  <si>
    <t>i * 200 + 282</t>
  </si>
  <si>
    <t>i * 200 + 283</t>
  </si>
  <si>
    <t>i * 200 + 284</t>
  </si>
  <si>
    <t>i * 200 + 285</t>
  </si>
  <si>
    <t>i * 200 + 286</t>
  </si>
  <si>
    <t>i * 200 + 287</t>
  </si>
  <si>
    <t>i * 200 + 288</t>
  </si>
  <si>
    <t>i * 200 + 289</t>
  </si>
  <si>
    <t>i * 200 + 290</t>
  </si>
  <si>
    <t>i * 200 + 291</t>
  </si>
  <si>
    <t>i * 200 + 292</t>
  </si>
  <si>
    <t>i * 200 + 293</t>
  </si>
  <si>
    <t>i * 200 + 294</t>
  </si>
  <si>
    <t>i * 200 + 295</t>
  </si>
  <si>
    <t>RBMS_CTSC_PRECHARGE_OVER_TIME_FAULT</t>
  </si>
  <si>
    <t>i * 200 + 296</t>
  </si>
  <si>
    <t>RBMS_CTSC_PRECHARGE_OVER_CURRENT_FAULT</t>
  </si>
  <si>
    <t>i * 200 + 297</t>
  </si>
  <si>
    <t>RBMS_ACIS_FIRE_EXTINGUISHER_ALERT_FAULT</t>
  </si>
  <si>
    <t>i * 200 + 298</t>
  </si>
  <si>
    <t>RBMS_ACIS_HV_FUSE_FAULT</t>
  </si>
  <si>
    <t>i * 200 + 299</t>
  </si>
  <si>
    <t>RBMS_ACIS_MSD_OPEN_FAULT</t>
  </si>
  <si>
    <t>i * 200 + 300</t>
  </si>
  <si>
    <t>RBMS_ACIS_RBMS_DOOR_OPEN_FAULT</t>
  </si>
  <si>
    <t>i * 200 + 301</t>
  </si>
  <si>
    <t>RBMS_ACIS_RBMS_QS_OPEN_FAULT</t>
  </si>
  <si>
    <t>i * 200 + 302</t>
  </si>
  <si>
    <t>RBMS_ACIS_RBMS_SPD1_OPEN_FAULT</t>
  </si>
  <si>
    <t>i * 200 + 303</t>
  </si>
  <si>
    <t>RBMS_CBCC_SELF_DISCHARGE_DIFFERENCE_OVER_HIGH3_FAULT</t>
  </si>
  <si>
    <t>i * 200 + 304</t>
  </si>
  <si>
    <t>RBMS_CBCC_SELF_DISCHARGE_DIFFERENCE_OVER_HIGH2_FAULT</t>
  </si>
  <si>
    <t>i * 200 + 305</t>
  </si>
  <si>
    <t>RBMS_CLTH_CELL_POLE_DELTA_TEMPERATURE_OVER_LEVEL1_FAULT</t>
  </si>
  <si>
    <t>i * 200 + 306</t>
  </si>
  <si>
    <t>i * 200 + 307</t>
  </si>
  <si>
    <t>i * 200 + 308</t>
  </si>
  <si>
    <t>i * 200 + 309</t>
  </si>
  <si>
    <t>RBMS_CLTH_PACKPOSNEGCONN_OVER_TEMPERATURE_LEVEL3_FAULT</t>
  </si>
  <si>
    <t>i * 200 + 310</t>
  </si>
  <si>
    <t>RBMS_CLTH_PACKPOSNEGCONN_OVER_TEMPERATURE_LEVEL2_FAULT</t>
  </si>
  <si>
    <t>i * 200 + 311</t>
  </si>
  <si>
    <t>RBMS_CLTH_PACKPOSNEGCONN_OVER_TEMPERATURE_LEVEL1_FAULT</t>
  </si>
  <si>
    <t>i * 200 + 312</t>
  </si>
  <si>
    <t>RBMS_CLTH_PCB_BOARD_OVER_TEMPERATURE2_FAULT</t>
  </si>
  <si>
    <t>i * 200 + 313</t>
  </si>
  <si>
    <t>RBMS_CLTH_UNDER_TEMPERATURE_LEVEL0_FAULT</t>
  </si>
  <si>
    <t>i * 200 + 314</t>
  </si>
  <si>
    <t>RBMS_CLTS_CELL_TEMPERATURE_REDUNDANT_DETECT_FAULT</t>
  </si>
  <si>
    <t>i * 200 + 315</t>
  </si>
  <si>
    <t>RBMS_CLTS_PCB_BOARD_TEMP_SENSOR_SHORT_TO_BATTERY_FAULT</t>
  </si>
  <si>
    <t>i * 200 + 316</t>
  </si>
  <si>
    <t>RBMS_CLTS_PCB_BOARD_TEMP_SENSOR_SHORT_TO_GROUND_FAULT</t>
  </si>
  <si>
    <t>i * 200 + 317</t>
  </si>
  <si>
    <t>RBMS_CLVH_DELTAMODULEV_OL_LEVEL3_FAULT</t>
  </si>
  <si>
    <t>i * 200 + 318</t>
  </si>
  <si>
    <t>RBMS_CLVH_DELTAMODULEV_OL_LEVEL2_FAULT</t>
  </si>
  <si>
    <t>i * 200 + 319</t>
  </si>
  <si>
    <t>RBMS_CLVH_DELTAMODULEV_OL_LEVEL1_FAULT</t>
  </si>
  <si>
    <t>i * 200 + 320</t>
  </si>
  <si>
    <t>RBMS_CLVH_VOLTAGE_MISMATCH_FAULT</t>
  </si>
  <si>
    <t>i * 200 + 321</t>
  </si>
  <si>
    <t>RBMS_CLVS_AFE_VOLTAGE_OUT_OF_RANGE_FAULT</t>
  </si>
  <si>
    <t>i * 200 + 322</t>
  </si>
  <si>
    <t>RBMS_CTSC_MAIN_NEGATIVE_RELAY_DRIVER_CIRCUIT_FAULT</t>
  </si>
  <si>
    <t>i * 200 + 323</t>
  </si>
  <si>
    <t>RBMS_CTSC_MAIN_POSITIVE_RELAY_DRIVER_CIRCUIT_FAULT</t>
  </si>
  <si>
    <t>i * 200 + 324</t>
  </si>
  <si>
    <t>RBMS_CTSC_RELAY_DRIVER_SAMPLING_SELECT_CHANNEL_FAULT</t>
  </si>
  <si>
    <t>i * 200 + 325</t>
  </si>
  <si>
    <t>RBMS_EMCR_CRC_FAULT</t>
  </si>
  <si>
    <t>i * 200 + 326</t>
  </si>
  <si>
    <t>RBMS_EMCR_EMERGENCY_SHUTDOWN_SIGNAL_COUNTER_FAULT</t>
  </si>
  <si>
    <t>i * 200 + 327</t>
  </si>
  <si>
    <t>RBMS_EMCR_EMERGENCY_SHUTDOWN_SIGNAL_CRC_FAULT</t>
  </si>
  <si>
    <t>i * 200 + 328</t>
  </si>
  <si>
    <t>RBMS_EMCR_EMERGENCY_SHUTDOWN_SIGNAL_TIMEOUT_FAULT</t>
  </si>
  <si>
    <t>i * 200 + 329</t>
  </si>
  <si>
    <t>RBMS_HVSH_CELL_SUM_VOLTAGE_WITH_BATTERY_MISMTCH_FAULT</t>
  </si>
  <si>
    <t>i * 200 + 330</t>
  </si>
  <si>
    <t>RBMS_ISOH_INVALID_ISOLATION_NEGV_FAULT</t>
  </si>
  <si>
    <t>i * 200 + 331</t>
  </si>
  <si>
    <t>RBMS_ISOH_INVALID_ISOLATION_POSV_FAULT</t>
  </si>
  <si>
    <t>i * 200 + 332</t>
  </si>
  <si>
    <t>i * 200 + 333</t>
  </si>
  <si>
    <t>i * 200 + 334</t>
  </si>
  <si>
    <t>RBMS_LVPH_24V_INTERNAL_POWER_SUPPLY_OVER_VOLTAGE_FAULT</t>
  </si>
  <si>
    <t>i * 200 + 335</t>
  </si>
  <si>
    <t>RBMS_LVPH_24V_INTERNAL_POWER_SUPPLY_UNDER_VOLTAGE_FAULT</t>
  </si>
  <si>
    <t>i * 200 + 336</t>
  </si>
  <si>
    <t>RBMS_LVPH_CURRENT_SENSOR_POWER_SUPPLY_OVER_VOLTAGE_FAULT</t>
  </si>
  <si>
    <t>i * 200 + 337</t>
  </si>
  <si>
    <t>RBMS_LVPH_CURRENT_SENSOR_POWER_SUPPLY_UNDER_VOLTAGE_FAULT</t>
  </si>
  <si>
    <t>i * 200 + 338</t>
  </si>
  <si>
    <t>RBMS_LVPH_HIGH_VOLTAGE_SENSOR_POWER_SUPPLY_UNDER_VOLTAGE_FAULT</t>
  </si>
  <si>
    <t>i * 200 + 339</t>
  </si>
  <si>
    <t>RBMS_LVPH_RELAY_POWER_SUPPLY_OVER_VOLTAGE_FAULT</t>
  </si>
  <si>
    <t>i * 200 + 340</t>
  </si>
  <si>
    <t>RBMS_LVPH_RELAY_POWER_SUPPLY_UNDER_VOLTAGE_FAULT</t>
  </si>
  <si>
    <t>i * 200 + 341</t>
  </si>
  <si>
    <t>RBMS_LVPS_24V_INTERNAL_POWER_SUPPLY_OVERORUNDER_VOLTAGE_FAULT</t>
  </si>
  <si>
    <t>i * 200 + 342</t>
  </si>
  <si>
    <t>RBMS_LVPS_CURRENT_SENSOR_POWER_SUPPLY_OVERORUNDER_VOLTAGE_FAULT</t>
  </si>
  <si>
    <t>i * 200 + 343</t>
  </si>
  <si>
    <t>RBMS_LVPS_RELAY_POWER_SUPPLY_OVERORUNDER_VOLTAGE_FAULT</t>
  </si>
  <si>
    <t>i * 200 + 344</t>
  </si>
  <si>
    <t>RBMS_MCUD_CHIP_ADC_FAULT</t>
  </si>
  <si>
    <t>i * 200 + 345</t>
  </si>
  <si>
    <t>RBMS_MCUD_CHIP_CAN_FAULT</t>
  </si>
  <si>
    <t>i * 200 + 346</t>
  </si>
  <si>
    <t>RBMS_MCUD_CHIP_GPIO_FAULT</t>
  </si>
  <si>
    <t>i * 200 + 347</t>
  </si>
  <si>
    <t>RBMS_MCUD_CHIP_SPI_FAULT</t>
  </si>
  <si>
    <t>i * 200 + 348</t>
  </si>
  <si>
    <t>RBMS_MCUD_INIT_FAULT</t>
  </si>
  <si>
    <t>i * 200 + 349</t>
  </si>
  <si>
    <t>RBMS_SGPC_RTC_TIME_INVALID_FAULT</t>
  </si>
  <si>
    <t>i * 200 + 350</t>
  </si>
  <si>
    <t>RBMS_SOCA_SOC_DIFFER_VALUE_OVER_HIGH_FAULT</t>
  </si>
  <si>
    <t>i * 200 + 351</t>
  </si>
  <si>
    <t>i * 200 + 352</t>
  </si>
  <si>
    <t>i * 200 + 353</t>
  </si>
  <si>
    <t>i * 200 + 354</t>
  </si>
  <si>
    <t>i * 200 + 355</t>
  </si>
  <si>
    <t>i * 200 + 356</t>
  </si>
  <si>
    <t>i * 200 + 357</t>
  </si>
  <si>
    <t>i * 200 + 358</t>
  </si>
  <si>
    <t>i * 200 + 359</t>
  </si>
  <si>
    <t>i * 200 + 360</t>
  </si>
  <si>
    <t>i * 200 + 361</t>
  </si>
  <si>
    <t>i * 200 + 362</t>
  </si>
  <si>
    <t>i * 200 + 363</t>
  </si>
  <si>
    <t>i * 200 + 364</t>
  </si>
  <si>
    <t>i * 200 + 365</t>
  </si>
  <si>
    <t>i * 200 + 366</t>
  </si>
  <si>
    <t>i * 200 + 367</t>
  </si>
  <si>
    <t>i * 200 + 368</t>
  </si>
  <si>
    <t>i * 200 + 369</t>
  </si>
  <si>
    <t>DataType</t>
  </si>
  <si>
    <t>UINT</t>
  </si>
  <si>
    <t>系统故障复位
System fault reset</t>
  </si>
  <si>
    <t>EMS控制BMS系统上下电指令
System power up and down control command from EMS</t>
  </si>
  <si>
    <t>504-523</t>
  </si>
  <si>
    <t>RTC-年
RTC-Year</t>
  </si>
  <si>
    <t>年 数据范围： 0~100/ Year data field:0~100</t>
  </si>
  <si>
    <t>RTC-月
RTC-Month</t>
  </si>
  <si>
    <t>月 数据范围： 1~12/ Month data field:1~12</t>
  </si>
  <si>
    <t>RTC-日
RTC-Day</t>
  </si>
  <si>
    <t>日 数据范围： 1~31/ Day data field:1~31</t>
  </si>
  <si>
    <t>RTC-时
RTC-Hour</t>
  </si>
  <si>
    <t>时 数据范围： 0~23/ Hour data field:0~23</t>
  </si>
  <si>
    <t>RTC-分
RTC-Minute</t>
  </si>
  <si>
    <t>分 数据范围： 0~59/ Minute data field:0~59</t>
  </si>
  <si>
    <t>RTC-秒
RTC-Second</t>
  </si>
  <si>
    <t>秒 数据范围： 0~59/ Second data field:0~59</t>
  </si>
  <si>
    <t>电池堆直流母线电压
System DC Bus voltage</t>
  </si>
  <si>
    <t>V</t>
  </si>
  <si>
    <t>SumInfo</t>
  </si>
  <si>
    <t>BBMS_DCBusV</t>
  </si>
  <si>
    <t>电池堆直流母线电流
System DC Bus current</t>
  </si>
  <si>
    <t>A</t>
  </si>
  <si>
    <t>BBMS_TotalDCCur</t>
  </si>
  <si>
    <t>电池堆SOC
System SOC</t>
  </si>
  <si>
    <t>%</t>
  </si>
  <si>
    <t>堆显示SOC</t>
  </si>
  <si>
    <t>BBMS_SOC</t>
  </si>
  <si>
    <t>电池堆SOH
System SOH</t>
  </si>
  <si>
    <t>堆显示SOH</t>
  </si>
  <si>
    <t>BBMS_SOH</t>
  </si>
  <si>
    <t>最高电池电压
Maximum battery voltage</t>
  </si>
  <si>
    <t>mV</t>
  </si>
  <si>
    <t>BBMS_MaxCellV</t>
  </si>
  <si>
    <t>最高电压电池组号
Maximum voltage battery Sring No</t>
  </si>
  <si>
    <t>最大电压Rack位置</t>
  </si>
  <si>
    <t>BBMS_MaxVCellRackNr</t>
  </si>
  <si>
    <t>最高电压电池所在组中的点号
Point number in maximum voltage battery Sring</t>
  </si>
  <si>
    <t>最大电压电芯位置</t>
  </si>
  <si>
    <t>BBMS_MaxVCellNr</t>
  </si>
  <si>
    <t>最低电池电压
Minimum battery voltage</t>
  </si>
  <si>
    <t>BBMS_MinCellV</t>
  </si>
  <si>
    <t>最低电压电池组号
Minimum voltage battery Sring No</t>
  </si>
  <si>
    <t>最小电压Rack位置</t>
  </si>
  <si>
    <t>BBMS_MinVCellRackNr</t>
  </si>
  <si>
    <t>最低电压电池所在组中的点号
Point number in minimum voltage battery Sring</t>
  </si>
  <si>
    <t>最小电压电芯位置</t>
  </si>
  <si>
    <t>BBMS_MinVCellNr</t>
  </si>
  <si>
    <t>最高电池温度
Maximum battery temperature</t>
  </si>
  <si>
    <t>℃</t>
  </si>
  <si>
    <t>最高温度电池组号
Maximum temperature battery Sring No</t>
  </si>
  <si>
    <t>最高电芯温度Rack位置</t>
  </si>
  <si>
    <t>BBMS_MaxTCellRackNr</t>
  </si>
  <si>
    <t>最高温度电池所在组中的点号
Point number in maximum temperature battery Sring</t>
  </si>
  <si>
    <t>最高电芯温度位置</t>
  </si>
  <si>
    <t>BBMS_MaxTCellNr</t>
  </si>
  <si>
    <t>最低电池温度
Minimum battery temperature</t>
  </si>
  <si>
    <t>BBMS_MinCellT</t>
  </si>
  <si>
    <t>最低温度电池组号
Minimum temperature battery Sring No</t>
  </si>
  <si>
    <t>BBMS_MinTCellRackNr</t>
  </si>
  <si>
    <t>最低温度电池所在组中的点号
Point number in minimum temperature battery Sring</t>
  </si>
  <si>
    <t>BBMS_MinTCellNr</t>
  </si>
  <si>
    <t>堆累计充电电量
System accumulated charging energy</t>
  </si>
  <si>
    <t>kWh</t>
  </si>
  <si>
    <t>BBMS_AccuChrgE</t>
  </si>
  <si>
    <t>堆累计放电电量
System accumulated discharging energy</t>
  </si>
  <si>
    <t>BBMS_AccuDisChrgE</t>
  </si>
  <si>
    <t>堆最近一次充电电量
System latest charge energy</t>
  </si>
  <si>
    <t>最近一次充电能量</t>
  </si>
  <si>
    <t>BBMS_LstChEkWh</t>
  </si>
  <si>
    <t>最近一次放电能量</t>
  </si>
  <si>
    <t>BBMS_LstDchEkWh</t>
  </si>
  <si>
    <t>堆可充电量
System chargeable energy</t>
  </si>
  <si>
    <t>BBMS_MaxChrgE</t>
  </si>
  <si>
    <t>堆可放电量
System dischargeable energy</t>
  </si>
  <si>
    <t>BBMS_MaxDisChrgE</t>
  </si>
  <si>
    <t>允许最大放电功率
Allowable maximum discharge power</t>
  </si>
  <si>
    <t>kW</t>
  </si>
  <si>
    <t>持续放电功率限制</t>
  </si>
  <si>
    <t>BBMS_MaxContDisChrgPower</t>
  </si>
  <si>
    <t>允许最大充电功率
Allowable maximum charge power</t>
  </si>
  <si>
    <t>持续充电功率限制</t>
  </si>
  <si>
    <t>BBMS_MaxContChrgPower</t>
  </si>
  <si>
    <t>允许最大放电电流
Allowable maximum discharge current</t>
  </si>
  <si>
    <t>持续放电电流限制</t>
  </si>
  <si>
    <t>BBMS_MaxContDisChrgCur</t>
  </si>
  <si>
    <t>允许最大充电电流
Allowable maximum charge current</t>
  </si>
  <si>
    <t>持续充电电流限制</t>
  </si>
  <si>
    <t>BBMS_MaxContChrgCur</t>
  </si>
  <si>
    <t>电芯平均运行温度
Cell operating average temperature</t>
  </si>
  <si>
    <t>BBMS_AvgCellT</t>
  </si>
  <si>
    <t>BMS堆当前工作状态
System Status</t>
  </si>
  <si>
    <t>0: 地址分配
1: 未连接
2: 预留
3: 已连接
4: 预留
5: SOC保护
6: 关机中
99: 故障</t>
  </si>
  <si>
    <t>BBMS_BatSt</t>
  </si>
  <si>
    <t>BMS充放电状态
Charge discharge state</t>
  </si>
  <si>
    <t>1: 未连接
2: 满放
3: 放电
4: 充电
5: 满充
6: 静置</t>
  </si>
  <si>
    <t>BBMS_ChSt</t>
  </si>
  <si>
    <t>堆内电池组数
String number</t>
  </si>
  <si>
    <t>堆内使能簇数</t>
  </si>
  <si>
    <t>BBMS_RackEnaNbr</t>
  </si>
  <si>
    <t>堆内在线电池组数
Online string number</t>
  </si>
  <si>
    <t>堆内Online簇数</t>
  </si>
  <si>
    <t>BBMS_RackOnlineNbr</t>
  </si>
  <si>
    <t>堆连接失败原因
Connection failure reason</t>
  </si>
  <si>
    <t>BBMS_ConFail</t>
  </si>
  <si>
    <t>堆心跳信号
System heart beat</t>
  </si>
  <si>
    <t>数据范围: 0~65535</t>
  </si>
  <si>
    <t>BBMS_StrCtrlHb</t>
  </si>
  <si>
    <t xml:space="preserve">存在严重故障的Rack位置
Positions of string with serious alarm </t>
  </si>
  <si>
    <t>系统中各簇的严重故障标志位(0表示正常，1表示严重故障)
Bit0: Rack1严重故障
Bit1: Rack2严重故障
Bit2: Rack3严重故障
Bit3: Rack4严重故障
...
Bit15: Rack16严重故障</t>
  </si>
  <si>
    <t>BBMS_RackFltLvl1Nbr</t>
  </si>
  <si>
    <t>系统下高压指令
System power down command</t>
  </si>
  <si>
    <t>0: 无外部下高压指令；
1: BMS自行判断下高压；
2: EMS下高压指令；
3: PCS下高压指令；
4: 消防主机下高压指令；
5: 预留位置；</t>
  </si>
  <si>
    <t>39-99</t>
  </si>
  <si>
    <t>i * 3000 + 100</t>
  </si>
  <si>
    <t>RBMS_SumInfo_Data</t>
  </si>
  <si>
    <t>i * 3000 + 101</t>
  </si>
  <si>
    <t>1: 重度告警
2: 中度告警
3: 轻度告警</t>
  </si>
  <si>
    <t>RBMS_BMSMaxFltLevel</t>
  </si>
  <si>
    <t>i * 3000 + 102</t>
  </si>
  <si>
    <t>RBMS_SoFPulseChrgPwr</t>
  </si>
  <si>
    <t>i * 3000 + 103</t>
  </si>
  <si>
    <t>RBMS_SoFPulseDisChrgPwr</t>
  </si>
  <si>
    <t>i * 3000 + 104</t>
  </si>
  <si>
    <t>RBMS_SoFContChrgCurr</t>
  </si>
  <si>
    <t>i * 3000 + 105</t>
  </si>
  <si>
    <t>RBMS_SoFContDisChrgCurr</t>
  </si>
  <si>
    <t>i * 3000 + 106</t>
  </si>
  <si>
    <t>RBMS_DCBusV</t>
  </si>
  <si>
    <t>i * 3000 + 107</t>
  </si>
  <si>
    <t>RBMS_A</t>
  </si>
  <si>
    <t>i * 3000 + 108</t>
  </si>
  <si>
    <t>i * 3000 + 109</t>
  </si>
  <si>
    <t>RBMS_SoH</t>
  </si>
  <si>
    <t>i * 3000 + 110</t>
  </si>
  <si>
    <t>KΩ</t>
  </si>
  <si>
    <t>RBMS_IsoR</t>
  </si>
  <si>
    <t>i * 3000 + 111</t>
  </si>
  <si>
    <t>RBMS_CellVAvg</t>
  </si>
  <si>
    <t>i * 3000 + 112</t>
  </si>
  <si>
    <t>RBMS_ModTmpAvg</t>
  </si>
  <si>
    <t>i * 3000 + 113</t>
  </si>
  <si>
    <t>RBMS_CellVMax</t>
  </si>
  <si>
    <t>i * 3000 + 114</t>
  </si>
  <si>
    <t>RBMS_CellVMaxPstn</t>
  </si>
  <si>
    <t>i * 3000 + 115</t>
  </si>
  <si>
    <t>RBMS_CellVMin</t>
  </si>
  <si>
    <t>i * 3000 + 116</t>
  </si>
  <si>
    <t>RBMS_CellVMinPstn</t>
  </si>
  <si>
    <t>i * 3000 + 117</t>
  </si>
  <si>
    <t>RBMS_ModTmpMax</t>
  </si>
  <si>
    <t>i * 3000 + 118</t>
  </si>
  <si>
    <t>RBMS_ModTmpMaxPstn</t>
  </si>
  <si>
    <t>i * 3000 + 119</t>
  </si>
  <si>
    <t>i * 3000 + 120</t>
  </si>
  <si>
    <t>RBMS_ModTmpMinPstn</t>
  </si>
  <si>
    <t>i * 3000 + 121</t>
  </si>
  <si>
    <t>RBMS_SysMaxSOC</t>
  </si>
  <si>
    <t>i * 3000 + 122</t>
  </si>
  <si>
    <t>i * 3000 + 123</t>
  </si>
  <si>
    <t>RBMS_SysMinSOC</t>
  </si>
  <si>
    <t>i * 3000 + 124</t>
  </si>
  <si>
    <t>i * 3000 + 125</t>
  </si>
  <si>
    <t>i * 3000 + 126</t>
  </si>
  <si>
    <t>RBMS_MaxPoleTIdxNbr</t>
  </si>
  <si>
    <t>i * 3000 + 127</t>
  </si>
  <si>
    <t>i * 3000 + 128</t>
  </si>
  <si>
    <t>RBMS_MinPoleTIdxNbr</t>
  </si>
  <si>
    <t>i * 3000 + 129</t>
  </si>
  <si>
    <t>RBMS_MaxPoleTMdulIdxNbr</t>
  </si>
  <si>
    <t>i * 3000 + 130</t>
  </si>
  <si>
    <t>RBMS_MinPoleTMdulIdxNbr</t>
  </si>
  <si>
    <t>i * 3000 + 131</t>
  </si>
  <si>
    <t>i * 3000 + 132</t>
  </si>
  <si>
    <t>RBMS_AccuChrgkWh</t>
  </si>
  <si>
    <t>i * 3000 + 134</t>
  </si>
  <si>
    <t>RBMS_AccuDisChrgkWh</t>
  </si>
  <si>
    <t>i * 3000 + 136</t>
  </si>
  <si>
    <t>最近一次簇充电能量</t>
  </si>
  <si>
    <t>RBMS_LstChEkWh</t>
  </si>
  <si>
    <t>i * 3000 + 137</t>
  </si>
  <si>
    <t>最近一次簇放电能量</t>
  </si>
  <si>
    <t>RBMS_LstDchEkWh</t>
  </si>
  <si>
    <t>i * 3000 + 138</t>
  </si>
  <si>
    <t>RBMS_SoEC</t>
  </si>
  <si>
    <t>i * 3000 + 139</t>
  </si>
  <si>
    <t>RBMS_SoED</t>
  </si>
  <si>
    <t>i * 3000 + 201 + j</t>
  </si>
  <si>
    <t>CellV-Array</t>
  </si>
  <si>
    <t>RBMS_Volt_Data</t>
  </si>
  <si>
    <t>RBMS_CellV</t>
  </si>
  <si>
    <t>i * 3000 + 901 + j</t>
  </si>
  <si>
    <t>CellT-Array</t>
  </si>
  <si>
    <t>RBMS_Temp_Data</t>
  </si>
  <si>
    <t>RBMS_ModTmp</t>
  </si>
  <si>
    <t>i * 3000 + 1601 + j</t>
  </si>
  <si>
    <t>PoleT-Array</t>
  </si>
  <si>
    <t>RBMS_PoleTDegC</t>
  </si>
  <si>
    <t>RBMS_PackPosNegConnTDegC</t>
  </si>
  <si>
    <t>i * 3000 + 2201</t>
  </si>
  <si>
    <t>Bit0: Main Negative Contactor Status (0X0: Open 断开; 0X1: Closed 闭合)
Bit1: Main Positive Contactor Status (0X0: Open 断开; 0X1: Closed 闭合)
Bit2: Precharge Contactor Status (0X0: Open 断开; 0X1: Closed 闭合)
Bit3: Fuse Open Status
Bit4: Control Box Heater Status
Bit5: QF Switch Status (断路器QF)
Bit6: QS Switch Status (隔离开关QS)  (0X0: Closed 闭合; 0X1: Open 断开)
Bit7: Hv Interlock Status(MSD)   (0X0: Closed 闭合; 0X1: Open 断开)
Bit8-9: Control Box Cooling Fan Status
Bit10: EPO Input Status  (0X0: Closed 闭合; 0X1: Open 断开)
Bit11: Fire Extinguisher Warn Status
Bit12: Fire Extinguisher Fault Status
Bit13: Fire Extinguisher Actuator Status
Bit14: Isolation finished flag
Bit15: Door Open Status  (0X0: Closed 闭合; 0X1: Open 断开)</t>
  </si>
  <si>
    <t>i * 3000 + 2202</t>
  </si>
  <si>
    <t>Bit0: ISO Not Finished
Bit1: High voltage Invalid (HvLnkPosV or HvBatV)
Bit2: ISO Failure 
Bit3: Contactor Failure
Bit4: Current Invalid
Bit5: Precharge Failure
Bit6: Relay Fault
Bit7: Safty Fault
Bitx8: String Disactived
Bit9: HvPowupCmd Disconnect
Bit10: Voltage difference exceeds the threshold
Bit11: Reach Precharge Max Time
Bit12: PrechFailFlg
Bit13: Precharge Not Finished
Bit14: The conditions for allowing precharging are not met
Bit15: EPO open</t>
  </si>
  <si>
    <t>RBMS_ConFail</t>
  </si>
  <si>
    <t>i * 3000 + 2203</t>
  </si>
  <si>
    <t>i * 3000 + 2204</t>
  </si>
  <si>
    <t>i * 3000 + 2205</t>
  </si>
  <si>
    <t>i * 3000 + 2206</t>
  </si>
  <si>
    <t>i * 3000 + 2207</t>
  </si>
  <si>
    <t>0: Initial
1: ClsMainNeg
2: ClsPrech
3: ClsMainPos
4: Online
5: WaitForCurrDwn
6: OpenMainPos
7: OpenMainNeg
8: DlyForNxtPowup
9: Service</t>
  </si>
  <si>
    <t>RBMS_RlyCtrlSeqStState</t>
  </si>
  <si>
    <t>i * 3000 + 2208</t>
  </si>
  <si>
    <t>RBMS_IslnInhibitNbr</t>
  </si>
  <si>
    <t>i * 3000 + 2209</t>
  </si>
  <si>
    <t>RBMS_IslnFinalBatV</t>
  </si>
  <si>
    <t>i * 3000 + 2210</t>
  </si>
  <si>
    <t>RBMS_IslnFinalPosV</t>
  </si>
  <si>
    <t>i * 3000 + 2211</t>
  </si>
  <si>
    <t>RBMS_IslnFinalNegV</t>
  </si>
  <si>
    <t>i * 3000 + 2212</t>
  </si>
  <si>
    <t>0x0: Initial
0x1: Pending
0x2: Finished
0x3: Inhibit</t>
  </si>
  <si>
    <t>RBMS_IslnMeastStState</t>
  </si>
  <si>
    <t>RBMS_ModTmpMin</t>
    <phoneticPr fontId="6" type="noConversion"/>
  </si>
  <si>
    <t>RBMS_SoC</t>
    <phoneticPr fontId="6" type="noConversion"/>
  </si>
  <si>
    <t>RBMS_ChaSt</t>
    <phoneticPr fontId="6" type="noConversion"/>
  </si>
  <si>
    <t>RBMS_ConSt</t>
    <phoneticPr fontId="6" type="noConversion"/>
  </si>
  <si>
    <t>DataType</t>
    <phoneticPr fontId="6" type="noConversion"/>
  </si>
  <si>
    <t>BBMS_EMCR_ONERACK_TO_BANK_CAN_COMMUNICATION_LOST_FAULT</t>
    <phoneticPr fontId="6" type="noConversion"/>
  </si>
  <si>
    <t>RBMS_CtlBoxT0DegC</t>
    <phoneticPr fontId="6" type="noConversion"/>
  </si>
  <si>
    <t>RBMS_CtlBoxT1DegC</t>
  </si>
  <si>
    <t>RBMS_CtlBoxT2DegC</t>
  </si>
  <si>
    <t>RBMS_CtlBoxT3DegC</t>
  </si>
  <si>
    <t>i * 200 + 370</t>
  </si>
  <si>
    <t>i * 200 + 371</t>
  </si>
  <si>
    <t>RBMS_GenlVldFlg</t>
    <phoneticPr fontId="6" type="noConversion"/>
  </si>
  <si>
    <t>/</t>
    <phoneticPr fontId="6" type="noConversion"/>
  </si>
  <si>
    <t>SOXdebug</t>
  </si>
  <si>
    <t>RBMS_SOXdebugData1</t>
    <phoneticPr fontId="6" type="noConversion"/>
  </si>
  <si>
    <t>Ah</t>
    <phoneticPr fontId="6" type="noConversion"/>
  </si>
  <si>
    <t>Ah</t>
    <phoneticPr fontId="6" type="noConversion"/>
  </si>
  <si>
    <t>min</t>
    <phoneticPr fontId="6" type="noConversion"/>
  </si>
  <si>
    <t>min</t>
    <phoneticPr fontId="6" type="noConversion"/>
  </si>
  <si>
    <t>RBMS_SOXdebugData1</t>
    <phoneticPr fontId="6" type="noConversion"/>
  </si>
  <si>
    <t>/</t>
    <phoneticPr fontId="6" type="noConversion"/>
  </si>
  <si>
    <t>pct</t>
    <phoneticPr fontId="6" type="noConversion"/>
  </si>
  <si>
    <t>RBMS_SOXdebugData1</t>
    <phoneticPr fontId="6" type="noConversion"/>
  </si>
  <si>
    <t>mAh</t>
    <phoneticPr fontId="6" type="noConversion"/>
  </si>
  <si>
    <t>mAh</t>
    <phoneticPr fontId="6" type="noConversion"/>
  </si>
  <si>
    <t>℃</t>
    <phoneticPr fontId="6" type="noConversion"/>
  </si>
  <si>
    <t>℃</t>
    <phoneticPr fontId="6" type="noConversion"/>
  </si>
  <si>
    <t>/</t>
    <phoneticPr fontId="6" type="noConversion"/>
  </si>
  <si>
    <t>RBMS_SOXdebugData2</t>
    <phoneticPr fontId="6" type="noConversion"/>
  </si>
  <si>
    <t>RBMS_SOXdebugData2</t>
    <phoneticPr fontId="6" type="noConversion"/>
  </si>
  <si>
    <t>Ah</t>
  </si>
  <si>
    <t>pct</t>
  </si>
  <si>
    <t>day</t>
  </si>
  <si>
    <t>Ah</t>
    <phoneticPr fontId="6" type="noConversion"/>
  </si>
  <si>
    <t>Bit0：DFCL calculation flag ;DFCL模块容量计算标志位
Bit1：MFCL calculation flag ;MFCL模块容量计算标志位
Bit2：Vmax cell MFCL Point1 flag ; Vmax节电芯MFCL模块特征点1
Bit3：Vmin cell MFCL Point1 flag ; Vmin节电芯MFCL模块特征点1
Bit4：Vmax cell MFCL Point2 flag ; Vmax节电芯MFCL模块特征点2
Bit5：Vmin cell MFCL Point2 flag ; Vmin节电芯MFCL模块特征点2
Bit6：Vmax cell MFCL Point3 flag ; Vmax节电芯MFCL模块特征点3
Bit7：Vmin cell MFCL Point3 flag ; Vmin节电芯MFCL模块特征点3</t>
    <phoneticPr fontId="6" type="noConversion"/>
  </si>
  <si>
    <t>Bit0: Cell Temperature General Validity;电芯温度概要有效性
Signal;
0X0-Invalid;
0X1-Valid;
Bit1: Cell Voltage General Validity;电芯电压概要有效性
Signal;
0X0-Invalid;
0X1-Valid;
Bit2: Battery Current Validity;簇电流有效性
Signal;
0X0-Invalid;
0X1-Valid;
Bit3: LinkPosVoltage Validity;LinkPos电压有效性
Signal;
0X0-Invalid;
0X1-Valid;</t>
    <phoneticPr fontId="6" type="noConversion"/>
  </si>
  <si>
    <t>i * 3000 + 2213</t>
  </si>
  <si>
    <t>i * 3000 + 2214</t>
  </si>
  <si>
    <t>i * 3000 + 2215</t>
  </si>
  <si>
    <t>i * 3000 + 2216</t>
  </si>
  <si>
    <t>i * 3000 + 2218</t>
    <phoneticPr fontId="6" type="noConversion"/>
  </si>
  <si>
    <t>i * 3000 + 2220</t>
  </si>
  <si>
    <t>i * 3000 + 2222</t>
  </si>
  <si>
    <t>i * 3000 + 2224</t>
  </si>
  <si>
    <t>i * 3000 + 2226</t>
  </si>
  <si>
    <t>i * 3000 + 2227</t>
  </si>
  <si>
    <t>i * 3000 + 2228</t>
  </si>
  <si>
    <t>i * 3000 + 2229</t>
  </si>
  <si>
    <t>i * 3000 + 2231</t>
    <phoneticPr fontId="6" type="noConversion"/>
  </si>
  <si>
    <t>i * 3000 + 2233</t>
  </si>
  <si>
    <t>i * 3000 + 2234</t>
  </si>
  <si>
    <t>i * 3000 + 2235</t>
  </si>
  <si>
    <t>i * 3000 + 2236</t>
  </si>
  <si>
    <t>i * 3000 + 2237</t>
  </si>
  <si>
    <t>i * 3000 + 2238</t>
  </si>
  <si>
    <t>i * 3000 + 2239</t>
  </si>
  <si>
    <t>i * 3000 + 2240</t>
  </si>
  <si>
    <t>i * 3000 + 2241</t>
  </si>
  <si>
    <t>i * 3000 + 2242</t>
  </si>
  <si>
    <t>i * 3000 + 2243</t>
  </si>
  <si>
    <t>i * 3000 + 2244</t>
  </si>
  <si>
    <t>i * 3000 + 2245</t>
  </si>
  <si>
    <t>i * 3000 + 2246</t>
  </si>
  <si>
    <t>i * 3000 + 2247</t>
  </si>
  <si>
    <t>i * 3000 + 2248</t>
  </si>
  <si>
    <t>i * 3000 + 2249</t>
  </si>
  <si>
    <t>i * 3000 + 2250</t>
  </si>
  <si>
    <t>i * 3000 + 2251</t>
  </si>
  <si>
    <t>i * 3000 + 2252</t>
  </si>
  <si>
    <t>i * 3000 + 2253</t>
  </si>
  <si>
    <t>RBMS_CLTH_HV_BOX_AMBIENT_OVER_TEMP_LEVEL3_FAULT</t>
  </si>
  <si>
    <t>RBMS_CLTH_HV_BOX_AMBIENT_OVER_TEMP_LEVEL2_FAULT</t>
  </si>
  <si>
    <t>RBMS_CLTH_HV_BOX_AMBIENT_OVER_TEMP_LEVEL1_FAULT</t>
  </si>
  <si>
    <t>1. History: 
    优化格式，版本号与其他通讯表格匹配 A0-&gt;V1.0.1
2. 寄存器分布：
    sheet“目录”更名为“寄存器分布”；
    输入寄存器-簇信息长度 2991-&gt;3000；
    起始地址改为由公式计算;
3. 格式梳理：
    字段列需包含中文名/英文名；
    删除非必要列(重点测试关注、BMS2.0平台开发需求等)；
    列名改为英文；
4. 离散输入寄存器：
    堆数据信息：81-121补充M核检测的未上报至EMS的故障；
    簇数据信息：246-255/297-350补充三级架构RBMS未上报至EMS的故障；
    簇数据信息：351-366补充二级架构RBMS未上报至EMS的故障；
    列“Mapping Signal BMS20/21”：用于标注BMS20(三级架构)/BMS21(二级架构)平台mapping的信号
5. 保持寄存器：
    将保留的点位更新为“预留 Reserved”
    保持寄存器当前未实现任何功能mapping，需基于需求进行开发，新增列“Mapping Signal BMS20/21”
6. 输入寄存器：
    将保留的点位更新为“预留 Reserved”，并将“预留 Reserved”内容调整至集中放置
    新增列“Mapping Signal BMS20/21”
    簇信息数据分类(以簇1为例)：100-200 概要信息，201-2200 详细信息，2201-3000 软件debug信息(由软件自行维护)
7. 删除sheet“问题列表”
8. 修改电表信息-总有功功率、电表信息-总无功功率数据类型
9. 更新簇编号与数组编号的描述形式</t>
  </si>
  <si>
    <t>起始地址(十进制) / Start address (decimal)</t>
  </si>
  <si>
    <t>bit0: Display SOC full charge correction flag(0X0: hold 保持 ; 0X1: correction修正)
bit1: Real SOC full charge correction flag(0X0: hold 保持 ; 0X1: correction修正)</t>
  </si>
  <si>
    <t>bit0: Display SOC full discharge correction flag(0X0: hold 保持 ; 0X1: correction修正)
bit1: Real SOC full discharge correction flag(0X0: hold 保持 ; 0X1: correction修正)</t>
  </si>
  <si>
    <t>Bit0[1]:  Vmax cell temperature  validity;最大电压电芯温度有效性
(0X0-Invalid; 0X1-Valid)
Bit1[1]:  Vmin cell temperature  validity;最小电压电芯温度有效性
(0X0-Invalid; 0X1-Valid)</t>
  </si>
  <si>
    <t>0：AH(安时积分修正)
1：RVC(静置电压修正)
2：EDE(高精度动态修正)
3：FDC(满放修正)
4：FCC(满充修正)
5：SOC标定
6：NearFCC(非满充修正)
7：Near100FCC(非满充100修正)</t>
  </si>
  <si>
    <t>簇 (i+1) 主控与总控通讯失联
String (i+1) ESBCM Lost communication</t>
  </si>
  <si>
    <t>簇 (i+1) 端电压欠压轻度告警
String (i+1) Total voltage undervoltage slight alarm</t>
  </si>
  <si>
    <t>簇 (i+1) 端电压欠压中度告警 
String (i+1) Total voltage undervoltage medium alarm</t>
  </si>
  <si>
    <t>簇 (i+1) 端电压欠压重度告警
String (i+1) Total voltage undervoltage serious alarm</t>
  </si>
  <si>
    <t>簇 (i+1) 端电压过压轻度告警
String (i+1) Total voltage overvoltage slight alarm</t>
  </si>
  <si>
    <t>簇 (i+1) 端电压过压中度告警
String (i+1) Total voltage overvoltage medium alarm</t>
  </si>
  <si>
    <t>簇 (i+1) 端电压过压重度告警
String (i+1) Total voltage overvoltage serious alarm</t>
  </si>
  <si>
    <t>簇 (i+1) 端充电电流轻度告警
String (i+1) charge overcurrent slight alarm</t>
  </si>
  <si>
    <t>簇 (i+1) 端充电电流中度告警
String (i+1) charge overcurrent medium alarm</t>
  </si>
  <si>
    <t>簇 (i+1) 端充电电流重度告警
String (i+1) charge overcurrent serious alarm</t>
  </si>
  <si>
    <t>簇 (i+1) 端放电电流轻度告警
String (i+1) discharge overcurrent slight alarm</t>
  </si>
  <si>
    <t>簇 (i+1) 端放电电流中度告警
String (i+1) discharge overcurrent medium alarm</t>
  </si>
  <si>
    <t>簇 (i+1) 端放电电流重度告警
String (i+1) discharge overcurrent serious alarm</t>
  </si>
  <si>
    <t>簇 (i+1) 单体欠压轻度告警
String (i+1) cell voltage undervoltage slight alarm</t>
  </si>
  <si>
    <t>簇 (i+1) 单体欠压中度告警
String (i+1) cell voltage undervoltage medium alarm</t>
  </si>
  <si>
    <t>簇 (i+1) 单体欠压重度告警
String (i+1) cell voltage undervoltage serious alarm</t>
  </si>
  <si>
    <t>簇 (i+1) 单体过压轻度告警
String (i+1) cell voltage overvoltage slight alarm</t>
  </si>
  <si>
    <t>簇 (i+1) 单体过压中度告警
String (i+1) cell voltage overvoltage medium alarm</t>
  </si>
  <si>
    <t>簇 (i+1) 单体过压重度告警
String (i+1) cell voltage overvoltage serious alarm</t>
  </si>
  <si>
    <t>簇 (i+1) 单体充电欠温轻度告警
String (i+1) cell charge low temperature slight alarm</t>
  </si>
  <si>
    <t>簇 (i+1) 单体充电欠温中度告警
String (i+1) cell charge low temperature medium alarm</t>
  </si>
  <si>
    <t>簇 (i+1) 单体充电欠温重度告警
String (i+1) cell charge low temperature serious alarm</t>
  </si>
  <si>
    <t>簇 (i+1) 单体充电过温轻度告警
String (i+1) cell charge over temperature slight alarm</t>
  </si>
  <si>
    <t>簇 (i+1) 单体充电过温中度告警
String (i+1) cell charge over temperature medium alarm</t>
  </si>
  <si>
    <t>簇 (i+1) 单体充电过温重度告警
String (i+1) cell charge over temperature serious alarm</t>
  </si>
  <si>
    <t>簇 (i+1) 单体放电欠温轻度告警
String (i+1) cell discharge low temperature slight alarm</t>
  </si>
  <si>
    <t>簇 (i+1) 单体放电欠温中度告警
String (i+1) cell discharge low temperature medium alarm</t>
  </si>
  <si>
    <t>簇 (i+1) 单体放电欠温重度告警
String (i+1) cell discharge low temperature serious alarm</t>
  </si>
  <si>
    <t>簇 (i+1) 单体放电过温轻度告警
String (i+1) cell discharge over temperature slight alarm</t>
  </si>
  <si>
    <t>簇 (i+1) 单体放电过温中度告警
String (i+1) cell discharge over temperature medium alarm</t>
  </si>
  <si>
    <t>簇 (i+1) 单体放电过温重度告警
String (i+1) cell discharge over temperature serious alarm</t>
  </si>
  <si>
    <t>簇 (i+1) 单体 SOC 低轻度告警
String (i+1) cell SOC low slight alarm</t>
  </si>
  <si>
    <t>簇 (i+1) 单体 SOC 低中度告警
String (i+1) cell SOC low medium alarm</t>
  </si>
  <si>
    <t>簇 (i+1) 单体 SOC 低重度告警
String (i+1) cell SOC low serious alarm</t>
  </si>
  <si>
    <t>簇 (i+1) 单体 SOC 高轻度告警
String (i+1) cell SOC high slight alarm</t>
  </si>
  <si>
    <t>簇 (i+1) 单体 SOC 高中度告警
String (i+1) cell SOC high medium alarm</t>
  </si>
  <si>
    <t>簇 (i+1) 单体 SOC 高重度告警
String (i+1) cell SOC high serious alarm</t>
  </si>
  <si>
    <t>簇 (i+1) 单体 SOH 低轻度告警
String (i+1) cell SOH low slight alarm</t>
  </si>
  <si>
    <t>簇 (i+1) 单体 SOH 低中度告警 
String (i+1) cell SOH low medium alarm</t>
  </si>
  <si>
    <t>簇 (i+1) 单体 SOH 低重度告警
String (i+1) cell SOH low serious alarm</t>
  </si>
  <si>
    <t>簇 (i+1) 单体压差轻度告警
String (i+1) cell voltage different slight alarm</t>
  </si>
  <si>
    <t>簇 (i+1) 单体压差中度告警
String (i+1) cell voltage different medium alarm</t>
  </si>
  <si>
    <t>簇 (i+1) 单体压差重度告警
String (i+1) cell voltage different serious alarm</t>
  </si>
  <si>
    <t>簇 (i+1) 单体温差轻度告警
String (i+1) cell temperature different slight alarm</t>
  </si>
  <si>
    <t>簇 (i+1) 单体温差中度告警
String (i+1) cell temperature different medium alarm</t>
  </si>
  <si>
    <t>簇 (i+1) 单体温差重度告警
String (i+1) cell temperature different serious alarm</t>
  </si>
  <si>
    <t>簇 (i+1) 放电极限过流告警
String (i+1) discharge overcurrent limit alarm</t>
  </si>
  <si>
    <t>簇 (i+1) 充电极限过流告警
String (i+1) charge overcurrent limit alarm</t>
  </si>
  <si>
    <t>簇 (i+1) 电流传感器零漂告警
String (i+1) current sensor zero drift alarm</t>
  </si>
  <si>
    <t>簇 (i+1) 均衡回路告警
String (i+1) balancing circuit alarm</t>
  </si>
  <si>
    <t>簇 (i+1) AFE芯片过温告警
String (i+1) AFE chip overtemperature alarm</t>
  </si>
  <si>
    <t>簇 (i+1) 电芯电压冗余检测告警
String (i+1) cell voltage redundancy detection alarm</t>
  </si>
  <si>
    <t>簇 (i+1) 菊花链通信Counter告警
String (i+1) daisy-chain communication counter alarm</t>
  </si>
  <si>
    <t>簇 (i+1) 菊花链多点断线告警
String (i+1) daisy-chain multi-point disconnection alarm</t>
  </si>
  <si>
    <t>簇 (i+1) 菊花链单点断线告警
String (i+1) daisy-chain single-point disconnection alarm</t>
  </si>
  <si>
    <t>簇 (i+1) NTC供电告警
String (i+1) NTC power supply alarm</t>
  </si>
  <si>
    <t>簇 (i+1) AFE硬件告警 
String (i+1) AFE hardware fault</t>
  </si>
  <si>
    <t>簇 (i+1) 菊花链通信丢失告警
String (i+1) daisy chain communication lost fault</t>
  </si>
  <si>
    <t>簇 (i+1) 电芯电压温度采样CRC告警
String (i+1) cell voltage and temperature sampling CRC fault</t>
  </si>
  <si>
    <t>簇 (i+1) 电芯电压采样线掉线
String (i+1) cell voltage sampling line disconnected</t>
  </si>
  <si>
    <t>簇 (i+1) 电芯温度采样短地(STG)
String (i+1) cell temperature sampling short to ground (STG)</t>
  </si>
  <si>
    <t>簇 (i+1) 电芯温度采样短电源(STB or Oc)
String (i+1) cell temperature sampling short to power supply (STB or Oc)</t>
  </si>
  <si>
    <t>簇 (i+1) 电芯温度采样MUX告警
String (i+1) cell temperature sampling MUX fault</t>
  </si>
  <si>
    <t>簇 (i+1) 电芯电压采样超范围
String (i+1) cell voltage sampling out of range</t>
  </si>
  <si>
    <t>簇 (i+1) 高压采样传感器告警
String (i+1) high-voltage sampling sensor fault</t>
  </si>
  <si>
    <t>簇 (i+1) Battery电压超范围告警
String (i+1) battery voltage out of range fault</t>
  </si>
  <si>
    <t>簇 (i+1) LinkPos电压超范围告警
String (i+1) LinkPos voltage out of range fault</t>
  </si>
  <si>
    <t>簇 (i+1) 电流传感器通讯丢失告警
String (i+1) current sensor communication lost fault</t>
  </si>
  <si>
    <t>簇 (i+1) 电流传感器硬件告警
String (i+1) current sensor hardware fault</t>
  </si>
  <si>
    <t>簇 (i+1) 电流传感器CRC告警
String (i+1) current sensor CRC fault</t>
  </si>
  <si>
    <t>簇 (i+1) 预留
String (i+1) Reserved</t>
  </si>
  <si>
    <t>簇 (i+1) 单体极限过压
String (i+1) single cell extreme overvoltage</t>
  </si>
  <si>
    <t>簇 (i+1) 单体极限欠压
String (i+1) single cell extreme undervoltage</t>
  </si>
  <si>
    <t>簇 (i+1) 高压回路断路告警
String (i+1) high-voltage circuit open fault</t>
  </si>
  <si>
    <t>簇 (i+1) 电芯极限过温
String (i+1) cell extreme overtemperature</t>
  </si>
  <si>
    <t>簇 (i+1) 电芯温升过快
String (i+1) cell temperature rising too fast</t>
  </si>
  <si>
    <t>簇 (i+1) 电芯热失控
String (i+1) cell thermal runaway</t>
  </si>
  <si>
    <t>簇 (i+1) 从板均衡温度高重度告警
String (i+1) slave board balancing temperature serious alarm</t>
  </si>
  <si>
    <t>簇 (i+1) 高压绝缘低重度告警
String (i+1) high-voltage insulation serious alarm</t>
  </si>
  <si>
    <t>簇 (i+1) 绝缘无效告警
String (i+1) insulation invalid fault</t>
  </si>
  <si>
    <t>簇 (i+1) 电芯自放电差异过重度告警
String (i+1) cell self-discharge difference serious alarm</t>
  </si>
  <si>
    <t>簇 (i+1) 过充告警
String (i+1) overcharge alarm</t>
  </si>
  <si>
    <t>簇 (i+1) 主负继电器粘连告警
String (i+1) main negative relay stuck close alarm</t>
  </si>
  <si>
    <t>簇 (i+1) 主负继电器开路告警
String (i+1) main negative relay open circuit alarm</t>
  </si>
  <si>
    <t>簇 (i+1) 主正继电器粘连告警
String (i+1) main positive relay stuck close alarm</t>
  </si>
  <si>
    <t>簇 (i+1) 主正继电器开路告警
String (i+1) main positive relay open circuit alarm</t>
  </si>
  <si>
    <t>簇 (i+1) 极柱温度过高轻度告警
String (i+1) pole temperature high slight alarm</t>
  </si>
  <si>
    <t>簇 (i+1) 极柱温度过高中度告警
String (i+1) pole temperature high medium alarm</t>
  </si>
  <si>
    <t>簇 (i+1) 极柱温度过高重度告警
String (i+1) pole temperature high serious alarm</t>
  </si>
  <si>
    <t>簇 (i+1) 模块电压过高轻度告警
String (i+1) pack voltage overvoltage slight alarm</t>
  </si>
  <si>
    <t>簇 (i+1) 模块电压过高中度告警
String (i+1) pack voltage overvoltage medium alarm</t>
  </si>
  <si>
    <t>簇 (i+1) 模块电压过高重度告警
String (i+1) pack voltage overvoltage serious alarm</t>
  </si>
  <si>
    <t>簇 (i+1) 模块电压过低轻度告警
String (i+1) pack voltage undervoltage slight alarm</t>
  </si>
  <si>
    <t>簇 (i+1) 模块电压过低中度告警
String (i+1) pack voltage undervoltage slight alarm</t>
  </si>
  <si>
    <t>簇 (i+1) 模块电压过低重度告警
String (i+1) pack voltage undervoltage slight alarm</t>
  </si>
  <si>
    <t>簇 (i+1) 预充超时告警
String (i+1) precharge timeout fault</t>
  </si>
  <si>
    <t>簇 (i+1) 预充过流告警
String (i+1) precharge overcurrent fault</t>
  </si>
  <si>
    <t>簇 (i+1) 消防重度告警
String (i+1) fire alarm serious alarm</t>
  </si>
  <si>
    <t>簇 (i+1) 高压箱熔断器告警
String (i+1) high-voltage fuse alarm</t>
  </si>
  <si>
    <t>簇 (i+1) MSD开路(互锁)告警
String (i+1) MSD open (interlock) alarm</t>
  </si>
  <si>
    <t>簇 (i+1) 门禁告警
String (i+1) door open alarm</t>
  </si>
  <si>
    <t>簇 (i+1) 隔离开关开告警
String (i+1) isolation switch open alarm</t>
  </si>
  <si>
    <t>簇 (i+1) 主控SPD1浪涌反馈告警
String (i+1) main SPD1 surge feedback alarm</t>
  </si>
  <si>
    <t>簇 (i+1) 电芯自放电差异过大轻度告警
String (i+1) cell self-discharge difference too large slight alarm</t>
  </si>
  <si>
    <t>簇 (i+1) 电芯自放电差异过大中度告警
String (i+1) cell self-discharge difference too large medium alarm</t>
  </si>
  <si>
    <t>簇 (i+1) 电芯单体温度与电芯极柱温度偏差过大重度告警
String (i+1) cell temperature vs post temperature deviation too large serious alarm</t>
  </si>
  <si>
    <t>簇 (i+1) 高压盒过温轻度告警
String (i+1) HV box overtemperature slight alarm</t>
  </si>
  <si>
    <t>簇 (i+1) 高压盒过温中度告警
String (i+1) HV box overtemperature medium alarm</t>
  </si>
  <si>
    <t>簇 (i+1) 高压盒过温重度告警
String (i+1) HV box overtemperature serious alarm</t>
  </si>
  <si>
    <t>簇 (i+1) Pack正负极连接件温度过温轻度告警
String (i+1) pack positive/negative connector overtemperature slight alarm</t>
  </si>
  <si>
    <t>簇 (i+1) Pack正负极连接件温度过温中度告警
String (i+1) pack positive/negative connector overtemperature medium alarm</t>
  </si>
  <si>
    <t>簇 (i+1) Pack正负极连接件温度过温重度告警
String (i+1) pack positive/negative connector overtemperature serious alarm</t>
  </si>
  <si>
    <t>簇 (i+1) 从板均衡温度高中度告警
String (i+1) slave board balancing temperature high medium alarm</t>
  </si>
  <si>
    <t>簇 (i+1) 电芯极限欠温告警
String (i+1) cell undervoltage limit alarm</t>
  </si>
  <si>
    <t>簇 (i+1) 电芯温度冗余检测告警
String (i+1) cell temperature redundancy detection alarm</t>
  </si>
  <si>
    <t>簇 (i+1) 从板均衡温度采样短电源(STB or Oc)告警
String (i+1) slave board balancing temperature sample short to power(STB or Oc) alarm</t>
  </si>
  <si>
    <t>簇 (i+1) 从板均衡温度采样短地(STG)告警
String (i+1) slave board balancing temperature sample short to ground(STG) alarm</t>
  </si>
  <si>
    <t>簇 (i+1) 模组压差大轻度告警
String (i+1) module voltage difference too large slight alarm</t>
  </si>
  <si>
    <t>簇 (i+1) 模组压差大中度告警
String (i+1) module voltage difference too large medium alarm</t>
  </si>
  <si>
    <t>簇 (i+1) 模组压差大重度告警
String (i+1) module voltage difference too large serious alarm</t>
  </si>
  <si>
    <t>簇 (i+1) 单体电压和与AFE电压不匹配告警
String (i+1) cell voltage does not match AFE voltage alarm</t>
  </si>
  <si>
    <t>簇 (i+1) AFE电压采样超范围告警
String (i+1) AFE voltage sampling out of range alarm</t>
  </si>
  <si>
    <t>簇 (i+1) 主负继电器驱动电路告警
String (i+1) main negative relay drive circuit alarm</t>
  </si>
  <si>
    <t>簇 (i+1) 主正继电器驱动电路告警
String (i+1) main positive relay drive circuit alarm</t>
  </si>
  <si>
    <t>簇 (i+1) 继电器驱动回采选通告警
String (i+1) relay drive feedback gating alarm</t>
  </si>
  <si>
    <t>簇 (i+1) Bank通信CRC异常告警
String (i+1) bank communication CRC abnormal alarm</t>
  </si>
  <si>
    <t>簇 (i+1) 紧急关断信号CAN通信Counter告警
String (i+1) emergency shutdown CAN communication counter alarm</t>
  </si>
  <si>
    <t>簇 (i+1) 紧急关断信号CAN通信CRC告警
String (i+1) emergency shutdown CAN communication CRC alarm</t>
  </si>
  <si>
    <t>簇 (i+1) 紧急关断信号CAN通信超时告警
String (i+1) emergency shutdown CAN communication timeout alarm</t>
  </si>
  <si>
    <t>簇 (i+1) 电芯电压与Battery电压不匹配告警
String (i+1) cell voltage does not match battery voltage alarm</t>
  </si>
  <si>
    <t>簇 (i+1) 绝缘负对地电压无效告警
String (i+1) negative insulation to ground voltage invalid alarm</t>
  </si>
  <si>
    <t>簇 (i+1) 绝缘正对地电压无效告警
String (i+1) positive insulation to ground voltage invalid alarm</t>
  </si>
  <si>
    <t>簇 (i+1) 高压绝缘低轻度告警
String (i+1) high-voltage insulation low slight alarm</t>
  </si>
  <si>
    <t>簇 (i+1) 高压绝缘低中度告警
String (i+1) high-voltage insulation low medium alarm</t>
  </si>
  <si>
    <t>簇 (i+1) RBMS供电电压过高告警
String (i+1) RBMS supply voltage too high alarm</t>
  </si>
  <si>
    <t>簇 (i+1) RBMS供电电压过低告警
String (i+1) RBMS supply voltage too low alarm</t>
  </si>
  <si>
    <t>簇 (i+1) 电流传感器供电电压过高告警
String (i+1) current sensor supply voltage too high alarm</t>
  </si>
  <si>
    <t>簇 (i+1) 电流传感器供电电压过低告警
String (i+1) current sensor supply voltage too low alarm</t>
  </si>
  <si>
    <t>簇 (i+1) 高压采样芯片供电电压过低告警
String (i+1) high-voltage sampling chip supply voltage too low alarm</t>
  </si>
  <si>
    <t>簇 (i+1) 继电器供电电压过高告警
String (i+1) relay supply voltage too high alarm</t>
  </si>
  <si>
    <t>簇 (i+1) 继电器供电电压过低告警
String (i+1) relay supply voltage too low alarm</t>
  </si>
  <si>
    <t>簇 (i+1) RBMS供电电压超范围告警
String (i+1) RBMS supply voltage out of range alarm</t>
  </si>
  <si>
    <t>簇 (i+1) 电流传感器供电电压超范围告警
String (i+1) current sensor supply voltage out of range alarm</t>
  </si>
  <si>
    <t>簇 (i+1) 继电器供电电压超范围告警
String (i+1) relay supply voltage out of range alarm</t>
  </si>
  <si>
    <t>簇 (i+1) MCU芯片ADC模块告警
String (i+1) MCU chip ADC module alarm</t>
  </si>
  <si>
    <t>簇 (i+1) MCU芯片CAN模块告警
String (i+1) MCU chip CAN module alarm</t>
  </si>
  <si>
    <t>簇 (i+1) MCU芯片GPIO模块告警
String (i+1) MCU chip GPIO module alarm</t>
  </si>
  <si>
    <t>簇 (i+1) MCU芯片SPI模块告警
String (i+1) MCU chip SPI module alarm</t>
  </si>
  <si>
    <t>簇 (i+1) MCU初始化告警
String (i+1) MCU initialization alarm</t>
  </si>
  <si>
    <t>簇 (i+1) RTC时间无效告警
String (i+1) RTC time invalid alarm</t>
  </si>
  <si>
    <t>簇 (i+1) SOC差异过大告警
String (i+1) SOC difference too large alarm</t>
  </si>
  <si>
    <t>簇 (i+1) 气溶胶告警
String (i+1) Aerosol alarm</t>
  </si>
  <si>
    <t>簇 (i+1) 急停告警
String (i+1) Estop alarm</t>
  </si>
  <si>
    <t>簇 (i+1) 消防中度告警
String (i+1) Fire extinguisher alert alarm</t>
  </si>
  <si>
    <t>簇 (i+1) 消防轻度告警
String (i+1) Fire extinguisher warn alarm</t>
  </si>
  <si>
    <t>簇 (i+1) QF1断路器告警
String (i+1) QF1 breaker alarm</t>
  </si>
  <si>
    <t>簇 (i+1) 水浸告警告警
String (i+1) Water flood alarm</t>
  </si>
  <si>
    <t>簇 (i+1) 与EMS通讯丢失告警
String (i+1) EMS to BMS communication lost alarm</t>
  </si>
  <si>
    <t>簇 (i+1) 与电表通讯丢失告警
String (i+1) Energymeter to BMS communication lost alarm</t>
  </si>
  <si>
    <t>簇 (i+1) 与PCS通讯丢失告警
String (i+1) PCS to BMS communication lost alarm</t>
  </si>
  <si>
    <t>簇 (i+1) 与UPS通讯丢失告警
String (i+1) UPS to BMS communication lost alarm</t>
  </si>
  <si>
    <t>簇 (i+1) 水冷机轻度告警
String (i+1) TMS slight alarm</t>
  </si>
  <si>
    <t>簇 (i+1) 水冷机中度告警
String (i+1) TMS medium alarm</t>
  </si>
  <si>
    <t>簇 (i+1) 水冷机重度告警
String (i+1) TMS serious alarm</t>
  </si>
  <si>
    <t>簇 (i+1) 水冷机组工作模式不匹配告警
String (i+1) TMS request and work mode different alarm</t>
  </si>
  <si>
    <t>簇 (i+1) 与TMS通讯丢失告警
String (i+1) TMS to BMS communication lost alarm</t>
  </si>
  <si>
    <t>簇 (i+1) 与 IO模块通信丢失告警
String (i+1) IO module to BMS communication lost alarm</t>
  </si>
  <si>
    <t>簇 (i+1) 与除湿机通讯节点丢失告警
String (i+1) Dehumidifier to BMS communication lost alarm</t>
  </si>
  <si>
    <t>簇 (i+1) 散热风扇告警
String (i+1) Cooling fan alarm</t>
  </si>
  <si>
    <t>簇 (i+1) 烟感告警
String (i+1) Smoke detector alarm</t>
  </si>
  <si>
    <t>簇 (i+1) 温感告警
String (i+1) Heat detector alarm</t>
  </si>
  <si>
    <t>簇 (i+1) 电池充放电状态
String(i+1)charge discharge state</t>
  </si>
  <si>
    <t>簇 (i+1) 最大故障等级
String (i+1) maximum alarm level</t>
  </si>
  <si>
    <t>簇 (i+1) 允许充电最大功率
String (i+1) maximum allowable charging power</t>
  </si>
  <si>
    <t>簇 (i+1) 允许放电最大功率
String (i+1) maximum allowable discharging power</t>
  </si>
  <si>
    <t>簇 (i+1) 允许充电最大电流
String (i+1) maximum allowable charging current</t>
  </si>
  <si>
    <t>簇 (i+1) 允许放电最大电流
String (i+1) maximum allowable discharging current</t>
  </si>
  <si>
    <t>簇 (i+1) 组直流母线电压
String (i+1) DC bus voltage</t>
  </si>
  <si>
    <t>簇 (i+1) 组电流
String (i+1) Current</t>
  </si>
  <si>
    <t>簇 (i+1) 组 SOC
String (i+1) SOC</t>
  </si>
  <si>
    <t>簇 (i+1) 组 SOH
String (i+1) SOH</t>
  </si>
  <si>
    <t>簇 (i+1) 组绝缘电阻
String (i+1) insulation resistance</t>
  </si>
  <si>
    <t>簇 (i+1) 平均单体电压
String (i+1) average cell voltage</t>
  </si>
  <si>
    <t>簇 (i+1) 平均单体温度
String (i+1) average cell temperature</t>
  </si>
  <si>
    <t>簇 (i+1) 最高单体电压
String (i+1) maximum cell voltage</t>
  </si>
  <si>
    <t>簇 (i+1) 最高单体电压对应点号
Cell number of String (i+1) maximum cell voltage</t>
  </si>
  <si>
    <t>簇 (i+1) 最低单体电压
String (i+1) minimum cell voltage</t>
  </si>
  <si>
    <t>簇 (i+1) 最低单体电压对应点号
String (i+1) number of minimum cell voltage</t>
  </si>
  <si>
    <t>簇 (i+1) 最高单体温度
String (i+1) maximum cell temperature</t>
  </si>
  <si>
    <t>簇 (i+1) 最高单体温度对应点号
String (i+1) number of maximum cell temperature</t>
  </si>
  <si>
    <t>簇 (i+1) 最低单体温度
String (i+1) minimum cell temperature</t>
  </si>
  <si>
    <t>簇 (i+1) 最低单体温度对应点号
String (i+1) number of minimum cell temperature</t>
  </si>
  <si>
    <t>簇 (i+1) 最高单体 SOC
String (i+1) maximum cell SOC</t>
  </si>
  <si>
    <t>簇 (i+1) 最高单体 SOC 对应点号
String (i+1) number of maximum cell SOC</t>
  </si>
  <si>
    <t>簇 (i+1) 最低单体 SOC
String (i+1) minimum cell SOC</t>
  </si>
  <si>
    <t>簇 (i+1) 最低单体 SOC 对应点号
String (i+1) number of minimum cell SOC</t>
  </si>
  <si>
    <t>簇 (i+1) 极柱最大温度
String (i+1) pole maximum temperature</t>
  </si>
  <si>
    <t>簇 (i+1) 极柱最大温度编号
String (i+1) pole maximum temperature index</t>
  </si>
  <si>
    <t>簇 (i+1) 极柱最小温度
String (i+1) pole minimum temperature</t>
  </si>
  <si>
    <t>簇 (i+1) 极柱最小温度编号
String (i+1) pole minimum temperature index</t>
  </si>
  <si>
    <t>簇 (i+1) 极柱最大温度对应模组号
String (i+1) pole maximum temperature module number</t>
  </si>
  <si>
    <t>簇 (i+1) 极柱最小温度对应模组号
String (i+1) pole minimum temperature module number</t>
  </si>
  <si>
    <t>簇 (i+1) 极柱平均温度
String (i+1) pole average temperature</t>
  </si>
  <si>
    <t>簇 (i+1) 累计充电电量
String (i+1) accumulated charging energy</t>
  </si>
  <si>
    <t>簇 (i+1) 累计放电电量
String (i+1) accumulated discharging energy</t>
  </si>
  <si>
    <t>簇 (i+1) 最近一次充电电量
String (i+1) latest charge energy</t>
  </si>
  <si>
    <t>簇 (i+1) 最近一次放电电量
String (i+1) latest discharge energy</t>
  </si>
  <si>
    <t>簇 (i+1) 可充电量
String (i+1) rechargeable capacity</t>
  </si>
  <si>
    <t>簇 (i+1) 继电器/干接点状态
String (i+1) contactor status</t>
  </si>
  <si>
    <t>簇 (i+1) 高压连接失败原因
String (i+1) connection failure reason</t>
  </si>
  <si>
    <t>簇 (i+1) 高压箱温度T0
String (i+1) HV Box Temperature0</t>
  </si>
  <si>
    <t>簇 (i+1) 高压箱温度T1
String (i+1) HV Box Temperature0</t>
  </si>
  <si>
    <t>簇 (i+1) 高压箱温度T2
String (i+1) HV Box Temperature0</t>
  </si>
  <si>
    <t>簇 (i+1) 高压箱温度T3
String (i+1) HV Box Temperature0</t>
  </si>
  <si>
    <t>簇 (i+1) 继电器控制状态
String (i+1) relay control state</t>
  </si>
  <si>
    <t>簇 (i+1) 绝缘禁止原因
String (i+1) insulation disable reason</t>
  </si>
  <si>
    <t>簇 (i+1) 绝缘总压
String (i+1) insulation total voltage</t>
  </si>
  <si>
    <t>簇 (i+1) 绝缘正对地电压
String (i+1) insulation positive to ground voltage</t>
  </si>
  <si>
    <t>簇 (i+1) 绝缘负对地电压
String (i+1) insulation negative to ground voltage</t>
  </si>
  <si>
    <t>簇 (i+1) 绝缘测量状态
String (i+1) insulation measurement state</t>
  </si>
  <si>
    <t xml:space="preserve">簇 (i+1) RBMS采样有效性标志
String (i+1) RBMS sampling validity flag
</t>
  </si>
  <si>
    <t>簇 (i+1) 满充修正标志位
String (i+1) full charge correction flag</t>
  </si>
  <si>
    <t>簇 (i+1) 满放修正标志位
String (i+1) full discharge correction flag</t>
  </si>
  <si>
    <t>簇 (i+1) 累计充电容量
String (i+1) accumulated charging capacity</t>
  </si>
  <si>
    <t>簇 (i+1) 累计放电容量
String (i+1) accumulated discharging capacity</t>
  </si>
  <si>
    <t xml:space="preserve">簇 (i+1) 上次下电休眠时间
String (i+1) last power-down seep time </t>
  </si>
  <si>
    <t>簇 (i+1) 历史休眠时间
String (i+1) history sleep time</t>
  </si>
  <si>
    <t>簇 (i+1) 历史运行时间
String (i+1) history run time</t>
  </si>
  <si>
    <t>簇 (i+1) 累计循环次数
String (i+1) accumulated cycle number</t>
  </si>
  <si>
    <t>簇 (i+1) SOH标定指示
String (i+1)  SOH calibration indicator</t>
  </si>
  <si>
    <t>簇 (i+1) SOH标定值
String (i+1)  SOH calibration value</t>
  </si>
  <si>
    <t>簇 (i+1) 高精度累积充电容量
String (i+1) high-precision accumulated charging capacity</t>
  </si>
  <si>
    <t>簇 (i+1) 高精度累积放电容量 
String (i+1) high-precision accumulated discharging capacity</t>
  </si>
  <si>
    <t>簇 (i+1) 历史信息标定指示
String (i+1) history info calibration indicator</t>
  </si>
  <si>
    <t>簇 (i+1) SOC标定指示
String (i+1)  SOC calibration indicator</t>
  </si>
  <si>
    <t>簇 (i+1) SOC标定值
String (i+1)  SOC calibration value</t>
  </si>
  <si>
    <t xml:space="preserve">簇 (i+1) 最大电压电芯对应温度
String (i+1)  Vmax cell temperature  </t>
  </si>
  <si>
    <t xml:space="preserve">簇 (i+1) 最小电压电芯对应温度
String (i+1)  Vmin cell temperature </t>
  </si>
  <si>
    <t>簇 (i+1) 最大最小电压电芯对应温度有效性
String (i+1)  Vmax &amp; Vmin cell temperature  validity flag</t>
  </si>
  <si>
    <t xml:space="preserve">簇 (i+1) 真实SOH
String (i+1)  Real SOH </t>
  </si>
  <si>
    <t xml:space="preserve">簇 (i+1) DFCL模块容量 
String (i+1)  DFCL module capacity </t>
  </si>
  <si>
    <t xml:space="preserve">簇 (i+1) DFCL模块SOH特征点SOC 
String (i+1)  DFCL module SOH feature point SOC </t>
  </si>
  <si>
    <t>簇 (i+1) DFCL模块SOH特征点标志位
String (i+1)  DFCL module SOH feature point status</t>
  </si>
  <si>
    <t xml:space="preserve">簇 (i+1) DFCL模块SOH特征点容量 
String (i+1)  DFCL module SOH feature point capacity </t>
  </si>
  <si>
    <t>簇 (i+1) DFCL模块SOH特征点时间
String (i+1)  DFCL module SOH feature point time</t>
  </si>
  <si>
    <t xml:space="preserve">簇 (i+1) MFCL模块容量
String (i+1)  MFCL module capacity </t>
  </si>
  <si>
    <t>簇 (i+1)  Vmax节电芯MFCL模块中特征点目标计算值
String (i+1)  Vmax cell MFCL module mid-feature point target value</t>
  </si>
  <si>
    <t>簇 (i+1)  Vmin节电芯MFCL模块中特征点目标计算值
String (i+1)  Vmin cell MFCL module mid-feature point target value</t>
  </si>
  <si>
    <t>簇 (i+1)  最大电压电芯SOC状态
String (i+1)  Vmax cell SOC status</t>
  </si>
  <si>
    <t>簇 (i+1)  最小电压电芯SOC状态
String (i+1)  Vmin cell SOC status</t>
  </si>
  <si>
    <t xml:space="preserve">簇 (i+1)  真实容量 
String (i+1)  real capacity </t>
  </si>
  <si>
    <t xml:space="preserve">簇 (i+1)  真实SOC
String (i+1)  real SOC </t>
  </si>
  <si>
    <t>簇 (i+1)  显示SOC跟随策略状态
String (i+1) dispSOC follow strategy status</t>
  </si>
  <si>
    <t>簇 (i+1)  DFCL与MFCL计算标志位
String (i+1) DFCL &amp; MFCL calculation flag</t>
  </si>
  <si>
    <t>簇 (i+1) 单体电压 (j+1)
String (i+1) cell voltage (j+1)</t>
    <phoneticPr fontId="6" type="noConversion"/>
  </si>
  <si>
    <t>簇 (i+1) 单体温度 (j+1)
String (i+1) cell temperature (j+1)</t>
    <phoneticPr fontId="6" type="noConversion"/>
  </si>
  <si>
    <t>簇 (i+1) 极柱温度 (j+1)
String (i+1) pole temperature (j+1)</t>
    <phoneticPr fontId="6" type="noConversion"/>
  </si>
  <si>
    <t>V1.0.2</t>
    <phoneticPr fontId="6" type="noConversion"/>
  </si>
  <si>
    <t>zhangyf03</t>
    <phoneticPr fontId="6" type="noConversion"/>
  </si>
  <si>
    <t>BBMS_MaxCellT</t>
    <phoneticPr fontId="6" type="noConversion"/>
  </si>
  <si>
    <t>Bit0: 存在使能簇有严重故障
Bit1: Bank存在严重故障
Bit2: 存在使能簇绝缘未完成
Bit3: 簇间压差过大
Bit4: Bank为本地模式</t>
    <phoneticPr fontId="6" type="noConversion"/>
  </si>
  <si>
    <t>RBMS_MaxPoleTDegC</t>
    <phoneticPr fontId="6" type="noConversion"/>
  </si>
  <si>
    <t>RBMS_MinPoleTDegC</t>
    <phoneticPr fontId="6" type="noConversion"/>
  </si>
  <si>
    <t>RBMS_AvgPoleTDegC</t>
    <phoneticPr fontId="6" type="noConversion"/>
  </si>
  <si>
    <t>输入寄存器：
1. Bank：最高/低/平均温度分辨率 1-&gt;0.1；堆连接失败原因Remark描述更新；
2. Rack：最高/低/平均单体温度分辨率1-&gt;0.1；最高/低/平均极柱温度Mapping Signal BMS20信号名称更新；高压箱温度T0-T3分辨率1-&gt;0.1；绝缘禁止原因Remark描述更新；</t>
    <phoneticPr fontId="6" type="noConversion"/>
  </si>
  <si>
    <t>0x0: 正常
0x1: 上位机禁止绝缘
0x2: 绝缘相关电压有效性无效
0x3: 高压禁止绝缘
0x4: XCP配置禁止绝缘</t>
    <phoneticPr fontId="6" type="noConversion"/>
  </si>
  <si>
    <t>UINT</t>
    <phoneticPr fontId="6" type="noConversion"/>
  </si>
  <si>
    <t>V1.0.3</t>
  </si>
  <si>
    <t>堆最近一次放电电量
System latest discharge energy</t>
    <phoneticPr fontId="6" type="noConversion"/>
  </si>
  <si>
    <t>输入寄存器:
Bank: 将重复的堆最近一次放电电量改为Reserved</t>
    <phoneticPr fontId="6" type="noConversion"/>
  </si>
  <si>
    <t>V1.0.4</t>
  </si>
  <si>
    <t>至少一个簇的CAN通讯丢失告警
One rack to bank CAN communication lost alarm</t>
    <phoneticPr fontId="6" type="noConversion"/>
  </si>
  <si>
    <t>Signal Source</t>
    <phoneticPr fontId="6" type="noConversion"/>
  </si>
  <si>
    <t>离散输入寄存器：
至少一个簇的CAN通讯丢失告警 Signal Source：RBMS_Fault_Data -&gt; BBMS_Fault_Data</t>
    <phoneticPr fontId="6" type="noConversion"/>
  </si>
  <si>
    <t>BBMS_Fault_Data</t>
    <phoneticPr fontId="6" type="noConversion"/>
  </si>
  <si>
    <t>BBMS_Fault_Data</t>
    <phoneticPr fontId="6" type="noConversion"/>
  </si>
  <si>
    <t>V1.0.5</t>
    <phoneticPr fontId="6" type="noConversion"/>
  </si>
  <si>
    <t>liaozc</t>
    <phoneticPr fontId="6" type="noConversion"/>
  </si>
  <si>
    <t>输入寄存器：
修改列“Mapping Signal BMS20” -&gt; “Mapping Signal BMS20/BMS23”
离散输入寄存器：
1.“簇 (i+1) 消防重度告警”出现重复，故修改266行“簇 (i+1) 消防重度告警” -&gt; “簇 (i+1) 气溶胶2告警”
2.新增285-290行故障
3.新增列”Mapping Signal BMS23“</t>
    <phoneticPr fontId="6" type="noConversion"/>
  </si>
  <si>
    <t>Mapping Signal BMS20/BMS23</t>
    <phoneticPr fontId="6" type="noConversion"/>
  </si>
  <si>
    <t>Mapping Signal BMS23</t>
    <phoneticPr fontId="6" type="noConversion"/>
  </si>
  <si>
    <t>RBMS_EMCR_RANK_TO_BANK_COMMUNICATION_LOST_FAULT</t>
    <phoneticPr fontId="6" type="noConversion"/>
  </si>
  <si>
    <t>RBMS_BTCS_CANMSG_TIMEOUT_FAULT</t>
    <phoneticPr fontId="6" type="noConversion"/>
  </si>
  <si>
    <t>RBMS_SOCA_RACK_OVER_CHARGE_FAULT</t>
    <phoneticPr fontId="6" type="noConversion"/>
  </si>
  <si>
    <t>RBMS_CLVH_MODULE_OVER_VOLTAGE_LEVEL1_FAULT</t>
    <phoneticPr fontId="6" type="noConversion"/>
  </si>
  <si>
    <t>RBMS_ACIS_FIRE_EXTINGUISHER_ALERT_FAULT</t>
    <phoneticPr fontId="6" type="noConversion"/>
  </si>
  <si>
    <t>RBMS_ACIS_HV_FUSE_FAULT</t>
    <phoneticPr fontId="6" type="noConversion"/>
  </si>
  <si>
    <t>RBMS_ACIS_AEROSOL_FAULT</t>
    <phoneticPr fontId="6" type="noConversion"/>
  </si>
  <si>
    <t>RBMS_ACIS_ESTOP_FAULT</t>
    <phoneticPr fontId="6" type="noConversion"/>
  </si>
  <si>
    <t>RBMS_ACIS_AEROSOL2_FAULT</t>
    <phoneticPr fontId="6" type="noConversion"/>
  </si>
  <si>
    <t>RBMS_ACIS_FIRE_EXTINGUISHER_ALARM_FAULT</t>
    <phoneticPr fontId="6" type="noConversion"/>
  </si>
  <si>
    <t>RBMS_ACIS_FIRE_EXTINGUISHER_WARN_FAULT</t>
    <phoneticPr fontId="6" type="noConversion"/>
  </si>
  <si>
    <t>RBMS_ACIS_QF1_BREAKER_FAULT</t>
    <phoneticPr fontId="6" type="noConversion"/>
  </si>
  <si>
    <t>RBMS_ACIS_WATER_FLOOD_FAULT</t>
    <phoneticPr fontId="6" type="noConversion"/>
  </si>
  <si>
    <t>RBMS_THMC_TMS_LEVEL3_FAULT</t>
    <phoneticPr fontId="6" type="noConversion"/>
  </si>
  <si>
    <t>RBMS_THMC_TMS_LEVEL2_FAULT</t>
    <phoneticPr fontId="6" type="noConversion"/>
  </si>
  <si>
    <t>RBMS_THMC_TMS_LEVEL1_FAULT</t>
    <phoneticPr fontId="6" type="noConversion"/>
  </si>
  <si>
    <t>RBMS_THMC_TMS_REQUEST_DIFF_FAULT</t>
    <phoneticPr fontId="6" type="noConversion"/>
  </si>
  <si>
    <t>RBMS_TMCR_TMS_TO_BMS_COMMUNICATION_LOST_FAULT</t>
    <phoneticPr fontId="6" type="noConversion"/>
  </si>
  <si>
    <t>RBMS_EMCR_IOModule_TO_BMS_COMMUNICATION_LOST_FAULT</t>
    <phoneticPr fontId="6" type="noConversion"/>
  </si>
  <si>
    <t>RBMS_EMCR_DEHUMIDIFIER_TO_BMS_COMMUNICATION_LOST_FAULT</t>
    <phoneticPr fontId="6" type="noConversion"/>
  </si>
  <si>
    <t>RBMS_ACIS_COOL_FAN_FAULT</t>
    <phoneticPr fontId="6" type="noConversion"/>
  </si>
  <si>
    <t>RBMS_ACIS_SMOKE_FEEDBACK_FAULT</t>
    <phoneticPr fontId="6" type="noConversion"/>
  </si>
  <si>
    <t>RBMS_ACIS_TEMP_FEEDBACK_FAULT</t>
    <phoneticPr fontId="6" type="noConversion"/>
  </si>
  <si>
    <t>RBMS_BTCS_CANMSG_TIMEOUT_LEVEL3_FAULT</t>
    <phoneticPr fontId="6" type="noConversion"/>
  </si>
  <si>
    <t>RBMS_BTCS_CANBATI_IMPLY_LEVEL3_FAULT</t>
    <phoneticPr fontId="6" type="noConversion"/>
  </si>
  <si>
    <t>RBMS_BTCS_CANBATI_ZERODRIFT_LEVEL3_FAULT</t>
    <phoneticPr fontId="6" type="noConversion"/>
  </si>
  <si>
    <t>RBMS_BTCS_CANMSG_CRCRES_LEVEL3_FAULT</t>
    <phoneticPr fontId="6" type="noConversion"/>
  </si>
  <si>
    <t>RBMS_BTCS_BATIDIFFHIGH_FAULT</t>
    <phoneticPr fontId="6" type="noConversion"/>
  </si>
  <si>
    <t>RBMS_HVSH_MAIN_POSITIVE_BUS_BROKEN_FAULT</t>
    <phoneticPr fontId="6" type="noConversion"/>
  </si>
  <si>
    <t>簇 (i+1) 电流传感器通讯丢失轻微告警
String (i+1) current sensor communication loss slight alarm</t>
    <phoneticPr fontId="6" type="noConversion"/>
  </si>
  <si>
    <t>i * 200 + 372</t>
  </si>
  <si>
    <t>簇 (i+1) 电流传感器硬件轻微告警
String (i+1) current sensor hardware slight alarm</t>
    <phoneticPr fontId="6" type="noConversion"/>
  </si>
  <si>
    <t>i * 200 + 373</t>
  </si>
  <si>
    <t>簇 (i+1) 电流传感器零漂轻微告警
String (i+1) current sensor zero drift slight alarm</t>
    <phoneticPr fontId="6" type="noConversion"/>
  </si>
  <si>
    <t>i * 200 + 374</t>
  </si>
  <si>
    <t>簇 (i+1) 电流传感器CRC轻微告警
String (i+1) current sensor CRC slight alarm</t>
    <phoneticPr fontId="6" type="noConversion"/>
  </si>
  <si>
    <t>i * 200 + 375</t>
  </si>
  <si>
    <t>簇 (i+1) 电流传感器值差异过大告警
String (i+1) current sensor value difference too large alarm</t>
    <phoneticPr fontId="6" type="noConversion"/>
  </si>
  <si>
    <t>i * 200 + 376</t>
  </si>
  <si>
    <t>簇 (i+1) 主正连接母线断路告警
String (i+1) Main positive bus broken alarm</t>
    <phoneticPr fontId="6" type="noConversion"/>
  </si>
  <si>
    <t>i * 200 + 377</t>
  </si>
  <si>
    <t>簇 (i+1) 气溶胶2告警
String (i+1) Aerosol2 alarm</t>
    <phoneticPr fontId="6" type="noConversion"/>
  </si>
  <si>
    <t>V1.0.6</t>
    <phoneticPr fontId="6" type="noConversion"/>
  </si>
  <si>
    <t>输入寄存器：
1.删除列“Mapping Signal BMS21”
离散输入寄存器：
1.删除列“Mapping Signal BMS21”
2.修改列“Mapping Signal BMS23”中“/”使用空格代替</t>
    <phoneticPr fontId="6" type="noConversion"/>
  </si>
  <si>
    <t>i * 3000 + 140</t>
  </si>
  <si>
    <t>i * 3000 + 141</t>
  </si>
  <si>
    <t>i * 3000 + 142</t>
  </si>
  <si>
    <t>i * 3000 + 143</t>
  </si>
  <si>
    <t>V</t>
    <phoneticPr fontId="12" type="noConversion"/>
  </si>
  <si>
    <t>kW</t>
    <phoneticPr fontId="12" type="noConversion"/>
  </si>
  <si>
    <t>Nbr</t>
    <phoneticPr fontId="12" type="noConversion"/>
  </si>
  <si>
    <t>RBMS_PCSChVoltLim</t>
    <phoneticPr fontId="12" type="noConversion"/>
  </si>
  <si>
    <t>RBMS_PCSDchVoltLim</t>
    <phoneticPr fontId="12" type="noConversion"/>
  </si>
  <si>
    <t>RBMS_PCSSOP</t>
    <phoneticPr fontId="12" type="noConversion"/>
  </si>
  <si>
    <t>RBMS_PCSBMSSt</t>
    <phoneticPr fontId="12" type="noConversion"/>
  </si>
  <si>
    <t>簇 (i+1) 可放电量
String (i+1) discharge capacity</t>
    <phoneticPr fontId="6" type="noConversion"/>
  </si>
  <si>
    <t>簇 (i+1) 充电电压限制
String (i+1) charge Voltage Limit</t>
    <phoneticPr fontId="6" type="noConversion"/>
  </si>
  <si>
    <t>簇 (i+1) 放电电压限制
String (i+1) discharge Voltage Limit</t>
    <phoneticPr fontId="6" type="noConversion"/>
  </si>
  <si>
    <t>簇 (i+1) bms 状态
String (i+1) bms status</t>
    <phoneticPr fontId="6" type="noConversion"/>
  </si>
  <si>
    <t>簇 (i+1) SOP
String (i+1) SOP</t>
    <phoneticPr fontId="6" type="noConversion"/>
  </si>
  <si>
    <t>V1.0.7</t>
  </si>
  <si>
    <t>lijy06</t>
    <phoneticPr fontId="6" type="noConversion"/>
  </si>
  <si>
    <t>输入寄存器：
1.新增充电电压限制、放电电压限制、SOP、bms状态</t>
    <phoneticPr fontId="6" type="noConversion"/>
  </si>
  <si>
    <t>V1.0.8</t>
  </si>
  <si>
    <t>lijy06</t>
    <phoneticPr fontId="6" type="noConversion"/>
  </si>
  <si>
    <t>BBMS_EMCR_POWER_SUPPLY_ABNORMAL_LEVEL1_FAULT</t>
    <phoneticPr fontId="6" type="noConversion"/>
  </si>
  <si>
    <t>堆内各单体温差重度告警汇总
Summary of cell differential temperature serious alarm at each string</t>
    <phoneticPr fontId="6" type="noConversion"/>
  </si>
  <si>
    <t>123-199</t>
    <phoneticPr fontId="6" type="noConversion"/>
  </si>
  <si>
    <t>BBMS_EMCR_POWER_SUPPLY_ABNORMAL_LEVEL3_FAULT</t>
    <phoneticPr fontId="6" type="noConversion"/>
  </si>
  <si>
    <t>堆内各单体 SOC 低轻度告警汇总
Summary of cell SOC low slight alarm at each string</t>
    <phoneticPr fontId="6" type="noConversion"/>
  </si>
  <si>
    <t>市电异常轻度告警
Power supply abnormal slight alarm</t>
    <phoneticPr fontId="6" type="noConversion"/>
  </si>
  <si>
    <t>市电异常重度告警
Power supply abnormal serious alarm</t>
    <phoneticPr fontId="6" type="noConversion"/>
  </si>
  <si>
    <t>V1.0.9</t>
    <phoneticPr fontId="6" type="noConversion"/>
  </si>
  <si>
    <t>lihw</t>
    <phoneticPr fontId="6" type="noConversion"/>
  </si>
  <si>
    <t>Classification</t>
    <phoneticPr fontId="6" type="noConversion"/>
  </si>
  <si>
    <t>簇 (i+1) PACK连接器温度(j+1)的Classification：PoleT-Array → ConnectT-Array</t>
    <phoneticPr fontId="6" type="noConversion"/>
  </si>
  <si>
    <t>ConnectT-Array</t>
    <phoneticPr fontId="6" type="noConversion"/>
  </si>
  <si>
    <t>BBMS_EMCR_BATTERYCABIN_DEHUMIDIFIER_TO_BMS_COMM_LOST_FAULT</t>
    <phoneticPr fontId="6" type="noConversion"/>
  </si>
  <si>
    <t>电池舱除湿机通讯节点丢失告警
Battery Cabin Dehumidifier to BMS communication lost alarm</t>
    <phoneticPr fontId="6" type="noConversion"/>
  </si>
  <si>
    <t>V1.0.10</t>
  </si>
  <si>
    <t>离散输入寄存器：
1.市电异常告警修改为市电异常重度告警，mapping信号由BBMS_EMCR_POWER_SUPPLY_ABNORMAL_FAULT修改为BBMS_EMCR_POWER_SUPPLY_ABNORMAL_LEVEL1_FAULT
2.新增市电异常轻度告警</t>
    <phoneticPr fontId="6" type="noConversion"/>
  </si>
  <si>
    <t>BBMS_EMCR_ALLRACK_TO_BANK_CAN_COMMUNICATION_LOST_FAULT</t>
    <phoneticPr fontId="6" type="noConversion"/>
  </si>
  <si>
    <t>离散输入寄存器：
1.除湿机通讯节点丢失告警描述修改为电池舱除湿机通讯节点丢失告警，mapping信号由BBMS_EMCR_DEHUMIDIFIER_TO_BMS_COMMUNICATION_LOST_FAULT修改为BBMS_EMCR_BATTERYCABIN_DEHUMIDIFIER_TO_BMS_COMM_LOST_FAULT</t>
    <phoneticPr fontId="6" type="noConversion"/>
  </si>
  <si>
    <t>V1.0.11</t>
    <phoneticPr fontId="6" type="noConversion"/>
  </si>
  <si>
    <t>xuc01</t>
    <phoneticPr fontId="6" type="noConversion"/>
  </si>
  <si>
    <t>簇 (i+1) PACK连接器温度(j+1)
String (i+1) pack connector temperature (j+1)</t>
    <phoneticPr fontId="6" type="noConversion"/>
  </si>
  <si>
    <t xml:space="preserve">输入寄存器：
簇 (i+1) PACK连接器温度(j+1)，start address: i * 3000 + 1701 + j  →   i * 3000 + 1761 + j  </t>
    <phoneticPr fontId="6" type="noConversion"/>
  </si>
  <si>
    <t xml:space="preserve">i * 3000 + 1761 + j  </t>
    <phoneticPr fontId="6" type="noConversion"/>
  </si>
  <si>
    <t>i * 3000 + 1801 to 2200</t>
    <phoneticPr fontId="6" type="noConversion"/>
  </si>
  <si>
    <t>Bit0[1]: Rack Enable Status;Rack使能状态
Signal;
0X0-Disabled;
0X1-Enabled;
Bit1[1]: Rack Online Status;Rack在线状态
Signal;
0X0-Offline;
0X1-Online;
Bit2[1]: Rack Control Mode Status;Rack控制模式
Signal;
0X0-BMS Control;
0X1-Debug;
Bit3[1]: Overall Balancing Status;均衡状态
Signal;
0X0-Stop;
0X1-Ongoing;
Bit4[0]: Fault Hardline Status;故障路线状态
Signal;
0X0- Activitied;
0X1- Disactivitied;
Bit5[1]: Green Light Status;绿灯状态
Signal;
0X0-Off;
0X1-On;
Bit6[1]: Yellow Light Status;黄灯状态
Signal;
0X0-Off;
0X1-On;
Bit7[1]: Red Light Status;红灯状态
Signal;
0X0-Off;
0X1-On;</t>
    <phoneticPr fontId="12" type="noConversion"/>
  </si>
  <si>
    <t>RBMS_St</t>
  </si>
  <si>
    <t>i * 3000 + 145 to 200</t>
    <phoneticPr fontId="6" type="noConversion"/>
  </si>
  <si>
    <t>V1.0.12</t>
  </si>
  <si>
    <t>簇 (i+1) 工作状态
String (i+1) Status</t>
    <phoneticPr fontId="6" type="noConversion"/>
  </si>
  <si>
    <t>i * 3000 + 144</t>
    <phoneticPr fontId="6" type="noConversion"/>
  </si>
  <si>
    <t xml:space="preserve">输入寄存器：
簇 (i+1) 工作状态 String (i+1) Status，start address: i * 3000 + 144 </t>
    <phoneticPr fontId="6" type="noConversion"/>
  </si>
  <si>
    <t>V1.0.13</t>
    <phoneticPr fontId="6" type="noConversion"/>
  </si>
  <si>
    <t>新增：
1. 特殊说明
2. 标注保持寄存器中未实现的功能</t>
    <phoneticPr fontId="6" type="noConversion"/>
  </si>
  <si>
    <r>
      <t xml:space="preserve">特殊说明：
1. 适用范围
    </t>
    </r>
    <r>
      <rPr>
        <sz val="10"/>
        <color theme="1"/>
        <rFont val="等线"/>
        <family val="3"/>
        <charset val="134"/>
        <scheme val="minor"/>
      </rPr>
      <t>本表为 BMS 2.0 / BMS 2.3 三级架构平台点表。
    其中，BMS 2.3 平台代表项目为：418 户外柜组成的三级架构系统。
    外设相关点表 单独维护，不在本表中体现具体点位信息。</t>
    </r>
    <r>
      <rPr>
        <b/>
        <sz val="10"/>
        <color theme="1"/>
        <rFont val="等线"/>
        <family val="3"/>
        <charset val="134"/>
        <scheme val="minor"/>
      </rPr>
      <t xml:space="preserve">
2. Mapping 方式说明
</t>
    </r>
    <r>
      <rPr>
        <sz val="10"/>
        <color theme="1"/>
        <rFont val="等线"/>
        <family val="3"/>
        <charset val="134"/>
        <scheme val="minor"/>
      </rPr>
      <t xml:space="preserve">    自动化 Mapping：离散输入寄存器、输入寄存器
    手动 Mapping：保持寄存器</t>
    </r>
    <r>
      <rPr>
        <b/>
        <sz val="10"/>
        <color theme="1"/>
        <rFont val="等线"/>
        <family val="3"/>
        <charset val="134"/>
        <scheme val="minor"/>
      </rPr>
      <t xml:space="preserve">
3. 点位 Mapping 判定规则
    </t>
    </r>
    <r>
      <rPr>
        <sz val="10"/>
        <color theme="1"/>
        <rFont val="等线"/>
        <family val="3"/>
        <charset val="134"/>
        <scheme val="minor"/>
      </rPr>
      <t xml:space="preserve">对于 离散输入寄存器 和 输入寄存器：
    若需确认某点位是否在对应平台（BMS 2.0 / BMS 2.3）存在 Mapping 信号，请查看 “Mapping Signal BMS20” 或 “Mapping Signal BMS23” 列。
    若对应列 无 Mapping 信号，则表示该点位 无法读取到有效数据。
</t>
    </r>
    <r>
      <rPr>
        <b/>
        <sz val="10"/>
        <color theme="1"/>
        <rFont val="等线"/>
        <family val="3"/>
        <charset val="134"/>
        <scheme val="minor"/>
      </rPr>
      <t>4. 随固件发布文件说明</t>
    </r>
    <r>
      <rPr>
        <sz val="10"/>
        <color theme="1"/>
        <rFont val="等线"/>
        <family val="3"/>
        <charset val="134"/>
        <scheme val="minor"/>
      </rPr>
      <t xml:space="preserve">
    随固件释放的 摩尔信使文件 仅包含 自动化 Mapping 的寄存器，即：离散输入寄存器、输入寄存器。
</t>
    </r>
    <r>
      <rPr>
        <b/>
        <sz val="10"/>
        <color theme="1"/>
        <rFont val="等线"/>
        <family val="3"/>
        <charset val="134"/>
        <scheme val="minor"/>
      </rPr>
      <t>5. 版本变更标识规则</t>
    </r>
    <r>
      <rPr>
        <sz val="10"/>
        <color theme="1"/>
        <rFont val="等线"/>
        <family val="3"/>
        <charset val="134"/>
        <scheme val="minor"/>
      </rPr>
      <t xml:space="preserve">
    每次版本更新时，仅对相较上一版本发生变化的内容进行黄色高亮标识。</t>
    </r>
    <phoneticPr fontId="6" type="noConversion"/>
  </si>
  <si>
    <r>
      <rPr>
        <b/>
        <sz val="9.75"/>
        <color rgb="FF000000"/>
        <rFont val="等线"/>
        <family val="3"/>
        <charset val="134"/>
        <scheme val="minor"/>
      </rPr>
      <t>【此功能暂未实现】</t>
    </r>
    <r>
      <rPr>
        <sz val="9.75"/>
        <color rgb="FF000000"/>
        <rFont val="等线"/>
        <family val="2"/>
        <scheme val="minor"/>
      </rPr>
      <t xml:space="preserve">
0：不复归； 1：复归； 其它值：无效
0: Do not reset； 1: Reset； other values: Invalid</t>
    </r>
    <phoneticPr fontId="6" type="noConversion"/>
  </si>
  <si>
    <r>
      <rPr>
        <b/>
        <sz val="9.75"/>
        <color rgb="FF000000"/>
        <rFont val="等线"/>
        <family val="3"/>
        <charset val="134"/>
        <scheme val="minor"/>
      </rPr>
      <t>【此功能暂未实现】</t>
    </r>
    <r>
      <rPr>
        <sz val="9.75"/>
        <color rgb="FF000000"/>
        <rFont val="等线"/>
        <family val="2"/>
        <scheme val="minor"/>
      </rPr>
      <t xml:space="preserve">
注： 默认不使用， 供电后堆自主上电， 若需要， 请于项目对接阶段明确
0：不操作；1：上高压；2：下高压； 其它值：无效
Note: It is not used by default, and the reactor is powered on automatically after power supply. If necessary, please specify in the project docking stage
0: No operation； 1: Power on； 2: Power off； Other values: Invalid</t>
    </r>
    <phoneticPr fontId="6"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</si>
</sst>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0"/>
      <color theme="1"/>
      <name val="等线"/>
      <family val="2"/>
      <scheme val="minor"/>
    </font>
    <font>
      <sz val="9.75"/>
      <color rgb="FF000000"/>
      <name val="等线"/>
      <family val="2"/>
      <scheme val="minor"/>
    </font>
    <font>
      <sz val="9.75"/>
      <color rgb="FF000000"/>
      <name val="等线"/>
      <family val="2"/>
      <scheme val="minor"/>
    </font>
    <font>
      <b/>
      <sz val="9.75"/>
      <color rgb="FF000000"/>
      <name val="等线"/>
      <family val="2"/>
      <scheme val="minor"/>
    </font>
    <font>
      <sz val="9.75"/>
      <color rgb="FF1F2329"/>
      <name val="等线"/>
      <family val="2"/>
      <scheme val="minor"/>
    </font>
    <font>
      <sz val="9.75"/>
      <color rgb="FFF54A45"/>
      <name val="等线"/>
      <family val="2"/>
      <scheme val="minor"/>
    </font>
    <font>
      <sz val="9"/>
      <name val="等线"/>
      <family val="3"/>
      <charset val="134"/>
      <scheme val="minor"/>
    </font>
    <font>
      <sz val="12"/>
      <name val="宋体"/>
      <family val="3"/>
      <charset val="134"/>
    </font>
    <font>
      <sz val="9.75"/>
      <color theme="1"/>
      <name val="等线"/>
      <family val="2"/>
      <scheme val="minor"/>
    </font>
    <font>
      <sz val="9.75"/>
      <color theme="1"/>
      <name val="等线"/>
      <family val="3"/>
      <charset val="134"/>
      <scheme val="minor"/>
    </font>
    <font>
      <sz val="10"/>
      <name val="等线"/>
      <family val="3"/>
      <charset val="134"/>
      <scheme val="minor"/>
    </font>
    <font>
      <sz val="9.75"/>
      <color rgb="FF000000"/>
      <name val="等线"/>
      <family val="3"/>
      <charset val="134"/>
      <scheme val="minor"/>
    </font>
    <font>
      <sz val="9"/>
      <name val="宋体"/>
      <family val="3"/>
      <charset val="134"/>
    </font>
    <font>
      <sz val="9.75"/>
      <name val="等线"/>
      <family val="2"/>
      <scheme val="minor"/>
    </font>
    <font>
      <sz val="9.75"/>
      <name val="等线"/>
      <family val="3"/>
      <charset val="134"/>
      <scheme val="minor"/>
    </font>
    <font>
      <b/>
      <sz val="10"/>
      <color theme="1"/>
      <name val="等线"/>
      <family val="3"/>
      <charset val="134"/>
      <scheme val="minor"/>
    </font>
    <font>
      <sz val="10"/>
      <color theme="1"/>
      <name val="等线"/>
      <family val="3"/>
      <charset val="134"/>
      <scheme val="minor"/>
    </font>
    <font>
      <b/>
      <sz val="9.75"/>
      <color rgb="FF000000"/>
      <name val="等线"/>
      <family val="3"/>
      <charset val="134"/>
      <scheme val="minor"/>
    </font>
  </fonts>
  <fills count="25">
    <fill>
      <patternFill patternType="none"/>
    </fill>
    <fill>
      <patternFill patternType="gray125"/>
    </fill>
    <fill>
      <patternFill patternType="solid">
        <fgColor rgb="FFDEE0E3"/>
      </patternFill>
    </fill>
    <fill>
      <patternFill patternType="solid">
        <fgColor rgb="FFDEE0E3"/>
      </patternFill>
    </fill>
    <fill>
      <patternFill patternType="solid">
        <fgColor rgb="FFDEE0E3"/>
      </patternFill>
    </fill>
    <fill>
      <patternFill patternType="solid">
        <fgColor rgb="FFDEE0E3"/>
      </patternFill>
    </fill>
    <fill>
      <patternFill patternType="solid">
        <fgColor rgb="FFDEE0E3"/>
      </patternFill>
    </fill>
    <fill>
      <patternFill patternType="solid">
        <fgColor rgb="FFDEE0E3"/>
      </patternFill>
    </fill>
    <fill>
      <patternFill patternType="solid">
        <fgColor rgb="FFDEE0E3"/>
      </patternFill>
    </fill>
    <fill>
      <patternFill patternType="solid">
        <fgColor rgb="FFDEE0E3"/>
      </patternFill>
    </fill>
    <fill>
      <patternFill patternType="solid">
        <fgColor rgb="FFDEE0E3"/>
      </patternFill>
    </fill>
    <fill>
      <patternFill patternType="solid">
        <fgColor rgb="FFDEE0E3"/>
      </patternFill>
    </fill>
    <fill>
      <patternFill patternType="solid">
        <fgColor rgb="FFDEE0E3"/>
      </patternFill>
    </fill>
    <fill>
      <patternFill patternType="solid">
        <fgColor rgb="FFDEE0E3"/>
      </patternFill>
    </fill>
    <fill>
      <patternFill patternType="solid">
        <fgColor rgb="FFDEE0E3"/>
      </patternFill>
    </fill>
    <fill>
      <patternFill patternType="solid">
        <fgColor rgb="FFDEE0E3"/>
      </patternFill>
    </fill>
    <fill>
      <patternFill patternType="solid">
        <fgColor rgb="FFDEE0E3"/>
      </patternFill>
    </fill>
    <fill>
      <patternFill patternType="solid">
        <fgColor rgb="FFDEE0E3"/>
      </patternFill>
    </fill>
    <fill>
      <patternFill patternType="solid">
        <fgColor rgb="FFDEE0E3"/>
      </patternFill>
    </fill>
    <fill>
      <patternFill patternType="solid">
        <fgColor rgb="FFDEE0E3"/>
      </patternFill>
    </fill>
    <fill>
      <patternFill patternType="solid">
        <fgColor rgb="FFDEE0E3"/>
      </patternFill>
    </fill>
    <fill>
      <patternFill patternType="solid">
        <fgColor rgb="FFDEE0E3"/>
      </patternFill>
    </fill>
    <fill>
      <patternFill patternType="solid">
        <fgColor rgb="FFDEE0E3"/>
      </patternFill>
    </fill>
    <fill>
      <patternFill patternType="solid">
        <fgColor rgb="FFFFFF00"/>
        <bgColor indexed="64"/>
      </patternFill>
    </fill>
    <fill>
      <patternFill patternType="solid">
        <fgColor theme="0"/>
        <bgColor indexed="64"/>
      </patternFill>
    </fill>
  </fills>
  <borders count="98">
    <border>
      <left/>
      <right/>
      <top/>
      <bottom/>
      <diagonal/>
    </border>
    <border>
      <left/>
      <right/>
      <top/>
      <bottom/>
      <diagonal/>
    </border>
    <border>
      <left/>
      <right/>
      <top/>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right/>
      <top/>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diagonal/>
    </border>
    <border>
      <left style="thin">
        <color rgb="FF1F2329"/>
      </left>
      <right style="thin">
        <color rgb="FF1F2329"/>
      </right>
      <top style="thin">
        <color rgb="FF1F2329"/>
      </top>
      <bottom style="thin">
        <color rgb="FF1F2329"/>
      </bottom>
      <diagonal/>
    </border>
    <border>
      <left style="thin">
        <color rgb="FF000000"/>
      </left>
      <right style="thin">
        <color rgb="FF000000"/>
      </right>
      <top/>
      <bottom style="thin">
        <color rgb="FF000000"/>
      </bottom>
      <diagonal/>
    </border>
    <border>
      <left/>
      <right/>
      <top/>
      <bottom/>
      <diagonal/>
    </border>
    <border>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1F2329"/>
      </left>
      <right style="thin">
        <color rgb="FF1F2329"/>
      </right>
      <top style="thin">
        <color rgb="FF1F2329"/>
      </top>
      <bottom style="thin">
        <color rgb="FF1F2329"/>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right style="thin">
        <color rgb="FF000000"/>
      </right>
      <top/>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bottom style="thin">
        <color rgb="FF1F2329"/>
      </bottom>
      <diagonal/>
    </border>
    <border>
      <left style="thin">
        <color rgb="FF000000"/>
      </left>
      <right style="thin">
        <color rgb="FF000000"/>
      </right>
      <top/>
      <bottom style="thin">
        <color rgb="FF000000"/>
      </bottom>
      <diagonal/>
    </border>
    <border>
      <left/>
      <right style="thin">
        <color rgb="FF1F2329"/>
      </right>
      <top/>
      <bottom style="thin">
        <color rgb="FF1F2329"/>
      </bottom>
      <diagonal/>
    </border>
    <border>
      <left style="thin">
        <color rgb="FF000000"/>
      </left>
      <right style="thin">
        <color rgb="FF000000"/>
      </right>
      <top/>
      <bottom style="thin">
        <color rgb="FF000000"/>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bottom style="thin">
        <color rgb="FF1F2329"/>
      </bottom>
      <diagonal/>
    </border>
    <border>
      <left/>
      <right style="thin">
        <color rgb="FF1F2329"/>
      </right>
      <top/>
      <bottom style="thin">
        <color rgb="FF1F2329"/>
      </bottom>
      <diagonal/>
    </border>
    <border>
      <left style="thin">
        <color rgb="FF1F2329"/>
      </left>
      <right style="thin">
        <color rgb="FF1F2329"/>
      </right>
      <top style="thin">
        <color rgb="FF1F2329"/>
      </top>
      <bottom style="thin">
        <color rgb="FF1F2329"/>
      </bottom>
      <diagonal/>
    </border>
    <border>
      <left style="thin">
        <color rgb="FF000000"/>
      </left>
      <right style="thin">
        <color rgb="FF000000"/>
      </right>
      <top/>
      <bottom style="thin">
        <color rgb="FF000000"/>
      </bottom>
      <diagonal/>
    </border>
    <border>
      <left/>
      <right style="thin">
        <color rgb="FF1F2329"/>
      </right>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diagonal/>
    </border>
    <border>
      <left style="thin">
        <color rgb="FF1F2329"/>
      </left>
      <right style="thin">
        <color rgb="FF1F2329"/>
      </right>
      <top style="thin">
        <color rgb="FF1F2329"/>
      </top>
      <bottom/>
      <diagonal/>
    </border>
    <border>
      <left style="thin">
        <color rgb="FF1F2329"/>
      </left>
      <right style="thin">
        <color rgb="FF1F2329"/>
      </right>
      <top style="thin">
        <color rgb="FF1F2329"/>
      </top>
      <bottom/>
      <diagonal/>
    </border>
    <border>
      <left style="thin">
        <color rgb="FF1F2329"/>
      </left>
      <right style="thin">
        <color rgb="FF1F2329"/>
      </right>
      <top style="thin">
        <color rgb="FF1F2329"/>
      </top>
      <bottom style="thin">
        <color rgb="FF1F2329"/>
      </bottom>
      <diagonal/>
    </border>
    <border>
      <left style="thin">
        <color rgb="FF000000"/>
      </left>
      <right style="thin">
        <color rgb="FF000000"/>
      </right>
      <top style="thin">
        <color rgb="FF000000"/>
      </top>
      <bottom style="thin">
        <color rgb="FF000000"/>
      </bottom>
      <diagonal/>
    </border>
    <border>
      <left style="thin">
        <color rgb="FF1F2329"/>
      </left>
      <right style="thin">
        <color rgb="FF1F2329"/>
      </right>
      <top style="thin">
        <color rgb="FF1F2329"/>
      </top>
      <bottom style="thin">
        <color rgb="FF1F2329"/>
      </bottom>
      <diagonal/>
    </border>
    <border>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bottom style="thin">
        <color rgb="FF1F2329"/>
      </bottom>
      <diagonal/>
    </border>
    <border>
      <left style="thin">
        <color rgb="FF000000"/>
      </left>
      <right style="thin">
        <color rgb="FF000000"/>
      </right>
      <top/>
      <bottom style="thin">
        <color rgb="FF000000"/>
      </bottom>
      <diagonal/>
    </border>
    <border>
      <left/>
      <right style="thin">
        <color rgb="FF1F2329"/>
      </right>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right style="thin">
        <color rgb="FF000000"/>
      </right>
      <top/>
      <bottom style="thin">
        <color rgb="FF000000"/>
      </bottom>
      <diagonal/>
    </border>
    <border>
      <left/>
      <right style="thin">
        <color rgb="FF000000"/>
      </right>
      <top/>
      <bottom style="thin">
        <color rgb="FF000000"/>
      </bottom>
      <diagonal/>
    </border>
    <border>
      <left/>
      <right style="thin">
        <color rgb="FF000000"/>
      </right>
      <top/>
      <bottom style="thin">
        <color rgb="FF000000"/>
      </bottom>
      <diagonal/>
    </border>
    <border>
      <left style="thin">
        <color rgb="FF1F2329"/>
      </left>
      <right style="thin">
        <color rgb="FF1F2329"/>
      </right>
      <top style="thin">
        <color rgb="FF1F2329"/>
      </top>
      <bottom style="thin">
        <color rgb="FF1F2329"/>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1F2329"/>
      </left>
      <right style="thin">
        <color rgb="FF1F2329"/>
      </right>
      <top/>
      <bottom style="thin">
        <color rgb="FF1F2329"/>
      </bottom>
      <diagonal/>
    </border>
    <border>
      <left/>
      <right style="thin">
        <color rgb="FF1F2329"/>
      </right>
      <top/>
      <bottom style="thin">
        <color rgb="FF1F2329"/>
      </bottom>
      <diagonal/>
    </border>
    <border>
      <left style="thin">
        <color rgb="FF1F2329"/>
      </left>
      <right/>
      <top style="thin">
        <color rgb="FF1F2329"/>
      </top>
      <bottom style="thin">
        <color rgb="FF1F2329"/>
      </bottom>
      <diagonal/>
    </border>
    <border>
      <left/>
      <right style="thin">
        <color rgb="FF1F2329"/>
      </right>
      <top style="thin">
        <color rgb="FF1F2329"/>
      </top>
      <bottom style="thin">
        <color rgb="FF1F2329"/>
      </bottom>
      <diagonal/>
    </border>
    <border>
      <left style="thin">
        <color rgb="FF1F2329"/>
      </left>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right style="thin">
        <color rgb="FF1F2329"/>
      </right>
      <top/>
      <bottom style="thin">
        <color rgb="FF1F2329"/>
      </bottom>
      <diagonal/>
    </border>
    <border>
      <left/>
      <right style="thin">
        <color rgb="FF1F2329"/>
      </right>
      <top style="thin">
        <color rgb="FF1F2329"/>
      </top>
      <bottom style="thin">
        <color rgb="FF1F2329"/>
      </bottom>
      <diagonal/>
    </border>
    <border>
      <left style="thin">
        <color rgb="FF1F2329"/>
      </left>
      <right/>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bottom/>
      <diagonal/>
    </border>
    <border>
      <left/>
      <right style="thin">
        <color rgb="FF1F2329"/>
      </right>
      <top/>
      <bottom/>
      <diagonal/>
    </border>
    <border>
      <left style="thin">
        <color rgb="FF1F2329"/>
      </left>
      <right style="thin">
        <color rgb="FF1F2329"/>
      </right>
      <top style="thin">
        <color rgb="FF1F2329"/>
      </top>
      <bottom/>
      <diagonal/>
    </border>
    <border>
      <left/>
      <right style="thin">
        <color rgb="FF1F2329"/>
      </right>
      <top/>
      <bottom/>
      <diagonal/>
    </border>
    <border>
      <left style="thin">
        <color rgb="FF1F2329"/>
      </left>
      <right/>
      <top style="thin">
        <color rgb="FF1F2329"/>
      </top>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bottom style="thin">
        <color rgb="FF1F2329"/>
      </bottom>
      <diagonal/>
    </border>
    <border>
      <left style="thin">
        <color rgb="FF1F2329"/>
      </left>
      <right style="thin">
        <color rgb="FF1F2329"/>
      </right>
      <top/>
      <bottom style="thin">
        <color rgb="FF1F2329"/>
      </bottom>
      <diagonal/>
    </border>
    <border>
      <left/>
      <right style="thin">
        <color rgb="FF1F2329"/>
      </right>
      <top style="thin">
        <color rgb="FF1F2329"/>
      </top>
      <bottom style="thin">
        <color rgb="FF1F2329"/>
      </bottom>
      <diagonal/>
    </border>
    <border>
      <left style="thin">
        <color rgb="FF1F2329"/>
      </left>
      <right/>
      <top/>
      <bottom/>
      <diagonal/>
    </border>
    <border>
      <left style="thin">
        <color rgb="FF1F2329"/>
      </left>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bottom style="thin">
        <color rgb="FF1F2329"/>
      </bottom>
      <diagonal/>
    </border>
    <border>
      <left/>
      <right style="thin">
        <color rgb="FF1F2329"/>
      </right>
      <top style="thin">
        <color rgb="FF1F2329"/>
      </top>
      <bottom style="thin">
        <color rgb="FF1F2329"/>
      </bottom>
      <diagonal/>
    </border>
    <border>
      <left style="thin">
        <color rgb="FF1F2329"/>
      </left>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rgb="FF000000"/>
      </left>
      <right/>
      <top style="thin">
        <color rgb="FF000000"/>
      </top>
      <bottom style="thin">
        <color rgb="FF000000"/>
      </bottom>
      <diagonal/>
    </border>
    <border>
      <left style="thin">
        <color rgb="FF000000"/>
      </left>
      <right/>
      <top/>
      <bottom style="thin">
        <color rgb="FF000000"/>
      </bottom>
      <diagonal/>
    </border>
    <border>
      <left/>
      <right style="thin">
        <color rgb="FF1F2329"/>
      </right>
      <top style="thin">
        <color rgb="FF1F2329"/>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applyNumberFormat="0" applyFont="0" applyFill="0" applyBorder="0" applyProtection="0"/>
    <xf numFmtId="0" fontId="7" fillId="0" borderId="13"/>
  </cellStyleXfs>
  <cellXfs count="195">
    <xf numFmtId="0" fontId="0" fillId="0" borderId="0" xfId="0" applyAlignment="1">
      <alignment vertical="center"/>
    </xf>
    <xf numFmtId="0" fontId="1" fillId="0" borderId="1" xfId="0" applyFont="1" applyBorder="1" applyAlignment="1">
      <alignment horizontal="center" vertical="center"/>
    </xf>
    <xf numFmtId="0" fontId="1" fillId="0" borderId="2" xfId="0" applyFont="1" applyBorder="1" applyAlignment="1">
      <alignment horizontal="left" vertical="center"/>
    </xf>
    <xf numFmtId="0" fontId="1" fillId="0" borderId="3" xfId="0" applyFont="1" applyBorder="1" applyAlignment="1">
      <alignment horizontal="center" vertical="center"/>
    </xf>
    <xf numFmtId="0" fontId="1" fillId="0" borderId="4" xfId="0" applyFont="1" applyBorder="1" applyAlignment="1">
      <alignment horizontal="left" vertical="center"/>
    </xf>
    <xf numFmtId="0" fontId="2" fillId="0" borderId="5" xfId="0" applyFont="1" applyBorder="1" applyAlignment="1">
      <alignment horizontal="left" vertical="center"/>
    </xf>
    <xf numFmtId="14" fontId="1" fillId="0" borderId="6" xfId="0" applyNumberFormat="1" applyFont="1" applyBorder="1" applyAlignment="1">
      <alignment horizontal="center" vertical="center"/>
    </xf>
    <xf numFmtId="0" fontId="1" fillId="0" borderId="7" xfId="0" applyFont="1" applyBorder="1" applyAlignment="1">
      <alignment horizontal="left" vertical="center" wrapText="1"/>
    </xf>
    <xf numFmtId="14" fontId="1" fillId="0" borderId="8" xfId="0" applyNumberFormat="1" applyFont="1" applyBorder="1" applyAlignment="1">
      <alignment horizontal="center" vertical="center"/>
    </xf>
    <xf numFmtId="0" fontId="3" fillId="0" borderId="9" xfId="0" applyFont="1" applyBorder="1" applyAlignment="1">
      <alignment horizontal="center" vertical="center"/>
    </xf>
    <xf numFmtId="0" fontId="3" fillId="0" borderId="10" xfId="0" applyFont="1" applyBorder="1" applyAlignment="1">
      <alignment horizontal="center" vertical="center"/>
    </xf>
    <xf numFmtId="0" fontId="3" fillId="0" borderId="11" xfId="0" applyFont="1" applyBorder="1" applyAlignment="1">
      <alignment horizontal="left" vertical="center"/>
    </xf>
    <xf numFmtId="0" fontId="1" fillId="0" borderId="12" xfId="0" applyFont="1" applyBorder="1" applyAlignment="1">
      <alignment horizontal="left" vertical="center"/>
    </xf>
    <xf numFmtId="0" fontId="1" fillId="0" borderId="13" xfId="0" applyFont="1" applyBorder="1" applyAlignment="1">
      <alignment vertical="center"/>
    </xf>
    <xf numFmtId="0" fontId="1" fillId="0" borderId="14" xfId="0" applyFont="1" applyBorder="1" applyAlignment="1">
      <alignment horizontal="center" vertical="center"/>
    </xf>
    <xf numFmtId="0" fontId="3" fillId="0" borderId="15" xfId="0" applyFont="1" applyBorder="1" applyAlignment="1">
      <alignment horizontal="center" vertical="center"/>
    </xf>
    <xf numFmtId="0" fontId="3" fillId="0" borderId="16" xfId="0" applyFont="1" applyBorder="1" applyAlignment="1">
      <alignment horizontal="left" vertical="center"/>
    </xf>
    <xf numFmtId="49" fontId="1" fillId="0" borderId="17" xfId="0" applyNumberFormat="1" applyFont="1" applyBorder="1" applyAlignment="1">
      <alignment horizontal="left" vertical="center"/>
    </xf>
    <xf numFmtId="0" fontId="1" fillId="0" borderId="18" xfId="0" applyFont="1" applyBorder="1" applyAlignment="1">
      <alignment vertical="center"/>
    </xf>
    <xf numFmtId="49" fontId="1" fillId="0" borderId="19" xfId="0" applyNumberFormat="1" applyFont="1" applyBorder="1" applyAlignment="1">
      <alignment horizontal="center" vertical="center"/>
    </xf>
    <xf numFmtId="49" fontId="1" fillId="0" borderId="20" xfId="0" applyNumberFormat="1" applyFont="1" applyBorder="1" applyAlignment="1">
      <alignment horizontal="left" vertical="center"/>
    </xf>
    <xf numFmtId="0" fontId="1" fillId="0" borderId="21" xfId="0" applyFont="1" applyBorder="1" applyAlignment="1">
      <alignment horizontal="center" vertical="center"/>
    </xf>
    <xf numFmtId="0" fontId="1" fillId="0" borderId="22" xfId="0" applyFont="1" applyBorder="1" applyAlignment="1">
      <alignment horizontal="center" vertical="center" wrapText="1"/>
    </xf>
    <xf numFmtId="0" fontId="1" fillId="0" borderId="23" xfId="0" applyFont="1" applyBorder="1" applyAlignment="1">
      <alignment horizontal="center" vertical="center" wrapText="1"/>
    </xf>
    <xf numFmtId="0" fontId="1" fillId="0" borderId="24" xfId="0" applyFont="1" applyBorder="1" applyAlignment="1">
      <alignment horizontal="center" vertical="center"/>
    </xf>
    <xf numFmtId="0" fontId="1" fillId="0" borderId="25" xfId="0" applyFont="1" applyBorder="1" applyAlignment="1">
      <alignment horizontal="center" vertical="center" wrapText="1"/>
    </xf>
    <xf numFmtId="0" fontId="1" fillId="0" borderId="26" xfId="0" applyFont="1" applyBorder="1" applyAlignment="1">
      <alignment horizontal="left" vertical="center" wrapText="1"/>
    </xf>
    <xf numFmtId="0" fontId="1" fillId="0" borderId="27" xfId="0" applyFont="1" applyBorder="1" applyAlignment="1">
      <alignment vertical="center" wrapText="1"/>
    </xf>
    <xf numFmtId="0" fontId="1" fillId="0" borderId="29" xfId="0" applyFont="1" applyBorder="1" applyAlignment="1">
      <alignment wrapText="1"/>
    </xf>
    <xf numFmtId="0" fontId="1" fillId="0" borderId="30" xfId="0" applyFont="1" applyBorder="1" applyAlignment="1">
      <alignment horizontal="left" vertical="center"/>
    </xf>
    <xf numFmtId="0" fontId="1" fillId="3" borderId="32" xfId="0" applyFont="1" applyFill="1" applyBorder="1" applyAlignment="1">
      <alignment horizontal="center" vertical="center" wrapText="1"/>
    </xf>
    <xf numFmtId="0" fontId="1" fillId="4" borderId="33" xfId="0" applyFont="1" applyFill="1" applyBorder="1" applyAlignment="1">
      <alignment horizontal="center" vertical="center" wrapText="1"/>
    </xf>
    <xf numFmtId="0" fontId="1" fillId="5" borderId="34" xfId="0" applyFont="1" applyFill="1" applyBorder="1" applyAlignment="1">
      <alignment horizontal="center" vertical="center" wrapText="1"/>
    </xf>
    <xf numFmtId="0" fontId="1" fillId="7" borderId="35" xfId="0" applyFont="1" applyFill="1" applyBorder="1" applyAlignment="1">
      <alignment horizontal="left" vertical="center"/>
    </xf>
    <xf numFmtId="0" fontId="1" fillId="8" borderId="36" xfId="0" applyFont="1" applyFill="1" applyBorder="1" applyAlignment="1">
      <alignment horizontal="center" vertical="center"/>
    </xf>
    <xf numFmtId="49" fontId="1" fillId="0" borderId="37" xfId="0" applyNumberFormat="1" applyFont="1" applyBorder="1" applyAlignment="1">
      <alignment horizontal="center" vertical="center" wrapText="1"/>
    </xf>
    <xf numFmtId="49" fontId="1" fillId="0" borderId="39" xfId="0" applyNumberFormat="1" applyFont="1" applyBorder="1" applyAlignment="1">
      <alignment horizontal="center" vertical="center" wrapText="1"/>
    </xf>
    <xf numFmtId="0" fontId="1" fillId="0" borderId="41" xfId="0" applyFont="1" applyBorder="1" applyAlignment="1">
      <alignment horizontal="center" vertical="center" wrapText="1"/>
    </xf>
    <xf numFmtId="0" fontId="1" fillId="0" borderId="42" xfId="0" applyFont="1" applyBorder="1" applyAlignment="1">
      <alignment horizontal="left" vertical="center"/>
    </xf>
    <xf numFmtId="0" fontId="3" fillId="0" borderId="44" xfId="0" applyFont="1" applyBorder="1" applyAlignment="1">
      <alignment horizontal="center" vertical="center" wrapText="1"/>
    </xf>
    <xf numFmtId="0" fontId="3" fillId="0" borderId="45" xfId="0" applyFont="1" applyBorder="1" applyAlignment="1">
      <alignment horizontal="center" vertical="center"/>
    </xf>
    <xf numFmtId="0" fontId="3" fillId="0" borderId="46" xfId="0" applyFont="1" applyBorder="1" applyAlignment="1">
      <alignment horizontal="left" vertical="center" wrapText="1"/>
    </xf>
    <xf numFmtId="0" fontId="3" fillId="0" borderId="47" xfId="0" applyFont="1" applyBorder="1" applyAlignment="1">
      <alignment horizontal="center" vertical="center" wrapText="1"/>
    </xf>
    <xf numFmtId="9" fontId="1" fillId="0" borderId="49" xfId="0" applyNumberFormat="1" applyFont="1" applyBorder="1" applyAlignment="1">
      <alignment horizontal="center" vertical="center" wrapText="1"/>
    </xf>
    <xf numFmtId="9" fontId="1" fillId="0" borderId="50" xfId="0" applyNumberFormat="1" applyFont="1" applyBorder="1" applyAlignment="1">
      <alignment horizontal="center" vertical="center"/>
    </xf>
    <xf numFmtId="9" fontId="1" fillId="0" borderId="51" xfId="0" applyNumberFormat="1" applyFont="1" applyBorder="1" applyAlignment="1">
      <alignment horizontal="center" vertical="center" wrapText="1"/>
    </xf>
    <xf numFmtId="0" fontId="1" fillId="0" borderId="52" xfId="0" applyFont="1" applyBorder="1" applyAlignment="1">
      <alignment horizontal="left" wrapText="1"/>
    </xf>
    <xf numFmtId="0" fontId="1" fillId="10" borderId="53" xfId="0" applyFont="1" applyFill="1" applyBorder="1" applyAlignment="1">
      <alignment horizontal="left" vertical="center" wrapText="1"/>
    </xf>
    <xf numFmtId="0" fontId="1" fillId="11" borderId="54" xfId="0" applyFont="1" applyFill="1" applyBorder="1" applyAlignment="1">
      <alignment horizontal="center" vertical="center" wrapText="1"/>
    </xf>
    <xf numFmtId="0" fontId="1" fillId="12" borderId="55" xfId="0" applyFont="1" applyFill="1" applyBorder="1" applyAlignment="1">
      <alignment horizontal="left" vertical="center" wrapText="1"/>
    </xf>
    <xf numFmtId="0" fontId="1" fillId="0" borderId="56" xfId="0" applyFont="1" applyBorder="1" applyAlignment="1">
      <alignment horizontal="center" vertical="center" wrapText="1"/>
    </xf>
    <xf numFmtId="49" fontId="1" fillId="0" borderId="57" xfId="0" applyNumberFormat="1" applyFont="1" applyBorder="1" applyAlignment="1">
      <alignment horizontal="left" vertical="center" wrapText="1"/>
    </xf>
    <xf numFmtId="0" fontId="1" fillId="0" borderId="58" xfId="0" applyFont="1" applyBorder="1" applyAlignment="1">
      <alignment horizontal="left" vertical="center" wrapText="1"/>
    </xf>
    <xf numFmtId="0" fontId="1" fillId="0" borderId="60" xfId="0" applyFont="1" applyBorder="1" applyAlignment="1">
      <alignment horizontal="center" vertical="center"/>
    </xf>
    <xf numFmtId="0" fontId="1" fillId="0" borderId="61" xfId="0" applyFont="1" applyBorder="1" applyAlignment="1">
      <alignment horizontal="center" vertical="center"/>
    </xf>
    <xf numFmtId="0" fontId="1" fillId="0" borderId="62" xfId="0" applyFont="1" applyBorder="1" applyAlignment="1">
      <alignment horizontal="left" vertical="center" wrapText="1"/>
    </xf>
    <xf numFmtId="0" fontId="1" fillId="13" borderId="63" xfId="0" applyFont="1" applyFill="1" applyBorder="1" applyAlignment="1">
      <alignment horizontal="center" vertical="center" wrapText="1"/>
    </xf>
    <xf numFmtId="0" fontId="1" fillId="14" borderId="64" xfId="0" applyFont="1" applyFill="1" applyBorder="1" applyAlignment="1">
      <alignment horizontal="left" vertical="center" wrapText="1"/>
    </xf>
    <xf numFmtId="0" fontId="2" fillId="15" borderId="65" xfId="0" applyFont="1" applyFill="1" applyBorder="1" applyAlignment="1">
      <alignment horizontal="center" vertical="center"/>
    </xf>
    <xf numFmtId="0" fontId="1" fillId="17" borderId="66" xfId="0" applyFont="1" applyFill="1" applyBorder="1" applyAlignment="1">
      <alignment vertical="center" wrapText="1"/>
    </xf>
    <xf numFmtId="49" fontId="1" fillId="0" borderId="67" xfId="0" applyNumberFormat="1" applyFont="1" applyBorder="1" applyAlignment="1">
      <alignment horizontal="center" vertical="center"/>
    </xf>
    <xf numFmtId="0" fontId="1" fillId="0" borderId="68" xfId="0" applyFont="1" applyBorder="1" applyAlignment="1">
      <alignment horizontal="center" vertical="center" wrapText="1"/>
    </xf>
    <xf numFmtId="49" fontId="1" fillId="0" borderId="69" xfId="0" applyNumberFormat="1" applyFont="1" applyBorder="1" applyAlignment="1">
      <alignment horizontal="center" vertical="center"/>
    </xf>
    <xf numFmtId="0" fontId="4" fillId="0" borderId="71" xfId="0" applyFont="1" applyBorder="1" applyAlignment="1">
      <alignment horizontal="center" vertical="center" wrapText="1"/>
    </xf>
    <xf numFmtId="49" fontId="1" fillId="0" borderId="72" xfId="0" applyNumberFormat="1" applyFont="1" applyBorder="1" applyAlignment="1">
      <alignment horizontal="center" vertical="center"/>
    </xf>
    <xf numFmtId="49" fontId="1" fillId="0" borderId="73" xfId="0" applyNumberFormat="1" applyFont="1" applyBorder="1" applyAlignment="1">
      <alignment horizontal="center" vertical="center"/>
    </xf>
    <xf numFmtId="0" fontId="1" fillId="0" borderId="74" xfId="0" applyFont="1" applyBorder="1" applyAlignment="1">
      <alignment horizontal="left" vertical="center" wrapText="1"/>
    </xf>
    <xf numFmtId="0" fontId="1" fillId="0" borderId="75" xfId="0" applyFont="1" applyBorder="1" applyAlignment="1">
      <alignment horizontal="center" vertical="center"/>
    </xf>
    <xf numFmtId="49" fontId="1" fillId="0" borderId="77" xfId="0" applyNumberFormat="1" applyFont="1" applyBorder="1" applyAlignment="1">
      <alignment horizontal="center" vertical="center" wrapText="1"/>
    </xf>
    <xf numFmtId="49" fontId="1" fillId="0" borderId="78" xfId="0" applyNumberFormat="1" applyFont="1" applyBorder="1" applyAlignment="1">
      <alignment horizontal="center" vertical="center"/>
    </xf>
    <xf numFmtId="49" fontId="1" fillId="0" borderId="79" xfId="0" applyNumberFormat="1" applyFont="1" applyBorder="1" applyAlignment="1">
      <alignment horizontal="center" vertical="center"/>
    </xf>
    <xf numFmtId="0" fontId="1" fillId="0" borderId="80" xfId="0" applyFont="1" applyBorder="1" applyAlignment="1">
      <alignment horizontal="left" vertical="center" wrapText="1"/>
    </xf>
    <xf numFmtId="0" fontId="1" fillId="0" borderId="81" xfId="0" applyFont="1" applyBorder="1" applyAlignment="1">
      <alignment horizontal="center" vertical="center"/>
    </xf>
    <xf numFmtId="0" fontId="1" fillId="19" borderId="83" xfId="0" applyFont="1" applyFill="1" applyBorder="1" applyAlignment="1">
      <alignment horizontal="center" vertical="center" wrapText="1"/>
    </xf>
    <xf numFmtId="0" fontId="4" fillId="0" borderId="84" xfId="0" applyFont="1" applyBorder="1" applyAlignment="1">
      <alignment horizontal="left" vertical="center" wrapText="1"/>
    </xf>
    <xf numFmtId="0" fontId="2" fillId="0" borderId="85" xfId="0" applyFont="1" applyBorder="1" applyAlignment="1">
      <alignment horizontal="center" vertical="center" wrapText="1"/>
    </xf>
    <xf numFmtId="0" fontId="2" fillId="21" borderId="86" xfId="0" applyFont="1" applyFill="1" applyBorder="1" applyAlignment="1">
      <alignment vertical="center"/>
    </xf>
    <xf numFmtId="0" fontId="3" fillId="0" borderId="87" xfId="0" applyFont="1" applyBorder="1" applyAlignment="1">
      <alignment horizontal="center" vertical="center"/>
    </xf>
    <xf numFmtId="0" fontId="3" fillId="0" borderId="88" xfId="0" applyFont="1" applyBorder="1" applyAlignment="1">
      <alignment horizontal="center" vertical="center"/>
    </xf>
    <xf numFmtId="0" fontId="2" fillId="0" borderId="89" xfId="0" applyFont="1" applyBorder="1" applyAlignment="1">
      <alignment horizontal="left" vertical="center" wrapText="1"/>
    </xf>
    <xf numFmtId="0" fontId="3" fillId="0" borderId="11" xfId="0" applyFont="1" applyBorder="1" applyAlignment="1">
      <alignment horizontal="left" vertical="center" wrapText="1"/>
    </xf>
    <xf numFmtId="0" fontId="1" fillId="0" borderId="4" xfId="0" applyFont="1" applyBorder="1" applyAlignment="1">
      <alignment horizontal="left" vertical="center" wrapText="1"/>
    </xf>
    <xf numFmtId="49" fontId="1" fillId="0" borderId="40" xfId="0" applyNumberFormat="1" applyFont="1" applyBorder="1" applyAlignment="1">
      <alignment horizontal="left" vertical="center" wrapText="1"/>
    </xf>
    <xf numFmtId="49" fontId="4" fillId="0" borderId="38" xfId="0" applyNumberFormat="1" applyFont="1" applyBorder="1" applyAlignment="1">
      <alignment horizontal="left" vertical="center" wrapText="1"/>
    </xf>
    <xf numFmtId="0" fontId="1" fillId="7" borderId="35" xfId="0" applyFont="1" applyFill="1" applyBorder="1" applyAlignment="1">
      <alignment horizontal="left" vertical="center" wrapText="1"/>
    </xf>
    <xf numFmtId="0" fontId="1" fillId="0" borderId="42" xfId="0" applyFont="1" applyBorder="1" applyAlignment="1">
      <alignment horizontal="left" vertical="center" wrapText="1"/>
    </xf>
    <xf numFmtId="0" fontId="1" fillId="0" borderId="28" xfId="0" applyFont="1" applyBorder="1" applyAlignment="1">
      <alignment horizontal="left" wrapText="1"/>
    </xf>
    <xf numFmtId="0" fontId="1" fillId="2" borderId="31" xfId="0" applyFont="1" applyFill="1" applyBorder="1" applyAlignment="1">
      <alignment horizontal="left" wrapText="1"/>
    </xf>
    <xf numFmtId="0" fontId="1" fillId="0" borderId="43" xfId="0" applyFont="1" applyBorder="1" applyAlignment="1">
      <alignment horizontal="left" wrapText="1"/>
    </xf>
    <xf numFmtId="0" fontId="0" fillId="0" borderId="0" xfId="0" applyAlignment="1">
      <alignment vertical="center" wrapText="1"/>
    </xf>
    <xf numFmtId="0" fontId="3" fillId="0" borderId="89" xfId="0" applyFont="1" applyBorder="1" applyAlignment="1">
      <alignment horizontal="center" vertical="center" wrapText="1"/>
    </xf>
    <xf numFmtId="0" fontId="1" fillId="0" borderId="89" xfId="0" applyFont="1" applyBorder="1" applyAlignment="1">
      <alignment horizontal="center" vertical="center" wrapText="1"/>
    </xf>
    <xf numFmtId="0" fontId="1" fillId="3" borderId="89" xfId="0" applyFont="1" applyFill="1" applyBorder="1" applyAlignment="1">
      <alignment horizontal="center" vertical="center" wrapText="1"/>
    </xf>
    <xf numFmtId="0" fontId="1" fillId="0" borderId="74" xfId="0" applyFont="1" applyBorder="1" applyAlignment="1">
      <alignment horizontal="center" vertical="center" wrapText="1"/>
    </xf>
    <xf numFmtId="0" fontId="1" fillId="0" borderId="48" xfId="0" applyFont="1" applyFill="1" applyBorder="1" applyAlignment="1">
      <alignment wrapText="1"/>
    </xf>
    <xf numFmtId="0" fontId="1" fillId="0" borderId="74" xfId="0" applyFont="1" applyFill="1" applyBorder="1" applyAlignment="1">
      <alignment vertical="center" wrapText="1"/>
    </xf>
    <xf numFmtId="0" fontId="1" fillId="0" borderId="90" xfId="0" applyFont="1" applyFill="1" applyBorder="1" applyAlignment="1">
      <alignment horizontal="center" vertical="center" wrapText="1"/>
    </xf>
    <xf numFmtId="0" fontId="1" fillId="0" borderId="90" xfId="0" applyFont="1" applyFill="1" applyBorder="1" applyAlignment="1">
      <alignment horizontal="left" vertical="center" wrapText="1"/>
    </xf>
    <xf numFmtId="0" fontId="1" fillId="0" borderId="90" xfId="0" applyFont="1" applyFill="1" applyBorder="1" applyAlignment="1">
      <alignment horizontal="center" vertical="center"/>
    </xf>
    <xf numFmtId="49" fontId="1" fillId="0" borderId="90" xfId="0" applyNumberFormat="1" applyFont="1" applyFill="1" applyBorder="1" applyAlignment="1">
      <alignment horizontal="left" vertical="center" wrapText="1"/>
    </xf>
    <xf numFmtId="0" fontId="0" fillId="0" borderId="0" xfId="0" applyFill="1" applyAlignment="1">
      <alignment vertical="center"/>
    </xf>
    <xf numFmtId="0" fontId="1" fillId="0" borderId="90" xfId="0" applyFont="1" applyFill="1" applyBorder="1" applyAlignment="1">
      <alignment vertical="center" wrapText="1"/>
    </xf>
    <xf numFmtId="0" fontId="8" fillId="0" borderId="90" xfId="0" applyFont="1" applyFill="1" applyBorder="1" applyAlignment="1">
      <alignment horizontal="left" vertical="center" wrapText="1"/>
    </xf>
    <xf numFmtId="0" fontId="0" fillId="0" borderId="90" xfId="0" applyFill="1" applyBorder="1" applyAlignment="1">
      <alignment horizontal="center" vertical="center"/>
    </xf>
    <xf numFmtId="0" fontId="9" fillId="0" borderId="90" xfId="0" applyFont="1" applyFill="1" applyBorder="1" applyAlignment="1">
      <alignment horizontal="left" vertical="center" wrapText="1"/>
    </xf>
    <xf numFmtId="0" fontId="1" fillId="0" borderId="89" xfId="0" applyFont="1" applyFill="1" applyBorder="1" applyAlignment="1">
      <alignment vertical="center" wrapText="1"/>
    </xf>
    <xf numFmtId="0" fontId="10" fillId="0" borderId="90" xfId="1" applyFont="1" applyFill="1" applyBorder="1" applyAlignment="1">
      <alignment horizontal="center" vertical="center"/>
    </xf>
    <xf numFmtId="0" fontId="1" fillId="0" borderId="90" xfId="1" applyFont="1" applyFill="1" applyBorder="1" applyAlignment="1">
      <alignment horizontal="center" vertical="center" wrapText="1"/>
    </xf>
    <xf numFmtId="0" fontId="4" fillId="0" borderId="89" xfId="1" applyFont="1" applyFill="1" applyBorder="1" applyAlignment="1">
      <alignment horizontal="left" vertical="center" wrapText="1"/>
    </xf>
    <xf numFmtId="0" fontId="1" fillId="0" borderId="90" xfId="1" applyFont="1" applyFill="1" applyBorder="1" applyAlignment="1">
      <alignment horizontal="left" vertical="center" wrapText="1"/>
    </xf>
    <xf numFmtId="0" fontId="0" fillId="0" borderId="90" xfId="0" applyFill="1" applyBorder="1" applyAlignment="1">
      <alignment vertical="center" wrapText="1"/>
    </xf>
    <xf numFmtId="0" fontId="0" fillId="0" borderId="90" xfId="0" applyFill="1" applyBorder="1" applyAlignment="1">
      <alignment horizontal="left" vertical="center" wrapText="1"/>
    </xf>
    <xf numFmtId="0" fontId="11" fillId="0" borderId="90" xfId="1" applyFont="1" applyFill="1" applyBorder="1" applyAlignment="1">
      <alignment horizontal="left" vertical="center" wrapText="1"/>
    </xf>
    <xf numFmtId="0" fontId="1" fillId="0" borderId="91" xfId="1" applyFont="1" applyFill="1" applyBorder="1" applyAlignment="1">
      <alignment horizontal="left" vertical="center" wrapText="1"/>
    </xf>
    <xf numFmtId="0" fontId="1" fillId="17" borderId="66" xfId="0" applyFont="1" applyFill="1" applyBorder="1" applyAlignment="1">
      <alignment horizontal="center" vertical="center" wrapText="1"/>
    </xf>
    <xf numFmtId="0" fontId="1" fillId="0" borderId="89" xfId="0" applyFont="1" applyBorder="1" applyAlignment="1">
      <alignment horizontal="center" vertical="center"/>
    </xf>
    <xf numFmtId="14" fontId="1" fillId="0" borderId="89" xfId="0" applyNumberFormat="1" applyFont="1" applyBorder="1" applyAlignment="1">
      <alignment horizontal="center" vertical="center"/>
    </xf>
    <xf numFmtId="0" fontId="1" fillId="0" borderId="89" xfId="0" applyFont="1" applyBorder="1" applyAlignment="1">
      <alignment horizontal="left" vertical="center" wrapText="1"/>
    </xf>
    <xf numFmtId="0" fontId="4" fillId="0" borderId="88" xfId="0" applyFont="1" applyBorder="1" applyAlignment="1">
      <alignment horizontal="left" vertical="center" wrapText="1"/>
    </xf>
    <xf numFmtId="0" fontId="4" fillId="0" borderId="69" xfId="0" applyFont="1" applyBorder="1" applyAlignment="1">
      <alignment horizontal="left" vertical="center" wrapText="1"/>
    </xf>
    <xf numFmtId="0" fontId="1" fillId="0" borderId="69" xfId="0" applyFont="1" applyBorder="1" applyAlignment="1">
      <alignment horizontal="left" vertical="center" wrapText="1"/>
    </xf>
    <xf numFmtId="0" fontId="1" fillId="0" borderId="88" xfId="0" applyFont="1" applyBorder="1" applyAlignment="1">
      <alignment vertical="center"/>
    </xf>
    <xf numFmtId="0" fontId="1" fillId="0" borderId="82" xfId="0" applyFont="1" applyBorder="1" applyAlignment="1">
      <alignment horizontal="left" vertical="center" wrapText="1"/>
    </xf>
    <xf numFmtId="0" fontId="1" fillId="0" borderId="76" xfId="0" applyFont="1" applyBorder="1" applyAlignment="1">
      <alignment horizontal="left" vertical="center" wrapText="1"/>
    </xf>
    <xf numFmtId="0" fontId="0" fillId="0" borderId="90" xfId="0" applyBorder="1" applyAlignment="1">
      <alignment horizontal="left" vertical="center"/>
    </xf>
    <xf numFmtId="0" fontId="1" fillId="23" borderId="89" xfId="0" applyFont="1" applyFill="1" applyBorder="1" applyAlignment="1">
      <alignment wrapText="1"/>
    </xf>
    <xf numFmtId="0" fontId="1" fillId="0" borderId="88" xfId="0" applyFont="1" applyBorder="1" applyAlignment="1">
      <alignment horizontal="left" vertical="center"/>
    </xf>
    <xf numFmtId="0" fontId="1" fillId="0" borderId="86" xfId="0" applyFont="1" applyBorder="1" applyAlignment="1">
      <alignment horizontal="center" vertical="center" wrapText="1"/>
    </xf>
    <xf numFmtId="0" fontId="1" fillId="0" borderId="67" xfId="0" applyFont="1" applyBorder="1" applyAlignment="1">
      <alignment horizontal="center" vertical="center" wrapText="1"/>
    </xf>
    <xf numFmtId="0" fontId="1" fillId="0" borderId="59" xfId="0" applyFont="1" applyBorder="1" applyAlignment="1">
      <alignment horizontal="center" vertical="center"/>
    </xf>
    <xf numFmtId="0" fontId="1" fillId="23" borderId="89" xfId="0" applyFont="1" applyFill="1" applyBorder="1" applyAlignment="1">
      <alignment horizontal="left" vertical="center" wrapText="1"/>
    </xf>
    <xf numFmtId="0" fontId="1" fillId="0" borderId="69" xfId="0" applyFont="1" applyBorder="1" applyAlignment="1">
      <alignment horizontal="center" vertical="center"/>
    </xf>
    <xf numFmtId="0" fontId="2" fillId="15" borderId="88" xfId="0" applyFont="1" applyFill="1" applyBorder="1" applyAlignment="1">
      <alignment horizontal="center" vertical="center"/>
    </xf>
    <xf numFmtId="49" fontId="1" fillId="0" borderId="82" xfId="0" applyNumberFormat="1" applyFont="1" applyBorder="1" applyAlignment="1">
      <alignment horizontal="center" vertical="center"/>
    </xf>
    <xf numFmtId="0" fontId="1" fillId="0" borderId="82" xfId="0" applyFont="1" applyBorder="1" applyAlignment="1">
      <alignment horizontal="center" vertical="center"/>
    </xf>
    <xf numFmtId="49" fontId="1" fillId="0" borderId="88" xfId="0" applyNumberFormat="1" applyFont="1" applyBorder="1" applyAlignment="1">
      <alignment horizontal="center" vertical="center"/>
    </xf>
    <xf numFmtId="0" fontId="2" fillId="21" borderId="69" xfId="0" applyFont="1" applyFill="1" applyBorder="1" applyAlignment="1">
      <alignment vertical="center"/>
    </xf>
    <xf numFmtId="0" fontId="1" fillId="0" borderId="92" xfId="0" applyFont="1" applyFill="1" applyBorder="1" applyAlignment="1">
      <alignment horizontal="center" vertical="center"/>
    </xf>
    <xf numFmtId="0" fontId="0" fillId="0" borderId="13" xfId="0" applyBorder="1" applyAlignment="1">
      <alignment vertical="center"/>
    </xf>
    <xf numFmtId="0" fontId="1" fillId="0" borderId="90" xfId="0" applyFont="1" applyBorder="1" applyAlignment="1">
      <alignment horizontal="left" vertical="center" wrapText="1"/>
    </xf>
    <xf numFmtId="0" fontId="1" fillId="16" borderId="90" xfId="0" applyFont="1" applyFill="1" applyBorder="1" applyAlignment="1">
      <alignment horizontal="left" vertical="center" wrapText="1"/>
    </xf>
    <xf numFmtId="49" fontId="1" fillId="0" borderId="90" xfId="0" applyNumberFormat="1" applyFont="1" applyBorder="1" applyAlignment="1">
      <alignment horizontal="left" vertical="center" wrapText="1"/>
    </xf>
    <xf numFmtId="0" fontId="5" fillId="0" borderId="90" xfId="0" applyFont="1" applyBorder="1" applyAlignment="1">
      <alignment vertical="top" wrapText="1"/>
    </xf>
    <xf numFmtId="49" fontId="4" fillId="0" borderId="90" xfId="0" applyNumberFormat="1" applyFont="1" applyBorder="1" applyAlignment="1">
      <alignment horizontal="left" vertical="center" wrapText="1"/>
    </xf>
    <xf numFmtId="0" fontId="1" fillId="10" borderId="90" xfId="0" applyFont="1" applyFill="1" applyBorder="1" applyAlignment="1">
      <alignment horizontal="left" vertical="center" wrapText="1"/>
    </xf>
    <xf numFmtId="49" fontId="1" fillId="0" borderId="90" xfId="0" applyNumberFormat="1" applyFont="1" applyBorder="1" applyAlignment="1">
      <alignment horizontal="left" vertical="center"/>
    </xf>
    <xf numFmtId="0" fontId="1" fillId="0" borderId="90" xfId="0" applyFont="1" applyBorder="1" applyAlignment="1">
      <alignment horizontal="left" vertical="center"/>
    </xf>
    <xf numFmtId="0" fontId="1" fillId="22" borderId="90" xfId="0" applyFont="1" applyFill="1" applyBorder="1" applyAlignment="1">
      <alignment horizontal="left" vertical="center" wrapText="1"/>
    </xf>
    <xf numFmtId="49" fontId="1" fillId="0" borderId="90" xfId="1" applyNumberFormat="1" applyFont="1" applyFill="1" applyBorder="1" applyAlignment="1">
      <alignment horizontal="left" vertical="center" wrapText="1"/>
    </xf>
    <xf numFmtId="0" fontId="1" fillId="0" borderId="93" xfId="0" applyFont="1" applyBorder="1" applyAlignment="1">
      <alignment horizontal="left" vertical="center" wrapText="1"/>
    </xf>
    <xf numFmtId="0" fontId="1" fillId="0" borderId="94" xfId="0" applyFont="1" applyBorder="1" applyAlignment="1">
      <alignment horizontal="left" vertical="center" wrapText="1"/>
    </xf>
    <xf numFmtId="49" fontId="1" fillId="0" borderId="94" xfId="0" applyNumberFormat="1" applyFont="1" applyBorder="1" applyAlignment="1">
      <alignment horizontal="left" vertical="center" wrapText="1"/>
    </xf>
    <xf numFmtId="0" fontId="4" fillId="0" borderId="94" xfId="0" applyFont="1" applyBorder="1" applyAlignment="1">
      <alignment horizontal="left" vertical="center" wrapText="1"/>
    </xf>
    <xf numFmtId="9" fontId="1" fillId="0" borderId="94" xfId="0" applyNumberFormat="1" applyFont="1" applyBorder="1" applyAlignment="1">
      <alignment horizontal="left" vertical="center" wrapText="1"/>
    </xf>
    <xf numFmtId="0" fontId="3" fillId="0" borderId="88" xfId="0" applyFont="1" applyBorder="1" applyAlignment="1">
      <alignment horizontal="left" vertical="center" wrapText="1"/>
    </xf>
    <xf numFmtId="0" fontId="1" fillId="9" borderId="94" xfId="0" applyFont="1" applyFill="1" applyBorder="1" applyAlignment="1">
      <alignment horizontal="left" vertical="center" wrapText="1"/>
    </xf>
    <xf numFmtId="0" fontId="1" fillId="6" borderId="69" xfId="0" applyFont="1" applyFill="1" applyBorder="1" applyAlignment="1">
      <alignment horizontal="left" vertical="center" wrapText="1"/>
    </xf>
    <xf numFmtId="0" fontId="0" fillId="0" borderId="92" xfId="0" applyBorder="1" applyAlignment="1">
      <alignment wrapText="1"/>
    </xf>
    <xf numFmtId="0" fontId="4" fillId="0" borderId="90" xfId="0" applyFont="1" applyBorder="1" applyAlignment="1">
      <alignment horizontal="left" vertical="center" wrapText="1"/>
    </xf>
    <xf numFmtId="9" fontId="1" fillId="0" borderId="90" xfId="0" applyNumberFormat="1" applyFont="1" applyBorder="1" applyAlignment="1">
      <alignment horizontal="left" vertical="center" wrapText="1"/>
    </xf>
    <xf numFmtId="0" fontId="1" fillId="0" borderId="90" xfId="0" applyFont="1" applyBorder="1" applyAlignment="1">
      <alignment vertical="center"/>
    </xf>
    <xf numFmtId="0" fontId="1" fillId="20" borderId="86" xfId="0" applyFont="1" applyFill="1" applyBorder="1" applyAlignment="1">
      <alignment horizontal="center" vertical="center"/>
    </xf>
    <xf numFmtId="0" fontId="2" fillId="18" borderId="86" xfId="0" applyFont="1" applyFill="1" applyBorder="1" applyAlignment="1">
      <alignment vertical="center"/>
    </xf>
    <xf numFmtId="0" fontId="2" fillId="18" borderId="69" xfId="0" applyFont="1" applyFill="1" applyBorder="1" applyAlignment="1">
      <alignment vertical="center"/>
    </xf>
    <xf numFmtId="0" fontId="1" fillId="23" borderId="7" xfId="0" applyFont="1" applyFill="1" applyBorder="1" applyAlignment="1">
      <alignment horizontal="left" vertical="center" wrapText="1"/>
    </xf>
    <xf numFmtId="0" fontId="1" fillId="0" borderId="68" xfId="0" applyFont="1" applyFill="1" applyBorder="1" applyAlignment="1">
      <alignment horizontal="center" vertical="center" wrapText="1"/>
    </xf>
    <xf numFmtId="0" fontId="1" fillId="0" borderId="22" xfId="0" applyFont="1" applyFill="1" applyBorder="1" applyAlignment="1">
      <alignment horizontal="center" vertical="center" wrapText="1"/>
    </xf>
    <xf numFmtId="0" fontId="1" fillId="0" borderId="89" xfId="1" applyFont="1" applyFill="1" applyBorder="1" applyAlignment="1">
      <alignment horizontal="center" vertical="center" wrapText="1"/>
    </xf>
    <xf numFmtId="0" fontId="1" fillId="0" borderId="27" xfId="0" applyFont="1" applyFill="1" applyBorder="1" applyAlignment="1">
      <alignment vertical="center" wrapText="1"/>
    </xf>
    <xf numFmtId="49" fontId="1" fillId="0" borderId="89" xfId="1" applyNumberFormat="1" applyFont="1" applyFill="1" applyBorder="1" applyAlignment="1">
      <alignment horizontal="center" vertical="center" wrapText="1"/>
    </xf>
    <xf numFmtId="0" fontId="1" fillId="0" borderId="76" xfId="0" applyFont="1" applyFill="1" applyBorder="1" applyAlignment="1">
      <alignment horizontal="left" vertical="center" wrapText="1"/>
    </xf>
    <xf numFmtId="49" fontId="1" fillId="0" borderId="87" xfId="1" applyNumberFormat="1" applyFont="1" applyFill="1" applyBorder="1" applyAlignment="1">
      <alignment horizontal="left" vertical="center" wrapText="1"/>
    </xf>
    <xf numFmtId="49" fontId="1" fillId="0" borderId="95" xfId="1" applyNumberFormat="1" applyFont="1" applyFill="1" applyBorder="1" applyAlignment="1">
      <alignment horizontal="left" vertical="center" wrapText="1"/>
    </xf>
    <xf numFmtId="0" fontId="4" fillId="0" borderId="70" xfId="0" applyFont="1" applyFill="1" applyBorder="1" applyAlignment="1">
      <alignment horizontal="left" vertical="center" wrapText="1"/>
    </xf>
    <xf numFmtId="0" fontId="3" fillId="0" borderId="90" xfId="0" applyFont="1" applyFill="1" applyBorder="1" applyAlignment="1">
      <alignment horizontal="left" vertical="center" wrapText="1"/>
    </xf>
    <xf numFmtId="0" fontId="1" fillId="0" borderId="7" xfId="0" applyFont="1" applyFill="1" applyBorder="1" applyAlignment="1">
      <alignment horizontal="left" vertical="center" wrapText="1"/>
    </xf>
    <xf numFmtId="0" fontId="1" fillId="23" borderId="59" xfId="0" applyFont="1" applyFill="1" applyBorder="1" applyAlignment="1">
      <alignment horizontal="left" vertical="center" wrapText="1"/>
    </xf>
    <xf numFmtId="0" fontId="1" fillId="23" borderId="56" xfId="0" applyFont="1" applyFill="1" applyBorder="1" applyAlignment="1">
      <alignment horizontal="center" vertical="center" wrapText="1"/>
    </xf>
    <xf numFmtId="0" fontId="3" fillId="24" borderId="90" xfId="0" applyFont="1" applyFill="1" applyBorder="1" applyAlignment="1">
      <alignment horizontal="left" vertical="center" wrapText="1"/>
    </xf>
    <xf numFmtId="0" fontId="1" fillId="24" borderId="24" xfId="0" applyFont="1" applyFill="1" applyBorder="1" applyAlignment="1">
      <alignment horizontal="center" vertical="center"/>
    </xf>
    <xf numFmtId="0" fontId="4" fillId="24" borderId="69" xfId="0" applyFont="1" applyFill="1" applyBorder="1" applyAlignment="1">
      <alignment horizontal="left" vertical="center" wrapText="1"/>
    </xf>
    <xf numFmtId="0" fontId="13" fillId="24" borderId="27" xfId="0" applyFont="1" applyFill="1" applyBorder="1" applyAlignment="1">
      <alignment vertical="center" wrapText="1"/>
    </xf>
    <xf numFmtId="0" fontId="1" fillId="24" borderId="68" xfId="0" applyFont="1" applyFill="1" applyBorder="1" applyAlignment="1">
      <alignment horizontal="center" vertical="center" wrapText="1"/>
    </xf>
    <xf numFmtId="0" fontId="1" fillId="24" borderId="22" xfId="0" applyFont="1" applyFill="1" applyBorder="1" applyAlignment="1">
      <alignment horizontal="center" vertical="center" wrapText="1"/>
    </xf>
    <xf numFmtId="0" fontId="1" fillId="24" borderId="89" xfId="1" applyFont="1" applyFill="1" applyBorder="1" applyAlignment="1">
      <alignment horizontal="center" vertical="center" wrapText="1"/>
    </xf>
    <xf numFmtId="0" fontId="14" fillId="24" borderId="89" xfId="1" applyFont="1" applyFill="1" applyBorder="1" applyAlignment="1">
      <alignment horizontal="center" vertical="center" wrapText="1"/>
    </xf>
    <xf numFmtId="49" fontId="4" fillId="24" borderId="89" xfId="1" applyNumberFormat="1" applyFont="1" applyFill="1" applyBorder="1" applyAlignment="1">
      <alignment vertical="center" wrapText="1"/>
    </xf>
    <xf numFmtId="0" fontId="1" fillId="24" borderId="90" xfId="0" applyFont="1" applyFill="1" applyBorder="1" applyAlignment="1">
      <alignment horizontal="center" vertical="center"/>
    </xf>
    <xf numFmtId="49" fontId="14" fillId="24" borderId="90" xfId="1" applyNumberFormat="1" applyFont="1" applyFill="1" applyBorder="1" applyAlignment="1">
      <alignment horizontal="left" vertical="center" wrapText="1"/>
    </xf>
    <xf numFmtId="0" fontId="10" fillId="24" borderId="0" xfId="0" applyFont="1" applyFill="1" applyAlignment="1">
      <alignment vertical="center"/>
    </xf>
    <xf numFmtId="0" fontId="11" fillId="23" borderId="58" xfId="0" applyFont="1" applyFill="1" applyBorder="1" applyAlignment="1">
      <alignment horizontal="left" vertical="center" wrapText="1"/>
    </xf>
    <xf numFmtId="0" fontId="3" fillId="0" borderId="11" xfId="0" applyFont="1" applyBorder="1" applyAlignment="1">
      <alignment horizontal="left" vertical="center"/>
    </xf>
    <xf numFmtId="0" fontId="15" fillId="23" borderId="92" xfId="0" applyFont="1" applyFill="1" applyBorder="1" applyAlignment="1">
      <alignment horizontal="left" vertical="center" wrapText="1"/>
    </xf>
    <xf numFmtId="0" fontId="15" fillId="23" borderId="96" xfId="0" applyFont="1" applyFill="1" applyBorder="1" applyAlignment="1">
      <alignment horizontal="left" vertical="center"/>
    </xf>
    <xf numFmtId="0" fontId="15" fillId="23" borderId="97" xfId="0" applyFont="1" applyFill="1" applyBorder="1" applyAlignment="1">
      <alignment horizontal="left" vertical="center"/>
    </xf>
  </cellXfs>
  <cellStyles count="2">
    <cellStyle name="常规" xfId="0" builtinId="0"/>
    <cellStyle name="常规 2" xfId="1"/>
  </cellStyles>
  <dxfs count="16">
    <dxf>
      <font>
        <strike/>
        <sz val="11"/>
        <color rgb="FF70AD47"/>
        <name val="等线"/>
        <scheme val="minor"/>
      </font>
    </dxf>
    <dxf>
      <font>
        <strike/>
        <sz val="11"/>
        <color rgb="FF70AD47"/>
        <name val="等线"/>
        <scheme val="minor"/>
      </font>
    </dxf>
    <dxf>
      <font>
        <sz val="11"/>
        <color rgb="FF9C0006"/>
        <name val="等线"/>
        <scheme val="minor"/>
      </font>
      <fill>
        <patternFill patternType="solid">
          <fgColor indexed="64"/>
          <bgColor rgb="FFFFC7CE"/>
        </patternFill>
      </fill>
    </dxf>
    <dxf>
      <font>
        <sz val="11"/>
        <color rgb="FF9C0006"/>
        <name val="等线"/>
        <scheme val="minor"/>
      </font>
      <fill>
        <patternFill patternType="solid">
          <fgColor indexed="64"/>
          <bgColor rgb="FFFFC7CE"/>
        </patternFill>
      </fill>
    </dxf>
    <dxf>
      <font>
        <sz val="11"/>
        <color rgb="FF9C0006"/>
        <name val="等线"/>
        <scheme val="minor"/>
      </font>
      <fill>
        <patternFill patternType="solid">
          <fgColor indexed="64"/>
          <bgColor rgb="FFFFC7CE"/>
        </patternFill>
      </fill>
    </dxf>
    <dxf>
      <font>
        <sz val="11"/>
        <color rgb="FF9C0006"/>
        <name val="等线"/>
        <scheme val="minor"/>
      </font>
      <fill>
        <patternFill patternType="solid">
          <fgColor indexed="64"/>
          <bgColor rgb="FFFFC7CE"/>
        </patternFill>
      </fill>
    </dxf>
    <dxf>
      <font>
        <sz val="11"/>
        <color rgb="FF9C0006"/>
        <name val="等线"/>
        <scheme val="minor"/>
      </font>
      <fill>
        <patternFill patternType="solid">
          <fgColor indexed="64"/>
          <bgColor rgb="FFFFC7CE"/>
        </patternFill>
      </fill>
    </dxf>
    <dxf>
      <font>
        <sz val="11"/>
        <color rgb="FF9C0006"/>
        <name val="等线"/>
        <scheme val="minor"/>
      </font>
      <fill>
        <patternFill patternType="solid">
          <fgColor indexed="64"/>
          <bgColor rgb="FFFFC7CE"/>
        </patternFill>
      </fill>
    </dxf>
    <dxf>
      <font>
        <sz val="11"/>
        <color rgb="FF9C0006"/>
        <name val="等线"/>
        <scheme val="minor"/>
      </font>
      <fill>
        <patternFill patternType="solid">
          <fgColor indexed="64"/>
          <bgColor rgb="FFFFC7CE"/>
        </patternFill>
      </fill>
    </dxf>
    <dxf>
      <font>
        <sz val="11"/>
        <color rgb="FF9C0006"/>
        <name val="等线"/>
        <scheme val="minor"/>
      </font>
      <fill>
        <patternFill patternType="solid">
          <fgColor indexed="64"/>
          <bgColor rgb="FFFFC7CE"/>
        </patternFill>
      </fill>
    </dxf>
    <dxf>
      <font>
        <sz val="11"/>
        <color rgb="FF9C0006"/>
        <name val="等线"/>
        <scheme val="minor"/>
      </font>
      <fill>
        <patternFill patternType="solid">
          <fgColor indexed="64"/>
          <bgColor rgb="FFFFC7CE"/>
        </patternFill>
      </fill>
    </dxf>
    <dxf>
      <font>
        <sz val="11"/>
        <color rgb="FF9C0006"/>
        <name val="等线"/>
        <scheme val="minor"/>
      </font>
      <fill>
        <patternFill patternType="solid">
          <fgColor indexed="64"/>
          <bgColor rgb="FFFFC7CE"/>
        </patternFill>
      </fill>
    </dxf>
    <dxf>
      <font>
        <sz val="11"/>
        <color rgb="FF9C0006"/>
        <name val="等线"/>
        <scheme val="minor"/>
      </font>
      <fill>
        <patternFill patternType="solid">
          <fgColor indexed="64"/>
          <bgColor rgb="FFFFC7CE"/>
        </patternFill>
      </fill>
    </dxf>
    <dxf>
      <font>
        <sz val="11"/>
        <color rgb="FF9C0006"/>
        <name val="等线"/>
        <scheme val="minor"/>
      </font>
      <fill>
        <patternFill patternType="solid">
          <fgColor indexed="64"/>
          <bgColor rgb="FFFFC7CE"/>
        </patternFill>
      </fill>
    </dxf>
    <dxf>
      <font>
        <strike/>
        <sz val="11"/>
        <color rgb="FF70AD47"/>
        <name val="等线"/>
        <scheme val="minor"/>
      </font>
    </dxf>
    <dxf>
      <font>
        <strike/>
        <sz val="11"/>
        <color rgb="FF70AD47"/>
        <name val="等线"/>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calcChain" Target="calcChain.xml"/></Relationships>
</file>

<file path=xl/persons/person.xml><?xml version="1.0" encoding="utf-8"?>
<personList xmlns="http://schemas.microsoft.com/office/spreadsheetml/2018/threadedcomments" xmlns:x="http://schemas.openxmlformats.org/spreadsheetml/2006/main">
  <person displayName="徐楚" id="{69AFE7BD-D957-4F20-8BC2-99F778B0535C}" userId="S::xuc01@hithium.com::777cfbc7-ff1b-4e8b-a228-28e4a69d3722" providerId="AD"/>
  <person displayName="欧鹏杰" id="{BE876490-0F3D-427F-89B6-069E4D936DE1}" userId="S::oupj@hithium.com::6d9124ff-6da0-4fdf-a75b-fa76e95ffa5d"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image" Target="../media/image1.png"/></Relationships>
</file>

<file path=xl/worksheets/_rels/sheet3.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image" Target="../media/image1.png"/></Relationships>
</file>

<file path=xl/worksheets/_rels/sheet5.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T200"/>
  <sheetViews>
    <sheetView tabSelected="1" workbookViewId="0">
      <pane ySplit="1" topLeftCell="A8" activePane="bottomLeft" state="frozen"/>
      <selection pane="bottomLeft" activeCell="D22" sqref="D22"/>
    </sheetView>
  </sheetViews>
  <sheetFormatPr defaultColWidth="14" defaultRowHeight="12.45" x14ac:dyDescent="0.3"/>
  <cols>
    <col min="1" max="4" width="14" customWidth="1"/>
    <col min="5" max="5" width="98" customWidth="1"/>
    <col min="6" max="20" width="14" customWidth="1"/>
  </cols>
  <sheetData>
    <row r="1" spans="1:20" x14ac:dyDescent="0.3">
      <c r="A1" s="10" t="s">
        <v>0</v>
      </c>
      <c r="B1" s="9" t="s">
        <v>1</v>
      </c>
      <c r="C1" s="9" t="s">
        <v>2</v>
      </c>
      <c r="D1" s="9" t="s">
        <v>3</v>
      </c>
      <c r="E1" s="11" t="s">
        <v>4</v>
      </c>
      <c r="F1" s="1"/>
      <c r="G1" s="1"/>
      <c r="H1" s="1"/>
      <c r="I1" s="1"/>
      <c r="J1" s="1"/>
      <c r="K1" s="1"/>
      <c r="L1" s="1"/>
      <c r="M1" s="1"/>
      <c r="N1" s="1"/>
      <c r="O1" s="1"/>
      <c r="P1" s="1"/>
      <c r="Q1" s="1"/>
      <c r="R1" s="1"/>
      <c r="S1" s="1"/>
      <c r="T1" s="1"/>
    </row>
    <row r="2" spans="1:20" x14ac:dyDescent="0.3">
      <c r="A2" s="3" t="s">
        <v>5</v>
      </c>
      <c r="B2" s="8">
        <v>45785</v>
      </c>
      <c r="C2" s="3" t="s">
        <v>6</v>
      </c>
      <c r="D2" s="3"/>
      <c r="E2" s="4" t="s">
        <v>7</v>
      </c>
      <c r="F2" s="1"/>
      <c r="G2" s="1"/>
      <c r="H2" s="1"/>
      <c r="I2" s="1"/>
      <c r="J2" s="1"/>
      <c r="K2" s="1"/>
      <c r="L2" s="1"/>
      <c r="M2" s="1"/>
      <c r="N2" s="1"/>
      <c r="O2" s="1"/>
      <c r="P2" s="1"/>
      <c r="Q2" s="1"/>
      <c r="R2" s="1"/>
      <c r="S2" s="1"/>
      <c r="T2" s="1"/>
    </row>
    <row r="3" spans="1:20" ht="323.14999999999998" x14ac:dyDescent="0.3">
      <c r="A3" s="1" t="s">
        <v>8</v>
      </c>
      <c r="B3" s="6">
        <v>45883</v>
      </c>
      <c r="C3" s="3" t="s">
        <v>9</v>
      </c>
      <c r="D3" s="3"/>
      <c r="E3" s="7" t="s">
        <v>814</v>
      </c>
      <c r="F3" s="1"/>
      <c r="G3" s="1"/>
      <c r="H3" s="1"/>
      <c r="I3" s="1"/>
      <c r="J3" s="1"/>
      <c r="K3" s="1"/>
      <c r="L3" s="1"/>
      <c r="M3" s="1"/>
      <c r="N3" s="1"/>
      <c r="O3" s="1"/>
      <c r="P3" s="1"/>
      <c r="Q3" s="1"/>
      <c r="R3" s="1"/>
      <c r="S3" s="1"/>
      <c r="T3" s="1"/>
    </row>
    <row r="4" spans="1:20" ht="49.75" x14ac:dyDescent="0.3">
      <c r="A4" s="3" t="s">
        <v>1077</v>
      </c>
      <c r="B4" s="6">
        <v>45922</v>
      </c>
      <c r="C4" s="3" t="s">
        <v>1078</v>
      </c>
      <c r="D4" s="3"/>
      <c r="E4" s="81" t="s">
        <v>1084</v>
      </c>
      <c r="F4" s="1"/>
      <c r="G4" s="1"/>
      <c r="H4" s="1"/>
      <c r="I4" s="1"/>
      <c r="J4" s="1"/>
      <c r="K4" s="1"/>
      <c r="L4" s="1"/>
      <c r="M4" s="1"/>
      <c r="N4" s="1"/>
      <c r="O4" s="1"/>
      <c r="P4" s="1"/>
      <c r="Q4" s="1"/>
      <c r="R4" s="1"/>
      <c r="S4" s="1"/>
      <c r="T4" s="1"/>
    </row>
    <row r="5" spans="1:20" ht="24.9" x14ac:dyDescent="0.3">
      <c r="A5" s="3" t="s">
        <v>1087</v>
      </c>
      <c r="B5" s="6">
        <v>45925</v>
      </c>
      <c r="C5" s="3" t="s">
        <v>9</v>
      </c>
      <c r="D5" s="3"/>
      <c r="E5" s="81" t="s">
        <v>1089</v>
      </c>
      <c r="F5" s="1"/>
      <c r="G5" s="1"/>
      <c r="H5" s="1"/>
      <c r="I5" s="1"/>
      <c r="J5" s="1"/>
      <c r="K5" s="1"/>
      <c r="L5" s="1"/>
      <c r="M5" s="1"/>
      <c r="N5" s="1"/>
      <c r="O5" s="1"/>
      <c r="P5" s="1"/>
      <c r="Q5" s="1"/>
      <c r="R5" s="1"/>
      <c r="S5" s="1"/>
      <c r="T5" s="1"/>
    </row>
    <row r="6" spans="1:20" ht="24.9" x14ac:dyDescent="0.3">
      <c r="A6" s="3" t="s">
        <v>1090</v>
      </c>
      <c r="B6" s="6">
        <v>45928</v>
      </c>
      <c r="C6" s="3" t="s">
        <v>9</v>
      </c>
      <c r="D6" s="3"/>
      <c r="E6" s="81" t="s">
        <v>1093</v>
      </c>
      <c r="F6" s="1"/>
      <c r="G6" s="1"/>
      <c r="H6" s="1"/>
      <c r="I6" s="1"/>
      <c r="J6" s="1"/>
      <c r="K6" s="1"/>
      <c r="L6" s="1"/>
      <c r="M6" s="1"/>
      <c r="N6" s="1"/>
      <c r="O6" s="1"/>
      <c r="P6" s="1"/>
      <c r="Q6" s="1"/>
      <c r="R6" s="1"/>
      <c r="S6" s="1"/>
      <c r="T6" s="1"/>
    </row>
    <row r="7" spans="1:20" ht="74.599999999999994" x14ac:dyDescent="0.3">
      <c r="A7" s="115" t="s">
        <v>1096</v>
      </c>
      <c r="B7" s="116">
        <v>45928</v>
      </c>
      <c r="C7" s="115" t="s">
        <v>1097</v>
      </c>
      <c r="D7" s="115"/>
      <c r="E7" s="117" t="s">
        <v>1098</v>
      </c>
      <c r="F7" s="1"/>
      <c r="G7" s="1"/>
      <c r="H7" s="1"/>
      <c r="I7" s="1"/>
      <c r="J7" s="1"/>
      <c r="K7" s="1"/>
      <c r="L7" s="1"/>
      <c r="M7" s="1"/>
      <c r="N7" s="1"/>
      <c r="O7" s="1"/>
      <c r="P7" s="1"/>
      <c r="Q7" s="1"/>
      <c r="R7" s="1"/>
      <c r="S7" s="1"/>
      <c r="T7" s="1"/>
    </row>
    <row r="8" spans="1:20" ht="62.15" x14ac:dyDescent="0.3">
      <c r="A8" s="115" t="s">
        <v>1143</v>
      </c>
      <c r="B8" s="116">
        <v>45940</v>
      </c>
      <c r="C8" s="115" t="s">
        <v>1097</v>
      </c>
      <c r="D8" s="3"/>
      <c r="E8" s="81" t="s">
        <v>1144</v>
      </c>
      <c r="F8" s="1"/>
      <c r="G8" s="1"/>
      <c r="H8" s="1"/>
      <c r="I8" s="1"/>
      <c r="J8" s="1"/>
      <c r="K8" s="1"/>
      <c r="L8" s="1"/>
      <c r="M8" s="1"/>
      <c r="N8" s="1"/>
      <c r="O8" s="1"/>
      <c r="P8" s="1"/>
      <c r="Q8" s="1"/>
      <c r="R8" s="1"/>
      <c r="S8" s="1"/>
      <c r="T8" s="1"/>
    </row>
    <row r="9" spans="1:20" ht="24.9" x14ac:dyDescent="0.3">
      <c r="A9" s="115" t="s">
        <v>1161</v>
      </c>
      <c r="B9" s="116">
        <v>45966</v>
      </c>
      <c r="C9" s="115" t="s">
        <v>1162</v>
      </c>
      <c r="D9" s="3"/>
      <c r="E9" s="81" t="s">
        <v>1163</v>
      </c>
      <c r="F9" s="1"/>
      <c r="G9" s="1"/>
      <c r="H9" s="1"/>
      <c r="I9" s="1"/>
      <c r="J9" s="1"/>
      <c r="K9" s="1"/>
      <c r="L9" s="1"/>
      <c r="M9" s="1"/>
      <c r="N9" s="1"/>
      <c r="O9" s="1"/>
      <c r="P9" s="1"/>
      <c r="Q9" s="1"/>
      <c r="R9" s="1"/>
      <c r="S9" s="1"/>
      <c r="T9" s="1"/>
    </row>
    <row r="10" spans="1:20" ht="49.75" x14ac:dyDescent="0.3">
      <c r="A10" s="115" t="s">
        <v>1164</v>
      </c>
      <c r="B10" s="116">
        <v>45980</v>
      </c>
      <c r="C10" s="115" t="s">
        <v>1165</v>
      </c>
      <c r="D10" s="3"/>
      <c r="E10" s="81" t="s">
        <v>1181</v>
      </c>
      <c r="F10" s="1"/>
      <c r="G10" s="1"/>
      <c r="H10" s="1"/>
      <c r="I10" s="1"/>
      <c r="J10" s="1"/>
      <c r="K10" s="1"/>
      <c r="L10" s="1"/>
      <c r="M10" s="1"/>
      <c r="N10" s="1"/>
      <c r="O10" s="1"/>
      <c r="P10" s="1"/>
      <c r="Q10" s="1"/>
      <c r="R10" s="1"/>
      <c r="S10" s="1"/>
      <c r="T10" s="1"/>
    </row>
    <row r="11" spans="1:20" x14ac:dyDescent="0.3">
      <c r="A11" s="115" t="s">
        <v>1173</v>
      </c>
      <c r="B11" s="116">
        <v>45986</v>
      </c>
      <c r="C11" s="115" t="s">
        <v>1174</v>
      </c>
      <c r="D11" s="3"/>
      <c r="E11" s="4" t="s">
        <v>1176</v>
      </c>
      <c r="F11" s="1"/>
      <c r="G11" s="1"/>
      <c r="H11" s="1"/>
      <c r="I11" s="1"/>
      <c r="J11" s="1"/>
      <c r="K11" s="1"/>
      <c r="L11" s="1"/>
      <c r="M11" s="1"/>
      <c r="N11" s="1"/>
      <c r="O11" s="1"/>
      <c r="P11" s="1"/>
      <c r="Q11" s="1"/>
      <c r="R11" s="1"/>
      <c r="S11" s="1"/>
      <c r="T11" s="1"/>
    </row>
    <row r="12" spans="1:20" ht="49.75" x14ac:dyDescent="0.3">
      <c r="A12" s="115" t="s">
        <v>1180</v>
      </c>
      <c r="B12" s="116">
        <v>45993</v>
      </c>
      <c r="C12" s="115" t="s">
        <v>1162</v>
      </c>
      <c r="D12" s="3"/>
      <c r="E12" s="81" t="s">
        <v>1183</v>
      </c>
      <c r="F12" s="1"/>
      <c r="G12" s="1"/>
      <c r="H12" s="1"/>
      <c r="I12" s="1"/>
      <c r="J12" s="1"/>
      <c r="K12" s="1"/>
      <c r="L12" s="1"/>
      <c r="M12" s="1"/>
      <c r="N12" s="1"/>
      <c r="O12" s="1"/>
      <c r="P12" s="1"/>
      <c r="Q12" s="1"/>
      <c r="R12" s="1"/>
      <c r="S12" s="1"/>
      <c r="T12" s="1"/>
    </row>
    <row r="13" spans="1:20" ht="24.9" x14ac:dyDescent="0.3">
      <c r="A13" s="115" t="s">
        <v>1184</v>
      </c>
      <c r="B13" s="116">
        <v>45993</v>
      </c>
      <c r="C13" s="115" t="s">
        <v>1185</v>
      </c>
      <c r="D13" s="3"/>
      <c r="E13" s="81" t="s">
        <v>1187</v>
      </c>
      <c r="F13" s="1"/>
      <c r="G13" s="1"/>
      <c r="H13" s="1"/>
      <c r="I13" s="1"/>
      <c r="J13" s="1"/>
      <c r="K13" s="1"/>
      <c r="L13" s="1"/>
      <c r="M13" s="1"/>
      <c r="N13" s="1"/>
      <c r="O13" s="1"/>
      <c r="P13" s="1"/>
      <c r="Q13" s="1"/>
      <c r="R13" s="1"/>
      <c r="S13" s="1"/>
      <c r="T13" s="1"/>
    </row>
    <row r="14" spans="1:20" ht="24.9" x14ac:dyDescent="0.3">
      <c r="A14" s="115" t="s">
        <v>1193</v>
      </c>
      <c r="B14" s="116">
        <v>46015</v>
      </c>
      <c r="C14" s="115" t="s">
        <v>1185</v>
      </c>
      <c r="D14" s="3"/>
      <c r="E14" s="81" t="s">
        <v>1196</v>
      </c>
      <c r="F14" s="1"/>
      <c r="G14" s="1"/>
      <c r="H14" s="1"/>
      <c r="I14" s="1"/>
      <c r="J14" s="1"/>
      <c r="K14" s="1"/>
      <c r="L14" s="1"/>
      <c r="M14" s="1"/>
      <c r="N14" s="1"/>
      <c r="O14" s="1"/>
      <c r="P14" s="1"/>
      <c r="Q14" s="1"/>
      <c r="R14" s="1"/>
      <c r="S14" s="1"/>
      <c r="T14" s="1"/>
    </row>
    <row r="15" spans="1:20" ht="37.299999999999997" x14ac:dyDescent="0.3">
      <c r="A15" s="115" t="s">
        <v>1197</v>
      </c>
      <c r="B15" s="116">
        <v>46051</v>
      </c>
      <c r="C15" s="115" t="s">
        <v>1185</v>
      </c>
      <c r="D15" s="3"/>
      <c r="E15" s="81" t="s">
        <v>1198</v>
      </c>
      <c r="F15" s="1"/>
      <c r="G15" s="1"/>
      <c r="H15" s="1"/>
      <c r="I15" s="1"/>
      <c r="J15" s="1"/>
      <c r="K15" s="1"/>
      <c r="L15" s="1"/>
      <c r="M15" s="1"/>
      <c r="N15" s="1"/>
      <c r="O15" s="1"/>
      <c r="P15" s="1"/>
      <c r="Q15" s="1"/>
      <c r="R15" s="1"/>
      <c r="S15" s="1"/>
      <c r="T15" s="1"/>
    </row>
    <row r="16" spans="1:20" x14ac:dyDescent="0.3">
      <c r="A16" s="1"/>
      <c r="B16" s="1"/>
      <c r="C16" s="1"/>
      <c r="D16" s="1"/>
      <c r="E16" s="2"/>
      <c r="F16" s="1"/>
      <c r="G16" s="1"/>
      <c r="H16" s="1"/>
      <c r="I16" s="1"/>
      <c r="J16" s="1"/>
      <c r="K16" s="1"/>
      <c r="L16" s="1"/>
      <c r="M16" s="1"/>
      <c r="N16" s="1"/>
      <c r="O16" s="1"/>
      <c r="P16" s="1"/>
      <c r="Q16" s="1"/>
      <c r="R16" s="1"/>
      <c r="S16" s="1"/>
      <c r="T16" s="1"/>
    </row>
    <row r="17" spans="1:20" x14ac:dyDescent="0.3">
      <c r="A17" s="1"/>
      <c r="B17" s="1"/>
      <c r="C17" s="1"/>
      <c r="D17" s="1"/>
      <c r="E17" s="2"/>
      <c r="F17" s="1"/>
      <c r="G17" s="1"/>
      <c r="H17" s="1"/>
      <c r="I17" s="1"/>
      <c r="J17" s="1"/>
      <c r="K17" s="1"/>
      <c r="L17" s="1"/>
      <c r="M17" s="1"/>
      <c r="N17" s="1"/>
      <c r="O17" s="1"/>
      <c r="P17" s="1"/>
      <c r="Q17" s="1"/>
      <c r="R17" s="1"/>
      <c r="S17" s="1"/>
      <c r="T17" s="1"/>
    </row>
    <row r="18" spans="1:20" x14ac:dyDescent="0.3">
      <c r="A18" s="1"/>
      <c r="B18" s="1"/>
      <c r="C18" s="1"/>
      <c r="D18" s="1"/>
      <c r="E18" s="2"/>
      <c r="F18" s="1"/>
      <c r="G18" s="1"/>
      <c r="H18" s="1"/>
      <c r="I18" s="1"/>
      <c r="J18" s="1"/>
      <c r="K18" s="1"/>
      <c r="L18" s="1"/>
      <c r="M18" s="1"/>
      <c r="N18" s="1"/>
      <c r="O18" s="1"/>
      <c r="P18" s="1"/>
      <c r="Q18" s="1"/>
      <c r="R18" s="1"/>
      <c r="S18" s="1"/>
      <c r="T18" s="1"/>
    </row>
    <row r="19" spans="1:20" x14ac:dyDescent="0.3">
      <c r="A19" s="1"/>
      <c r="B19" s="1"/>
      <c r="C19" s="1"/>
      <c r="D19" s="1"/>
      <c r="E19" s="2"/>
      <c r="F19" s="1"/>
      <c r="G19" s="1"/>
      <c r="H19" s="1"/>
      <c r="I19" s="1"/>
      <c r="J19" s="1"/>
      <c r="K19" s="1"/>
      <c r="L19" s="1"/>
      <c r="M19" s="1"/>
      <c r="N19" s="1"/>
      <c r="O19" s="1"/>
      <c r="P19" s="1"/>
      <c r="Q19" s="1"/>
      <c r="R19" s="1"/>
      <c r="S19" s="1"/>
      <c r="T19" s="1"/>
    </row>
    <row r="20" spans="1:20" x14ac:dyDescent="0.3">
      <c r="A20" s="1"/>
      <c r="B20" s="1"/>
      <c r="C20" s="1"/>
      <c r="D20" s="1"/>
      <c r="E20" s="2"/>
      <c r="F20" s="1"/>
      <c r="G20" s="1"/>
      <c r="H20" s="1"/>
      <c r="I20" s="1"/>
      <c r="J20" s="1"/>
      <c r="K20" s="1"/>
      <c r="L20" s="1"/>
      <c r="M20" s="1"/>
      <c r="N20" s="1"/>
      <c r="O20" s="1"/>
      <c r="P20" s="1"/>
      <c r="Q20" s="1"/>
      <c r="R20" s="1"/>
      <c r="S20" s="1"/>
      <c r="T20" s="1"/>
    </row>
    <row r="21" spans="1:20" x14ac:dyDescent="0.3">
      <c r="A21" s="1"/>
      <c r="B21" s="1"/>
      <c r="C21" s="1"/>
      <c r="D21" s="1"/>
      <c r="E21" s="2"/>
      <c r="F21" s="1"/>
      <c r="G21" s="1"/>
      <c r="H21" s="1"/>
      <c r="I21" s="1"/>
      <c r="J21" s="1"/>
      <c r="K21" s="1"/>
      <c r="L21" s="1"/>
      <c r="M21" s="1"/>
      <c r="N21" s="1"/>
      <c r="O21" s="1"/>
      <c r="P21" s="1"/>
      <c r="Q21" s="1"/>
      <c r="R21" s="1"/>
      <c r="S21" s="1"/>
      <c r="T21" s="1"/>
    </row>
    <row r="22" spans="1:20" x14ac:dyDescent="0.3">
      <c r="A22" s="1"/>
      <c r="B22" s="1"/>
      <c r="C22" s="1"/>
      <c r="D22" s="1"/>
      <c r="E22" s="2"/>
      <c r="F22" s="1"/>
      <c r="G22" s="1"/>
      <c r="H22" s="1"/>
      <c r="I22" s="1"/>
      <c r="J22" s="1"/>
      <c r="K22" s="1"/>
      <c r="L22" s="1"/>
      <c r="M22" s="1"/>
      <c r="N22" s="1"/>
      <c r="O22" s="1"/>
      <c r="P22" s="1"/>
      <c r="Q22" s="1"/>
      <c r="R22" s="1"/>
      <c r="S22" s="1"/>
      <c r="T22" s="1"/>
    </row>
    <row r="23" spans="1:20" x14ac:dyDescent="0.3">
      <c r="A23" s="1"/>
      <c r="B23" s="1"/>
      <c r="C23" s="1"/>
      <c r="D23" s="1"/>
      <c r="E23" s="2"/>
      <c r="F23" s="1"/>
      <c r="G23" s="1"/>
      <c r="H23" s="1"/>
      <c r="I23" s="1"/>
      <c r="J23" s="1"/>
      <c r="K23" s="1"/>
      <c r="L23" s="1"/>
      <c r="M23" s="1"/>
      <c r="N23" s="1"/>
      <c r="O23" s="1"/>
      <c r="P23" s="1"/>
      <c r="Q23" s="1"/>
      <c r="R23" s="1"/>
      <c r="S23" s="1"/>
      <c r="T23" s="1"/>
    </row>
    <row r="24" spans="1:20" x14ac:dyDescent="0.3">
      <c r="A24" s="1"/>
      <c r="B24" s="1"/>
      <c r="C24" s="1"/>
      <c r="D24" s="1"/>
      <c r="E24" s="2"/>
      <c r="F24" s="1"/>
      <c r="G24" s="1"/>
      <c r="H24" s="1"/>
      <c r="I24" s="1"/>
      <c r="J24" s="1"/>
      <c r="K24" s="1"/>
      <c r="L24" s="1"/>
      <c r="M24" s="1"/>
      <c r="N24" s="1"/>
      <c r="O24" s="1"/>
      <c r="P24" s="1"/>
      <c r="Q24" s="1"/>
      <c r="R24" s="1"/>
      <c r="S24" s="1"/>
      <c r="T24" s="1"/>
    </row>
    <row r="25" spans="1:20" x14ac:dyDescent="0.3">
      <c r="A25" s="1"/>
      <c r="B25" s="1"/>
      <c r="C25" s="1"/>
      <c r="D25" s="1"/>
      <c r="E25" s="2"/>
      <c r="F25" s="1"/>
      <c r="G25" s="1"/>
      <c r="H25" s="1"/>
      <c r="I25" s="1"/>
      <c r="J25" s="1"/>
      <c r="K25" s="1"/>
      <c r="L25" s="1"/>
      <c r="M25" s="1"/>
      <c r="N25" s="1"/>
      <c r="O25" s="1"/>
      <c r="P25" s="1"/>
      <c r="Q25" s="1"/>
      <c r="R25" s="1"/>
      <c r="S25" s="1"/>
      <c r="T25" s="1"/>
    </row>
    <row r="26" spans="1:20" x14ac:dyDescent="0.3">
      <c r="A26" s="1"/>
      <c r="B26" s="1"/>
      <c r="C26" s="1"/>
      <c r="D26" s="1"/>
      <c r="E26" s="2"/>
      <c r="F26" s="1"/>
      <c r="G26" s="1"/>
      <c r="H26" s="1"/>
      <c r="I26" s="1"/>
      <c r="J26" s="1"/>
      <c r="K26" s="1"/>
      <c r="L26" s="1"/>
      <c r="M26" s="1"/>
      <c r="N26" s="1"/>
      <c r="O26" s="1"/>
      <c r="P26" s="1"/>
      <c r="Q26" s="1"/>
      <c r="R26" s="1"/>
      <c r="S26" s="1"/>
      <c r="T26" s="1"/>
    </row>
    <row r="27" spans="1:20" x14ac:dyDescent="0.3">
      <c r="A27" s="1"/>
      <c r="B27" s="1"/>
      <c r="C27" s="1"/>
      <c r="D27" s="1"/>
      <c r="E27" s="2"/>
      <c r="F27" s="1"/>
      <c r="G27" s="1"/>
      <c r="H27" s="1"/>
      <c r="I27" s="1"/>
      <c r="J27" s="1"/>
      <c r="K27" s="1"/>
      <c r="L27" s="1"/>
      <c r="M27" s="1"/>
      <c r="N27" s="1"/>
      <c r="O27" s="1"/>
      <c r="P27" s="1"/>
      <c r="Q27" s="1"/>
      <c r="R27" s="1"/>
      <c r="S27" s="1"/>
      <c r="T27" s="1"/>
    </row>
    <row r="28" spans="1:20" x14ac:dyDescent="0.3">
      <c r="A28" s="1"/>
      <c r="B28" s="1"/>
      <c r="C28" s="1"/>
      <c r="D28" s="1"/>
      <c r="E28" s="2"/>
      <c r="F28" s="1"/>
      <c r="G28" s="1"/>
      <c r="H28" s="1"/>
      <c r="I28" s="1"/>
      <c r="J28" s="1"/>
      <c r="K28" s="1"/>
      <c r="L28" s="1"/>
      <c r="M28" s="1"/>
      <c r="N28" s="1"/>
      <c r="O28" s="1"/>
      <c r="P28" s="1"/>
      <c r="Q28" s="1"/>
      <c r="R28" s="1"/>
      <c r="S28" s="1"/>
      <c r="T28" s="1"/>
    </row>
    <row r="29" spans="1:20" x14ac:dyDescent="0.3">
      <c r="A29" s="1"/>
      <c r="B29" s="1"/>
      <c r="C29" s="1"/>
      <c r="D29" s="1"/>
      <c r="E29" s="2"/>
      <c r="F29" s="1"/>
      <c r="G29" s="1"/>
      <c r="H29" s="1"/>
      <c r="I29" s="1"/>
      <c r="J29" s="1"/>
      <c r="K29" s="1"/>
      <c r="L29" s="1"/>
      <c r="M29" s="1"/>
      <c r="N29" s="1"/>
      <c r="O29" s="1"/>
      <c r="P29" s="1"/>
      <c r="Q29" s="1"/>
      <c r="R29" s="1"/>
      <c r="S29" s="1"/>
      <c r="T29" s="1"/>
    </row>
    <row r="30" spans="1:20" x14ac:dyDescent="0.3">
      <c r="A30" s="1"/>
      <c r="B30" s="1"/>
      <c r="C30" s="1"/>
      <c r="D30" s="1"/>
      <c r="E30" s="2"/>
      <c r="F30" s="1"/>
      <c r="G30" s="1"/>
      <c r="H30" s="1"/>
      <c r="I30" s="1"/>
      <c r="J30" s="1"/>
      <c r="K30" s="1"/>
      <c r="L30" s="1"/>
      <c r="M30" s="1"/>
      <c r="N30" s="1"/>
      <c r="O30" s="1"/>
      <c r="P30" s="1"/>
      <c r="Q30" s="1"/>
      <c r="R30" s="1"/>
      <c r="S30" s="1"/>
      <c r="T30" s="1"/>
    </row>
    <row r="31" spans="1:20" x14ac:dyDescent="0.3">
      <c r="A31" s="1"/>
      <c r="B31" s="1"/>
      <c r="C31" s="1"/>
      <c r="D31" s="1"/>
      <c r="E31" s="2"/>
      <c r="F31" s="1"/>
      <c r="G31" s="1"/>
      <c r="H31" s="1"/>
      <c r="I31" s="1"/>
      <c r="J31" s="1"/>
      <c r="K31" s="1"/>
      <c r="L31" s="1"/>
      <c r="M31" s="1"/>
      <c r="N31" s="1"/>
      <c r="O31" s="1"/>
      <c r="P31" s="1"/>
      <c r="Q31" s="1"/>
      <c r="R31" s="1"/>
      <c r="S31" s="1"/>
      <c r="T31" s="1"/>
    </row>
    <row r="32" spans="1:20" x14ac:dyDescent="0.3">
      <c r="A32" s="1"/>
      <c r="B32" s="1"/>
      <c r="C32" s="1"/>
      <c r="D32" s="1"/>
      <c r="E32" s="2"/>
      <c r="F32" s="1"/>
      <c r="G32" s="1"/>
      <c r="H32" s="1"/>
      <c r="I32" s="1"/>
      <c r="J32" s="1"/>
      <c r="K32" s="1"/>
      <c r="L32" s="1"/>
      <c r="M32" s="1"/>
      <c r="N32" s="1"/>
      <c r="O32" s="1"/>
      <c r="P32" s="1"/>
      <c r="Q32" s="1"/>
      <c r="R32" s="1"/>
      <c r="S32" s="1"/>
      <c r="T32" s="1"/>
    </row>
    <row r="33" spans="1:20" x14ac:dyDescent="0.3">
      <c r="A33" s="1"/>
      <c r="B33" s="1"/>
      <c r="C33" s="1"/>
      <c r="D33" s="1"/>
      <c r="E33" s="2"/>
      <c r="F33" s="1"/>
      <c r="G33" s="1"/>
      <c r="H33" s="1"/>
      <c r="I33" s="1"/>
      <c r="J33" s="1"/>
      <c r="K33" s="1"/>
      <c r="L33" s="1"/>
      <c r="M33" s="1"/>
      <c r="N33" s="1"/>
      <c r="O33" s="1"/>
      <c r="P33" s="1"/>
      <c r="Q33" s="1"/>
      <c r="R33" s="1"/>
      <c r="S33" s="1"/>
      <c r="T33" s="1"/>
    </row>
    <row r="34" spans="1:20" x14ac:dyDescent="0.3">
      <c r="A34" s="1"/>
      <c r="B34" s="1"/>
      <c r="C34" s="1"/>
      <c r="D34" s="1"/>
      <c r="E34" s="2"/>
      <c r="F34" s="1"/>
      <c r="G34" s="1"/>
      <c r="H34" s="1"/>
      <c r="I34" s="1"/>
      <c r="J34" s="1"/>
      <c r="K34" s="1"/>
      <c r="L34" s="1"/>
      <c r="M34" s="1"/>
      <c r="N34" s="1"/>
      <c r="O34" s="1"/>
      <c r="P34" s="1"/>
      <c r="Q34" s="1"/>
      <c r="R34" s="1"/>
      <c r="S34" s="1"/>
      <c r="T34" s="1"/>
    </row>
    <row r="35" spans="1:20" x14ac:dyDescent="0.3">
      <c r="A35" s="1"/>
      <c r="B35" s="1"/>
      <c r="C35" s="1"/>
      <c r="D35" s="1"/>
      <c r="E35" s="2"/>
      <c r="F35" s="1"/>
      <c r="G35" s="1"/>
      <c r="H35" s="1"/>
      <c r="I35" s="1"/>
      <c r="J35" s="1"/>
      <c r="K35" s="1"/>
      <c r="L35" s="1"/>
      <c r="M35" s="1"/>
      <c r="N35" s="1"/>
      <c r="O35" s="1"/>
      <c r="P35" s="1"/>
      <c r="Q35" s="1"/>
      <c r="R35" s="1"/>
      <c r="S35" s="1"/>
      <c r="T35" s="1"/>
    </row>
    <row r="36" spans="1:20" x14ac:dyDescent="0.3">
      <c r="A36" s="1"/>
      <c r="B36" s="1"/>
      <c r="C36" s="1"/>
      <c r="D36" s="1"/>
      <c r="E36" s="2"/>
      <c r="F36" s="1"/>
      <c r="G36" s="1"/>
      <c r="H36" s="1"/>
      <c r="I36" s="1"/>
      <c r="J36" s="1"/>
      <c r="K36" s="1"/>
      <c r="L36" s="1"/>
      <c r="M36" s="1"/>
      <c r="N36" s="1"/>
      <c r="O36" s="1"/>
      <c r="P36" s="1"/>
      <c r="Q36" s="1"/>
      <c r="R36" s="1"/>
      <c r="S36" s="1"/>
      <c r="T36" s="1"/>
    </row>
    <row r="37" spans="1:20" x14ac:dyDescent="0.3">
      <c r="A37" s="1"/>
      <c r="B37" s="1"/>
      <c r="C37" s="1"/>
      <c r="D37" s="1"/>
      <c r="E37" s="2"/>
      <c r="F37" s="1"/>
      <c r="G37" s="1"/>
      <c r="H37" s="1"/>
      <c r="I37" s="1"/>
      <c r="J37" s="1"/>
      <c r="K37" s="1"/>
      <c r="L37" s="1"/>
      <c r="M37" s="1"/>
      <c r="N37" s="1"/>
      <c r="O37" s="1"/>
      <c r="P37" s="1"/>
      <c r="Q37" s="1"/>
      <c r="R37" s="1"/>
      <c r="S37" s="1"/>
      <c r="T37" s="1"/>
    </row>
    <row r="38" spans="1:20" x14ac:dyDescent="0.3">
      <c r="A38" s="1"/>
      <c r="B38" s="1"/>
      <c r="C38" s="1"/>
      <c r="D38" s="1"/>
      <c r="E38" s="2"/>
      <c r="F38" s="1"/>
      <c r="G38" s="1"/>
      <c r="H38" s="1"/>
      <c r="I38" s="1"/>
      <c r="J38" s="1"/>
      <c r="K38" s="1"/>
      <c r="L38" s="1"/>
      <c r="M38" s="1"/>
      <c r="N38" s="1"/>
      <c r="O38" s="1"/>
      <c r="P38" s="1"/>
      <c r="Q38" s="1"/>
      <c r="R38" s="1"/>
      <c r="S38" s="1"/>
      <c r="T38" s="1"/>
    </row>
    <row r="39" spans="1:20" x14ac:dyDescent="0.3">
      <c r="A39" s="1"/>
      <c r="B39" s="1"/>
      <c r="C39" s="1"/>
      <c r="D39" s="1"/>
      <c r="E39" s="2"/>
      <c r="F39" s="1"/>
      <c r="G39" s="1"/>
      <c r="H39" s="1"/>
      <c r="I39" s="1"/>
      <c r="J39" s="1"/>
      <c r="K39" s="1"/>
      <c r="L39" s="1"/>
      <c r="M39" s="1"/>
      <c r="N39" s="1"/>
      <c r="O39" s="1"/>
      <c r="P39" s="1"/>
      <c r="Q39" s="1"/>
      <c r="R39" s="1"/>
      <c r="S39" s="1"/>
      <c r="T39" s="1"/>
    </row>
    <row r="40" spans="1:20" x14ac:dyDescent="0.3">
      <c r="A40" s="1"/>
      <c r="B40" s="1"/>
      <c r="C40" s="1"/>
      <c r="D40" s="1"/>
      <c r="E40" s="2"/>
      <c r="F40" s="1"/>
      <c r="G40" s="1"/>
      <c r="H40" s="1"/>
      <c r="I40" s="1"/>
      <c r="J40" s="1"/>
      <c r="K40" s="1"/>
      <c r="L40" s="1"/>
      <c r="M40" s="1"/>
      <c r="N40" s="1"/>
      <c r="O40" s="1"/>
      <c r="P40" s="1"/>
      <c r="Q40" s="1"/>
      <c r="R40" s="1"/>
      <c r="S40" s="1"/>
      <c r="T40" s="1"/>
    </row>
    <row r="41" spans="1:20" x14ac:dyDescent="0.3">
      <c r="A41" s="1"/>
      <c r="B41" s="1"/>
      <c r="C41" s="1"/>
      <c r="D41" s="1"/>
      <c r="E41" s="2"/>
      <c r="F41" s="1"/>
      <c r="G41" s="1"/>
      <c r="H41" s="1"/>
      <c r="I41" s="1"/>
      <c r="J41" s="1"/>
      <c r="K41" s="1"/>
      <c r="L41" s="1"/>
      <c r="M41" s="1"/>
      <c r="N41" s="1"/>
      <c r="O41" s="1"/>
      <c r="P41" s="1"/>
      <c r="Q41" s="1"/>
      <c r="R41" s="1"/>
      <c r="S41" s="1"/>
      <c r="T41" s="1"/>
    </row>
    <row r="42" spans="1:20" x14ac:dyDescent="0.3">
      <c r="A42" s="1"/>
      <c r="B42" s="1"/>
      <c r="C42" s="1"/>
      <c r="D42" s="1"/>
      <c r="E42" s="2"/>
      <c r="F42" s="1"/>
      <c r="G42" s="1"/>
      <c r="H42" s="1"/>
      <c r="I42" s="1"/>
      <c r="J42" s="1"/>
      <c r="K42" s="1"/>
      <c r="L42" s="1"/>
      <c r="M42" s="1"/>
      <c r="N42" s="1"/>
      <c r="O42" s="1"/>
      <c r="P42" s="1"/>
      <c r="Q42" s="1"/>
      <c r="R42" s="1"/>
      <c r="S42" s="1"/>
      <c r="T42" s="1"/>
    </row>
    <row r="43" spans="1:20" x14ac:dyDescent="0.3">
      <c r="A43" s="1"/>
      <c r="B43" s="1"/>
      <c r="C43" s="1"/>
      <c r="D43" s="1"/>
      <c r="E43" s="2"/>
      <c r="F43" s="1"/>
      <c r="G43" s="1"/>
      <c r="H43" s="1"/>
      <c r="I43" s="1"/>
      <c r="J43" s="1"/>
      <c r="K43" s="1"/>
      <c r="L43" s="1"/>
      <c r="M43" s="1"/>
      <c r="N43" s="1"/>
      <c r="O43" s="1"/>
      <c r="P43" s="1"/>
      <c r="Q43" s="1"/>
      <c r="R43" s="1"/>
      <c r="S43" s="1"/>
      <c r="T43" s="1"/>
    </row>
    <row r="44" spans="1:20" x14ac:dyDescent="0.3">
      <c r="A44" s="1"/>
      <c r="B44" s="1"/>
      <c r="C44" s="1"/>
      <c r="D44" s="1"/>
      <c r="E44" s="2"/>
      <c r="F44" s="1"/>
      <c r="G44" s="1"/>
      <c r="H44" s="1"/>
      <c r="I44" s="1"/>
      <c r="J44" s="1"/>
      <c r="K44" s="1"/>
      <c r="L44" s="1"/>
      <c r="M44" s="1"/>
      <c r="N44" s="1"/>
      <c r="O44" s="1"/>
      <c r="P44" s="1"/>
      <c r="Q44" s="1"/>
      <c r="R44" s="1"/>
      <c r="S44" s="1"/>
      <c r="T44" s="1"/>
    </row>
    <row r="45" spans="1:20" x14ac:dyDescent="0.3">
      <c r="A45" s="1"/>
      <c r="B45" s="1"/>
      <c r="C45" s="1"/>
      <c r="D45" s="1"/>
      <c r="E45" s="2"/>
      <c r="F45" s="1"/>
      <c r="G45" s="1"/>
      <c r="H45" s="1"/>
      <c r="I45" s="1"/>
      <c r="J45" s="1"/>
      <c r="K45" s="1"/>
      <c r="L45" s="1"/>
      <c r="M45" s="1"/>
      <c r="N45" s="1"/>
      <c r="O45" s="1"/>
      <c r="P45" s="1"/>
      <c r="Q45" s="1"/>
      <c r="R45" s="1"/>
      <c r="S45" s="1"/>
      <c r="T45" s="1"/>
    </row>
    <row r="46" spans="1:20" x14ac:dyDescent="0.3">
      <c r="A46" s="1"/>
      <c r="B46" s="1"/>
      <c r="C46" s="1"/>
      <c r="D46" s="1"/>
      <c r="E46" s="2"/>
      <c r="F46" s="1"/>
      <c r="G46" s="1"/>
      <c r="H46" s="1"/>
      <c r="I46" s="1"/>
      <c r="J46" s="1"/>
      <c r="K46" s="1"/>
      <c r="L46" s="1"/>
      <c r="M46" s="1"/>
      <c r="N46" s="1"/>
      <c r="O46" s="1"/>
      <c r="P46" s="1"/>
      <c r="Q46" s="1"/>
      <c r="R46" s="1"/>
      <c r="S46" s="1"/>
      <c r="T46" s="1"/>
    </row>
    <row r="47" spans="1:20" x14ac:dyDescent="0.3">
      <c r="A47" s="1"/>
      <c r="B47" s="1"/>
      <c r="C47" s="1"/>
      <c r="D47" s="1"/>
      <c r="E47" s="2"/>
      <c r="F47" s="1"/>
      <c r="G47" s="1"/>
      <c r="H47" s="1"/>
      <c r="I47" s="1"/>
      <c r="J47" s="1"/>
      <c r="K47" s="1"/>
      <c r="L47" s="1"/>
      <c r="M47" s="1"/>
      <c r="N47" s="1"/>
      <c r="O47" s="1"/>
      <c r="P47" s="1"/>
      <c r="Q47" s="1"/>
      <c r="R47" s="1"/>
      <c r="S47" s="1"/>
      <c r="T47" s="1"/>
    </row>
    <row r="48" spans="1:20" x14ac:dyDescent="0.3">
      <c r="A48" s="1"/>
      <c r="B48" s="1"/>
      <c r="C48" s="1"/>
      <c r="D48" s="1"/>
      <c r="E48" s="2"/>
      <c r="F48" s="1"/>
      <c r="G48" s="1"/>
      <c r="H48" s="1"/>
      <c r="I48" s="1"/>
      <c r="J48" s="1"/>
      <c r="K48" s="1"/>
      <c r="L48" s="1"/>
      <c r="M48" s="1"/>
      <c r="N48" s="1"/>
      <c r="O48" s="1"/>
      <c r="P48" s="1"/>
      <c r="Q48" s="1"/>
      <c r="R48" s="1"/>
      <c r="S48" s="1"/>
      <c r="T48" s="1"/>
    </row>
    <row r="49" spans="1:20" x14ac:dyDescent="0.3">
      <c r="A49" s="1"/>
      <c r="B49" s="1"/>
      <c r="C49" s="1"/>
      <c r="D49" s="1"/>
      <c r="E49" s="2"/>
      <c r="F49" s="1"/>
      <c r="G49" s="1"/>
      <c r="H49" s="1"/>
      <c r="I49" s="1"/>
      <c r="J49" s="1"/>
      <c r="K49" s="1"/>
      <c r="L49" s="1"/>
      <c r="M49" s="1"/>
      <c r="N49" s="1"/>
      <c r="O49" s="1"/>
      <c r="P49" s="1"/>
      <c r="Q49" s="1"/>
      <c r="R49" s="1"/>
      <c r="S49" s="1"/>
      <c r="T49" s="1"/>
    </row>
    <row r="50" spans="1:20" x14ac:dyDescent="0.3">
      <c r="A50" s="1"/>
      <c r="B50" s="1"/>
      <c r="C50" s="1"/>
      <c r="D50" s="1"/>
      <c r="E50" s="2"/>
      <c r="F50" s="1"/>
      <c r="G50" s="1"/>
      <c r="H50" s="1"/>
      <c r="I50" s="1"/>
      <c r="J50" s="1"/>
      <c r="K50" s="1"/>
      <c r="L50" s="1"/>
      <c r="M50" s="1"/>
      <c r="N50" s="1"/>
      <c r="O50" s="1"/>
      <c r="P50" s="1"/>
      <c r="Q50" s="1"/>
      <c r="R50" s="1"/>
      <c r="S50" s="1"/>
      <c r="T50" s="1"/>
    </row>
    <row r="51" spans="1:20" x14ac:dyDescent="0.3">
      <c r="A51" s="1"/>
      <c r="B51" s="1"/>
      <c r="C51" s="1"/>
      <c r="D51" s="1"/>
      <c r="E51" s="2"/>
      <c r="F51" s="1"/>
      <c r="G51" s="1"/>
      <c r="H51" s="1"/>
      <c r="I51" s="1"/>
      <c r="J51" s="1"/>
      <c r="K51" s="1"/>
      <c r="L51" s="1"/>
      <c r="M51" s="1"/>
      <c r="N51" s="1"/>
      <c r="O51" s="1"/>
      <c r="P51" s="1"/>
      <c r="Q51" s="1"/>
      <c r="R51" s="1"/>
      <c r="S51" s="1"/>
      <c r="T51" s="1"/>
    </row>
    <row r="52" spans="1:20" x14ac:dyDescent="0.3">
      <c r="A52" s="1"/>
      <c r="B52" s="1"/>
      <c r="C52" s="1"/>
      <c r="D52" s="1"/>
      <c r="E52" s="2"/>
      <c r="F52" s="1"/>
      <c r="G52" s="1"/>
      <c r="H52" s="1"/>
      <c r="I52" s="1"/>
      <c r="J52" s="1"/>
      <c r="K52" s="1"/>
      <c r="L52" s="1"/>
      <c r="M52" s="1"/>
      <c r="N52" s="1"/>
      <c r="O52" s="1"/>
      <c r="P52" s="1"/>
      <c r="Q52" s="1"/>
      <c r="R52" s="1"/>
      <c r="S52" s="1"/>
      <c r="T52" s="1"/>
    </row>
    <row r="53" spans="1:20" x14ac:dyDescent="0.3">
      <c r="A53" s="1"/>
      <c r="B53" s="1"/>
      <c r="C53" s="1"/>
      <c r="D53" s="1"/>
      <c r="E53" s="2"/>
      <c r="F53" s="1"/>
      <c r="G53" s="1"/>
      <c r="H53" s="1"/>
      <c r="I53" s="1"/>
      <c r="J53" s="1"/>
      <c r="K53" s="1"/>
      <c r="L53" s="1"/>
      <c r="M53" s="1"/>
      <c r="N53" s="1"/>
      <c r="O53" s="1"/>
      <c r="P53" s="1"/>
      <c r="Q53" s="1"/>
      <c r="R53" s="1"/>
      <c r="S53" s="1"/>
      <c r="T53" s="1"/>
    </row>
    <row r="54" spans="1:20" x14ac:dyDescent="0.3">
      <c r="A54" s="1"/>
      <c r="B54" s="1"/>
      <c r="C54" s="1"/>
      <c r="D54" s="1"/>
      <c r="E54" s="2"/>
      <c r="F54" s="1"/>
      <c r="G54" s="1"/>
      <c r="H54" s="1"/>
      <c r="I54" s="1"/>
      <c r="J54" s="1"/>
      <c r="K54" s="1"/>
      <c r="L54" s="1"/>
      <c r="M54" s="1"/>
      <c r="N54" s="1"/>
      <c r="O54" s="1"/>
      <c r="P54" s="1"/>
      <c r="Q54" s="1"/>
      <c r="R54" s="1"/>
      <c r="S54" s="1"/>
      <c r="T54" s="1"/>
    </row>
    <row r="55" spans="1:20" x14ac:dyDescent="0.3">
      <c r="A55" s="1"/>
      <c r="B55" s="1"/>
      <c r="C55" s="1"/>
      <c r="D55" s="1"/>
      <c r="E55" s="2"/>
      <c r="F55" s="1"/>
      <c r="G55" s="1"/>
      <c r="H55" s="1"/>
      <c r="I55" s="1"/>
      <c r="J55" s="1"/>
      <c r="K55" s="1"/>
      <c r="L55" s="1"/>
      <c r="M55" s="1"/>
      <c r="N55" s="1"/>
      <c r="O55" s="1"/>
      <c r="P55" s="1"/>
      <c r="Q55" s="1"/>
      <c r="R55" s="1"/>
      <c r="S55" s="1"/>
      <c r="T55" s="1"/>
    </row>
    <row r="56" spans="1:20" x14ac:dyDescent="0.3">
      <c r="A56" s="1"/>
      <c r="B56" s="1"/>
      <c r="C56" s="1"/>
      <c r="D56" s="1"/>
      <c r="E56" s="2"/>
      <c r="F56" s="1"/>
      <c r="G56" s="1"/>
      <c r="H56" s="1"/>
      <c r="I56" s="1"/>
      <c r="J56" s="1"/>
      <c r="K56" s="1"/>
      <c r="L56" s="1"/>
      <c r="M56" s="1"/>
      <c r="N56" s="1"/>
      <c r="O56" s="1"/>
      <c r="P56" s="1"/>
      <c r="Q56" s="1"/>
      <c r="R56" s="1"/>
      <c r="S56" s="1"/>
      <c r="T56" s="1"/>
    </row>
    <row r="57" spans="1:20" x14ac:dyDescent="0.3">
      <c r="A57" s="1"/>
      <c r="B57" s="1"/>
      <c r="C57" s="1"/>
      <c r="D57" s="1"/>
      <c r="E57" s="2"/>
      <c r="F57" s="1"/>
      <c r="G57" s="1"/>
      <c r="H57" s="1"/>
      <c r="I57" s="1"/>
      <c r="J57" s="1"/>
      <c r="K57" s="1"/>
      <c r="L57" s="1"/>
      <c r="M57" s="1"/>
      <c r="N57" s="1"/>
      <c r="O57" s="1"/>
      <c r="P57" s="1"/>
      <c r="Q57" s="1"/>
      <c r="R57" s="1"/>
      <c r="S57" s="1"/>
      <c r="T57" s="1"/>
    </row>
    <row r="58" spans="1:20" x14ac:dyDescent="0.3">
      <c r="A58" s="1"/>
      <c r="B58" s="1"/>
      <c r="C58" s="1"/>
      <c r="D58" s="1"/>
      <c r="E58" s="2"/>
      <c r="F58" s="1"/>
      <c r="G58" s="1"/>
      <c r="H58" s="1"/>
      <c r="I58" s="1"/>
      <c r="J58" s="1"/>
      <c r="K58" s="1"/>
      <c r="L58" s="1"/>
      <c r="M58" s="1"/>
      <c r="N58" s="1"/>
      <c r="O58" s="1"/>
      <c r="P58" s="1"/>
      <c r="Q58" s="1"/>
      <c r="R58" s="1"/>
      <c r="S58" s="1"/>
      <c r="T58" s="1"/>
    </row>
    <row r="59" spans="1:20" x14ac:dyDescent="0.3">
      <c r="A59" s="1"/>
      <c r="B59" s="1"/>
      <c r="C59" s="1"/>
      <c r="D59" s="1"/>
      <c r="E59" s="2"/>
      <c r="F59" s="1"/>
      <c r="G59" s="1"/>
      <c r="H59" s="1"/>
      <c r="I59" s="1"/>
      <c r="J59" s="1"/>
      <c r="K59" s="1"/>
      <c r="L59" s="1"/>
      <c r="M59" s="1"/>
      <c r="N59" s="1"/>
      <c r="O59" s="1"/>
      <c r="P59" s="1"/>
      <c r="Q59" s="1"/>
      <c r="R59" s="1"/>
      <c r="S59" s="1"/>
      <c r="T59" s="1"/>
    </row>
    <row r="60" spans="1:20" x14ac:dyDescent="0.3">
      <c r="A60" s="1"/>
      <c r="B60" s="1"/>
      <c r="C60" s="1"/>
      <c r="D60" s="1"/>
      <c r="E60" s="2"/>
      <c r="F60" s="1"/>
      <c r="G60" s="1"/>
      <c r="H60" s="1"/>
      <c r="I60" s="1"/>
      <c r="J60" s="1"/>
      <c r="K60" s="1"/>
      <c r="L60" s="1"/>
      <c r="M60" s="1"/>
      <c r="N60" s="1"/>
      <c r="O60" s="1"/>
      <c r="P60" s="1"/>
      <c r="Q60" s="1"/>
      <c r="R60" s="1"/>
      <c r="S60" s="1"/>
      <c r="T60" s="1"/>
    </row>
    <row r="61" spans="1:20" x14ac:dyDescent="0.3">
      <c r="A61" s="1"/>
      <c r="B61" s="1"/>
      <c r="C61" s="1"/>
      <c r="D61" s="1"/>
      <c r="E61" s="2"/>
      <c r="F61" s="1"/>
      <c r="G61" s="1"/>
      <c r="H61" s="1"/>
      <c r="I61" s="1"/>
      <c r="J61" s="1"/>
      <c r="K61" s="1"/>
      <c r="L61" s="1"/>
      <c r="M61" s="1"/>
      <c r="N61" s="1"/>
      <c r="O61" s="1"/>
      <c r="P61" s="1"/>
      <c r="Q61" s="1"/>
      <c r="R61" s="1"/>
      <c r="S61" s="1"/>
      <c r="T61" s="1"/>
    </row>
    <row r="62" spans="1:20" x14ac:dyDescent="0.3">
      <c r="A62" s="1"/>
      <c r="B62" s="1"/>
      <c r="C62" s="1"/>
      <c r="D62" s="1"/>
      <c r="E62" s="2"/>
      <c r="F62" s="1"/>
      <c r="G62" s="1"/>
      <c r="H62" s="1"/>
      <c r="I62" s="1"/>
      <c r="J62" s="1"/>
      <c r="K62" s="1"/>
      <c r="L62" s="1"/>
      <c r="M62" s="1"/>
      <c r="N62" s="1"/>
      <c r="O62" s="1"/>
      <c r="P62" s="1"/>
      <c r="Q62" s="1"/>
      <c r="R62" s="1"/>
      <c r="S62" s="1"/>
      <c r="T62" s="1"/>
    </row>
    <row r="63" spans="1:20" x14ac:dyDescent="0.3">
      <c r="A63" s="1"/>
      <c r="B63" s="1"/>
      <c r="C63" s="1"/>
      <c r="D63" s="1"/>
      <c r="E63" s="2"/>
      <c r="F63" s="1"/>
      <c r="G63" s="1"/>
      <c r="H63" s="1"/>
      <c r="I63" s="1"/>
      <c r="J63" s="1"/>
      <c r="K63" s="1"/>
      <c r="L63" s="1"/>
      <c r="M63" s="1"/>
      <c r="N63" s="1"/>
      <c r="O63" s="1"/>
      <c r="P63" s="1"/>
      <c r="Q63" s="1"/>
      <c r="R63" s="1"/>
      <c r="S63" s="1"/>
      <c r="T63" s="1"/>
    </row>
    <row r="64" spans="1:20" x14ac:dyDescent="0.3">
      <c r="A64" s="1"/>
      <c r="B64" s="1"/>
      <c r="C64" s="1"/>
      <c r="D64" s="1"/>
      <c r="E64" s="2"/>
      <c r="F64" s="1"/>
      <c r="G64" s="1"/>
      <c r="H64" s="1"/>
      <c r="I64" s="1"/>
      <c r="J64" s="1"/>
      <c r="K64" s="1"/>
      <c r="L64" s="1"/>
      <c r="M64" s="1"/>
      <c r="N64" s="1"/>
      <c r="O64" s="1"/>
      <c r="P64" s="1"/>
      <c r="Q64" s="1"/>
      <c r="R64" s="1"/>
      <c r="S64" s="1"/>
      <c r="T64" s="1"/>
    </row>
    <row r="65" spans="1:20" x14ac:dyDescent="0.3">
      <c r="A65" s="1"/>
      <c r="B65" s="1"/>
      <c r="C65" s="1"/>
      <c r="D65" s="1"/>
      <c r="E65" s="2"/>
      <c r="F65" s="1"/>
      <c r="G65" s="1"/>
      <c r="H65" s="1"/>
      <c r="I65" s="1"/>
      <c r="J65" s="1"/>
      <c r="K65" s="1"/>
      <c r="L65" s="1"/>
      <c r="M65" s="1"/>
      <c r="N65" s="1"/>
      <c r="O65" s="1"/>
      <c r="P65" s="1"/>
      <c r="Q65" s="1"/>
      <c r="R65" s="1"/>
      <c r="S65" s="1"/>
      <c r="T65" s="1"/>
    </row>
    <row r="66" spans="1:20" x14ac:dyDescent="0.3">
      <c r="A66" s="1"/>
      <c r="B66" s="1"/>
      <c r="C66" s="1"/>
      <c r="D66" s="1"/>
      <c r="E66" s="2"/>
      <c r="F66" s="1"/>
      <c r="G66" s="1"/>
      <c r="H66" s="1"/>
      <c r="I66" s="1"/>
      <c r="J66" s="1"/>
      <c r="K66" s="1"/>
      <c r="L66" s="1"/>
      <c r="M66" s="1"/>
      <c r="N66" s="1"/>
      <c r="O66" s="1"/>
      <c r="P66" s="1"/>
      <c r="Q66" s="1"/>
      <c r="R66" s="1"/>
      <c r="S66" s="1"/>
      <c r="T66" s="1"/>
    </row>
    <row r="67" spans="1:20" x14ac:dyDescent="0.3">
      <c r="A67" s="1"/>
      <c r="B67" s="1"/>
      <c r="C67" s="1"/>
      <c r="D67" s="1"/>
      <c r="E67" s="2"/>
      <c r="F67" s="1"/>
      <c r="G67" s="1"/>
      <c r="H67" s="1"/>
      <c r="I67" s="1"/>
      <c r="J67" s="1"/>
      <c r="K67" s="1"/>
      <c r="L67" s="1"/>
      <c r="M67" s="1"/>
      <c r="N67" s="1"/>
      <c r="O67" s="1"/>
      <c r="P67" s="1"/>
      <c r="Q67" s="1"/>
      <c r="R67" s="1"/>
      <c r="S67" s="1"/>
      <c r="T67" s="1"/>
    </row>
    <row r="68" spans="1:20" x14ac:dyDescent="0.3">
      <c r="A68" s="1"/>
      <c r="B68" s="1"/>
      <c r="C68" s="1"/>
      <c r="D68" s="1"/>
      <c r="E68" s="2"/>
      <c r="F68" s="1"/>
      <c r="G68" s="1"/>
      <c r="H68" s="1"/>
      <c r="I68" s="1"/>
      <c r="J68" s="1"/>
      <c r="K68" s="1"/>
      <c r="L68" s="1"/>
      <c r="M68" s="1"/>
      <c r="N68" s="1"/>
      <c r="O68" s="1"/>
      <c r="P68" s="1"/>
      <c r="Q68" s="1"/>
      <c r="R68" s="1"/>
      <c r="S68" s="1"/>
      <c r="T68" s="1"/>
    </row>
    <row r="69" spans="1:20" x14ac:dyDescent="0.3">
      <c r="A69" s="1"/>
      <c r="B69" s="1"/>
      <c r="C69" s="1"/>
      <c r="D69" s="1"/>
      <c r="E69" s="2"/>
      <c r="F69" s="1"/>
      <c r="G69" s="1"/>
      <c r="H69" s="1"/>
      <c r="I69" s="1"/>
      <c r="J69" s="1"/>
      <c r="K69" s="1"/>
      <c r="L69" s="1"/>
      <c r="M69" s="1"/>
      <c r="N69" s="1"/>
      <c r="O69" s="1"/>
      <c r="P69" s="1"/>
      <c r="Q69" s="1"/>
      <c r="R69" s="1"/>
      <c r="S69" s="1"/>
      <c r="T69" s="1"/>
    </row>
    <row r="70" spans="1:20" x14ac:dyDescent="0.3">
      <c r="A70" s="1"/>
      <c r="B70" s="1"/>
      <c r="C70" s="1"/>
      <c r="D70" s="1"/>
      <c r="E70" s="2"/>
      <c r="F70" s="1"/>
      <c r="G70" s="1"/>
      <c r="H70" s="1"/>
      <c r="I70" s="1"/>
      <c r="J70" s="1"/>
      <c r="K70" s="1"/>
      <c r="L70" s="1"/>
      <c r="M70" s="1"/>
      <c r="N70" s="1"/>
      <c r="O70" s="1"/>
      <c r="P70" s="1"/>
      <c r="Q70" s="1"/>
      <c r="R70" s="1"/>
      <c r="S70" s="1"/>
      <c r="T70" s="1"/>
    </row>
    <row r="71" spans="1:20" x14ac:dyDescent="0.3">
      <c r="A71" s="1"/>
      <c r="B71" s="1"/>
      <c r="C71" s="1"/>
      <c r="D71" s="1"/>
      <c r="E71" s="2"/>
      <c r="F71" s="1"/>
      <c r="G71" s="1"/>
      <c r="H71" s="1"/>
      <c r="I71" s="1"/>
      <c r="J71" s="1"/>
      <c r="K71" s="1"/>
      <c r="L71" s="1"/>
      <c r="M71" s="1"/>
      <c r="N71" s="1"/>
      <c r="O71" s="1"/>
      <c r="P71" s="1"/>
      <c r="Q71" s="1"/>
      <c r="R71" s="1"/>
      <c r="S71" s="1"/>
      <c r="T71" s="1"/>
    </row>
    <row r="72" spans="1:20" x14ac:dyDescent="0.3">
      <c r="A72" s="1"/>
      <c r="B72" s="1"/>
      <c r="C72" s="1"/>
      <c r="D72" s="1"/>
      <c r="E72" s="2"/>
      <c r="F72" s="1"/>
      <c r="G72" s="1"/>
      <c r="H72" s="1"/>
      <c r="I72" s="1"/>
      <c r="J72" s="1"/>
      <c r="K72" s="1"/>
      <c r="L72" s="1"/>
      <c r="M72" s="1"/>
      <c r="N72" s="1"/>
      <c r="O72" s="1"/>
      <c r="P72" s="1"/>
      <c r="Q72" s="1"/>
      <c r="R72" s="1"/>
      <c r="S72" s="1"/>
      <c r="T72" s="1"/>
    </row>
    <row r="73" spans="1:20" x14ac:dyDescent="0.3">
      <c r="A73" s="1"/>
      <c r="B73" s="1"/>
      <c r="C73" s="1"/>
      <c r="D73" s="1"/>
      <c r="E73" s="2"/>
      <c r="F73" s="1"/>
      <c r="G73" s="1"/>
      <c r="H73" s="1"/>
      <c r="I73" s="1"/>
      <c r="J73" s="1"/>
      <c r="K73" s="1"/>
      <c r="L73" s="1"/>
      <c r="M73" s="1"/>
      <c r="N73" s="1"/>
      <c r="O73" s="1"/>
      <c r="P73" s="1"/>
      <c r="Q73" s="1"/>
      <c r="R73" s="1"/>
      <c r="S73" s="1"/>
      <c r="T73" s="1"/>
    </row>
    <row r="74" spans="1:20" x14ac:dyDescent="0.3">
      <c r="A74" s="1"/>
      <c r="B74" s="1"/>
      <c r="C74" s="1"/>
      <c r="D74" s="1"/>
      <c r="E74" s="2"/>
      <c r="F74" s="1"/>
      <c r="G74" s="1"/>
      <c r="H74" s="1"/>
      <c r="I74" s="1"/>
      <c r="J74" s="1"/>
      <c r="K74" s="1"/>
      <c r="L74" s="1"/>
      <c r="M74" s="1"/>
      <c r="N74" s="1"/>
      <c r="O74" s="1"/>
      <c r="P74" s="1"/>
      <c r="Q74" s="1"/>
      <c r="R74" s="1"/>
      <c r="S74" s="1"/>
      <c r="T74" s="1"/>
    </row>
    <row r="75" spans="1:20" x14ac:dyDescent="0.3">
      <c r="A75" s="1"/>
      <c r="B75" s="1"/>
      <c r="C75" s="1"/>
      <c r="D75" s="1"/>
      <c r="E75" s="2"/>
      <c r="F75" s="1"/>
      <c r="G75" s="1"/>
      <c r="H75" s="1"/>
      <c r="I75" s="1"/>
      <c r="J75" s="1"/>
      <c r="K75" s="1"/>
      <c r="L75" s="1"/>
      <c r="M75" s="1"/>
      <c r="N75" s="1"/>
      <c r="O75" s="1"/>
      <c r="P75" s="1"/>
      <c r="Q75" s="1"/>
      <c r="R75" s="1"/>
      <c r="S75" s="1"/>
      <c r="T75" s="1"/>
    </row>
    <row r="76" spans="1:20" x14ac:dyDescent="0.3">
      <c r="A76" s="1"/>
      <c r="B76" s="1"/>
      <c r="C76" s="1"/>
      <c r="D76" s="1"/>
      <c r="E76" s="2"/>
      <c r="F76" s="1"/>
      <c r="G76" s="1"/>
      <c r="H76" s="1"/>
      <c r="I76" s="1"/>
      <c r="J76" s="1"/>
      <c r="K76" s="1"/>
      <c r="L76" s="1"/>
      <c r="M76" s="1"/>
      <c r="N76" s="1"/>
      <c r="O76" s="1"/>
      <c r="P76" s="1"/>
      <c r="Q76" s="1"/>
      <c r="R76" s="1"/>
      <c r="S76" s="1"/>
      <c r="T76" s="1"/>
    </row>
    <row r="77" spans="1:20" x14ac:dyDescent="0.3">
      <c r="A77" s="1"/>
      <c r="B77" s="1"/>
      <c r="C77" s="1"/>
      <c r="D77" s="1"/>
      <c r="E77" s="2"/>
      <c r="F77" s="1"/>
      <c r="G77" s="1"/>
      <c r="H77" s="1"/>
      <c r="I77" s="1"/>
      <c r="J77" s="1"/>
      <c r="K77" s="1"/>
      <c r="L77" s="1"/>
      <c r="M77" s="1"/>
      <c r="N77" s="1"/>
      <c r="O77" s="1"/>
      <c r="P77" s="1"/>
      <c r="Q77" s="1"/>
      <c r="R77" s="1"/>
      <c r="S77" s="1"/>
      <c r="T77" s="1"/>
    </row>
    <row r="78" spans="1:20" x14ac:dyDescent="0.3">
      <c r="A78" s="1"/>
      <c r="B78" s="1"/>
      <c r="C78" s="1"/>
      <c r="D78" s="1"/>
      <c r="E78" s="2"/>
      <c r="F78" s="1"/>
      <c r="G78" s="1"/>
      <c r="H78" s="1"/>
      <c r="I78" s="1"/>
      <c r="J78" s="1"/>
      <c r="K78" s="1"/>
      <c r="L78" s="1"/>
      <c r="M78" s="1"/>
      <c r="N78" s="1"/>
      <c r="O78" s="1"/>
      <c r="P78" s="1"/>
      <c r="Q78" s="1"/>
      <c r="R78" s="1"/>
      <c r="S78" s="1"/>
      <c r="T78" s="1"/>
    </row>
    <row r="79" spans="1:20" x14ac:dyDescent="0.3">
      <c r="A79" s="1"/>
      <c r="B79" s="1"/>
      <c r="C79" s="1"/>
      <c r="D79" s="1"/>
      <c r="E79" s="2"/>
      <c r="F79" s="1"/>
      <c r="G79" s="1"/>
      <c r="H79" s="1"/>
      <c r="I79" s="1"/>
      <c r="J79" s="1"/>
      <c r="K79" s="1"/>
      <c r="L79" s="1"/>
      <c r="M79" s="1"/>
      <c r="N79" s="1"/>
      <c r="O79" s="1"/>
      <c r="P79" s="1"/>
      <c r="Q79" s="1"/>
      <c r="R79" s="1"/>
      <c r="S79" s="1"/>
      <c r="T79" s="1"/>
    </row>
    <row r="80" spans="1:20" x14ac:dyDescent="0.3">
      <c r="A80" s="1"/>
      <c r="B80" s="1"/>
      <c r="C80" s="1"/>
      <c r="D80" s="1"/>
      <c r="E80" s="2"/>
      <c r="F80" s="1"/>
      <c r="G80" s="1"/>
      <c r="H80" s="1"/>
      <c r="I80" s="1"/>
      <c r="J80" s="1"/>
      <c r="K80" s="1"/>
      <c r="L80" s="1"/>
      <c r="M80" s="1"/>
      <c r="N80" s="1"/>
      <c r="O80" s="1"/>
      <c r="P80" s="1"/>
      <c r="Q80" s="1"/>
      <c r="R80" s="1"/>
      <c r="S80" s="1"/>
      <c r="T80" s="1"/>
    </row>
    <row r="81" spans="1:20" x14ac:dyDescent="0.3">
      <c r="A81" s="1"/>
      <c r="B81" s="1"/>
      <c r="C81" s="1"/>
      <c r="D81" s="1"/>
      <c r="E81" s="2"/>
      <c r="F81" s="1"/>
      <c r="G81" s="1"/>
      <c r="H81" s="1"/>
      <c r="I81" s="1"/>
      <c r="J81" s="1"/>
      <c r="K81" s="1"/>
      <c r="L81" s="1"/>
      <c r="M81" s="1"/>
      <c r="N81" s="1"/>
      <c r="O81" s="1"/>
      <c r="P81" s="1"/>
      <c r="Q81" s="1"/>
      <c r="R81" s="1"/>
      <c r="S81" s="1"/>
      <c r="T81" s="1"/>
    </row>
    <row r="82" spans="1:20" x14ac:dyDescent="0.3">
      <c r="A82" s="1"/>
      <c r="B82" s="1"/>
      <c r="C82" s="1"/>
      <c r="D82" s="1"/>
      <c r="E82" s="2"/>
      <c r="F82" s="1"/>
      <c r="G82" s="1"/>
      <c r="H82" s="1"/>
      <c r="I82" s="1"/>
      <c r="J82" s="1"/>
      <c r="K82" s="1"/>
      <c r="L82" s="1"/>
      <c r="M82" s="1"/>
      <c r="N82" s="1"/>
      <c r="O82" s="1"/>
      <c r="P82" s="1"/>
      <c r="Q82" s="1"/>
      <c r="R82" s="1"/>
      <c r="S82" s="1"/>
      <c r="T82" s="1"/>
    </row>
    <row r="83" spans="1:20" x14ac:dyDescent="0.3">
      <c r="A83" s="1"/>
      <c r="B83" s="1"/>
      <c r="C83" s="1"/>
      <c r="D83" s="1"/>
      <c r="E83" s="2"/>
      <c r="F83" s="1"/>
      <c r="G83" s="1"/>
      <c r="H83" s="1"/>
      <c r="I83" s="1"/>
      <c r="J83" s="1"/>
      <c r="K83" s="1"/>
      <c r="L83" s="1"/>
      <c r="M83" s="1"/>
      <c r="N83" s="1"/>
      <c r="O83" s="1"/>
      <c r="P83" s="1"/>
      <c r="Q83" s="1"/>
      <c r="R83" s="1"/>
      <c r="S83" s="1"/>
      <c r="T83" s="1"/>
    </row>
    <row r="84" spans="1:20" x14ac:dyDescent="0.3">
      <c r="A84" s="1"/>
      <c r="B84" s="1"/>
      <c r="C84" s="1"/>
      <c r="D84" s="1"/>
      <c r="E84" s="2"/>
      <c r="F84" s="1"/>
      <c r="G84" s="1"/>
      <c r="H84" s="1"/>
      <c r="I84" s="1"/>
      <c r="J84" s="1"/>
      <c r="K84" s="1"/>
      <c r="L84" s="1"/>
      <c r="M84" s="1"/>
      <c r="N84" s="1"/>
      <c r="O84" s="1"/>
      <c r="P84" s="1"/>
      <c r="Q84" s="1"/>
      <c r="R84" s="1"/>
      <c r="S84" s="1"/>
      <c r="T84" s="1"/>
    </row>
    <row r="85" spans="1:20" x14ac:dyDescent="0.3">
      <c r="A85" s="1"/>
      <c r="B85" s="1"/>
      <c r="C85" s="1"/>
      <c r="D85" s="1"/>
      <c r="E85" s="2"/>
      <c r="F85" s="1"/>
      <c r="G85" s="1"/>
      <c r="H85" s="1"/>
      <c r="I85" s="1"/>
      <c r="J85" s="1"/>
      <c r="K85" s="1"/>
      <c r="L85" s="1"/>
      <c r="M85" s="1"/>
      <c r="N85" s="1"/>
      <c r="O85" s="1"/>
      <c r="P85" s="1"/>
      <c r="Q85" s="1"/>
      <c r="R85" s="1"/>
      <c r="S85" s="1"/>
      <c r="T85" s="1"/>
    </row>
    <row r="86" spans="1:20" x14ac:dyDescent="0.3">
      <c r="A86" s="1"/>
      <c r="B86" s="1"/>
      <c r="C86" s="1"/>
      <c r="D86" s="1"/>
      <c r="E86" s="2"/>
      <c r="F86" s="1"/>
      <c r="G86" s="1"/>
      <c r="H86" s="1"/>
      <c r="I86" s="1"/>
      <c r="J86" s="1"/>
      <c r="K86" s="1"/>
      <c r="L86" s="1"/>
      <c r="M86" s="1"/>
      <c r="N86" s="1"/>
      <c r="O86" s="1"/>
      <c r="P86" s="1"/>
      <c r="Q86" s="1"/>
      <c r="R86" s="1"/>
      <c r="S86" s="1"/>
      <c r="T86" s="1"/>
    </row>
    <row r="87" spans="1:20" x14ac:dyDescent="0.3">
      <c r="A87" s="1"/>
      <c r="B87" s="1"/>
      <c r="C87" s="1"/>
      <c r="D87" s="1"/>
      <c r="E87" s="2"/>
      <c r="F87" s="1"/>
      <c r="G87" s="1"/>
      <c r="H87" s="1"/>
      <c r="I87" s="1"/>
      <c r="J87" s="1"/>
      <c r="K87" s="1"/>
      <c r="L87" s="1"/>
      <c r="M87" s="1"/>
      <c r="N87" s="1"/>
      <c r="O87" s="1"/>
      <c r="P87" s="1"/>
      <c r="Q87" s="1"/>
      <c r="R87" s="1"/>
      <c r="S87" s="1"/>
      <c r="T87" s="1"/>
    </row>
    <row r="88" spans="1:20" x14ac:dyDescent="0.3">
      <c r="A88" s="1"/>
      <c r="B88" s="1"/>
      <c r="C88" s="1"/>
      <c r="D88" s="1"/>
      <c r="E88" s="2"/>
      <c r="F88" s="1"/>
      <c r="G88" s="1"/>
      <c r="H88" s="1"/>
      <c r="I88" s="1"/>
      <c r="J88" s="1"/>
      <c r="K88" s="1"/>
      <c r="L88" s="1"/>
      <c r="M88" s="1"/>
      <c r="N88" s="1"/>
      <c r="O88" s="1"/>
      <c r="P88" s="1"/>
      <c r="Q88" s="1"/>
      <c r="R88" s="1"/>
      <c r="S88" s="1"/>
      <c r="T88" s="1"/>
    </row>
    <row r="89" spans="1:20" x14ac:dyDescent="0.3">
      <c r="A89" s="1"/>
      <c r="B89" s="1"/>
      <c r="C89" s="1"/>
      <c r="D89" s="1"/>
      <c r="E89" s="2"/>
      <c r="F89" s="1"/>
      <c r="G89" s="1"/>
      <c r="H89" s="1"/>
      <c r="I89" s="1"/>
      <c r="J89" s="1"/>
      <c r="K89" s="1"/>
      <c r="L89" s="1"/>
      <c r="M89" s="1"/>
      <c r="N89" s="1"/>
      <c r="O89" s="1"/>
      <c r="P89" s="1"/>
      <c r="Q89" s="1"/>
      <c r="R89" s="1"/>
      <c r="S89" s="1"/>
      <c r="T89" s="1"/>
    </row>
    <row r="90" spans="1:20" x14ac:dyDescent="0.3">
      <c r="A90" s="1"/>
      <c r="B90" s="1"/>
      <c r="C90" s="1"/>
      <c r="D90" s="1"/>
      <c r="E90" s="2"/>
      <c r="F90" s="1"/>
      <c r="G90" s="1"/>
      <c r="H90" s="1"/>
      <c r="I90" s="1"/>
      <c r="J90" s="1"/>
      <c r="K90" s="1"/>
      <c r="L90" s="1"/>
      <c r="M90" s="1"/>
      <c r="N90" s="1"/>
      <c r="O90" s="1"/>
      <c r="P90" s="1"/>
      <c r="Q90" s="1"/>
      <c r="R90" s="1"/>
      <c r="S90" s="1"/>
      <c r="T90" s="1"/>
    </row>
    <row r="91" spans="1:20" x14ac:dyDescent="0.3">
      <c r="A91" s="1"/>
      <c r="B91" s="1"/>
      <c r="C91" s="1"/>
      <c r="D91" s="1"/>
      <c r="E91" s="2"/>
      <c r="F91" s="1"/>
      <c r="G91" s="1"/>
      <c r="H91" s="1"/>
      <c r="I91" s="1"/>
      <c r="J91" s="1"/>
      <c r="K91" s="1"/>
      <c r="L91" s="1"/>
      <c r="M91" s="1"/>
      <c r="N91" s="1"/>
      <c r="O91" s="1"/>
      <c r="P91" s="1"/>
      <c r="Q91" s="1"/>
      <c r="R91" s="1"/>
      <c r="S91" s="1"/>
      <c r="T91" s="1"/>
    </row>
    <row r="92" spans="1:20" x14ac:dyDescent="0.3">
      <c r="A92" s="1"/>
      <c r="B92" s="1"/>
      <c r="C92" s="1"/>
      <c r="D92" s="1"/>
      <c r="E92" s="2"/>
      <c r="F92" s="1"/>
      <c r="G92" s="1"/>
      <c r="H92" s="1"/>
      <c r="I92" s="1"/>
      <c r="J92" s="1"/>
      <c r="K92" s="1"/>
      <c r="L92" s="1"/>
      <c r="M92" s="1"/>
      <c r="N92" s="1"/>
      <c r="O92" s="1"/>
      <c r="P92" s="1"/>
      <c r="Q92" s="1"/>
      <c r="R92" s="1"/>
      <c r="S92" s="1"/>
      <c r="T92" s="1"/>
    </row>
    <row r="93" spans="1:20" x14ac:dyDescent="0.3">
      <c r="A93" s="1"/>
      <c r="B93" s="1"/>
      <c r="C93" s="1"/>
      <c r="D93" s="1"/>
      <c r="E93" s="2"/>
      <c r="F93" s="1"/>
      <c r="G93" s="1"/>
      <c r="H93" s="1"/>
      <c r="I93" s="1"/>
      <c r="J93" s="1"/>
      <c r="K93" s="1"/>
      <c r="L93" s="1"/>
      <c r="M93" s="1"/>
      <c r="N93" s="1"/>
      <c r="O93" s="1"/>
      <c r="P93" s="1"/>
      <c r="Q93" s="1"/>
      <c r="R93" s="1"/>
      <c r="S93" s="1"/>
      <c r="T93" s="1"/>
    </row>
    <row r="94" spans="1:20" x14ac:dyDescent="0.3">
      <c r="A94" s="1"/>
      <c r="B94" s="1"/>
      <c r="C94" s="1"/>
      <c r="D94" s="1"/>
      <c r="E94" s="2"/>
      <c r="F94" s="1"/>
      <c r="G94" s="1"/>
      <c r="H94" s="1"/>
      <c r="I94" s="1"/>
      <c r="J94" s="1"/>
      <c r="K94" s="1"/>
      <c r="L94" s="1"/>
      <c r="M94" s="1"/>
      <c r="N94" s="1"/>
      <c r="O94" s="1"/>
      <c r="P94" s="1"/>
      <c r="Q94" s="1"/>
      <c r="R94" s="1"/>
      <c r="S94" s="1"/>
      <c r="T94" s="1"/>
    </row>
    <row r="95" spans="1:20" x14ac:dyDescent="0.3">
      <c r="A95" s="1"/>
      <c r="B95" s="1"/>
      <c r="C95" s="1"/>
      <c r="D95" s="1"/>
      <c r="E95" s="2"/>
      <c r="F95" s="1"/>
      <c r="G95" s="1"/>
      <c r="H95" s="1"/>
      <c r="I95" s="1"/>
      <c r="J95" s="1"/>
      <c r="K95" s="1"/>
      <c r="L95" s="1"/>
      <c r="M95" s="1"/>
      <c r="N95" s="1"/>
      <c r="O95" s="1"/>
      <c r="P95" s="1"/>
      <c r="Q95" s="1"/>
      <c r="R95" s="1"/>
      <c r="S95" s="1"/>
      <c r="T95" s="1"/>
    </row>
    <row r="96" spans="1:20" x14ac:dyDescent="0.3">
      <c r="A96" s="1"/>
      <c r="B96" s="1"/>
      <c r="C96" s="1"/>
      <c r="D96" s="1"/>
      <c r="E96" s="2"/>
      <c r="F96" s="1"/>
      <c r="G96" s="1"/>
      <c r="H96" s="1"/>
      <c r="I96" s="1"/>
      <c r="J96" s="1"/>
      <c r="K96" s="1"/>
      <c r="L96" s="1"/>
      <c r="M96" s="1"/>
      <c r="N96" s="1"/>
      <c r="O96" s="1"/>
      <c r="P96" s="1"/>
      <c r="Q96" s="1"/>
      <c r="R96" s="1"/>
      <c r="S96" s="1"/>
      <c r="T96" s="1"/>
    </row>
    <row r="97" spans="1:20" x14ac:dyDescent="0.3">
      <c r="A97" s="1"/>
      <c r="B97" s="1"/>
      <c r="C97" s="1"/>
      <c r="D97" s="1"/>
      <c r="E97" s="2"/>
      <c r="F97" s="1"/>
      <c r="G97" s="1"/>
      <c r="H97" s="1"/>
      <c r="I97" s="1"/>
      <c r="J97" s="1"/>
      <c r="K97" s="1"/>
      <c r="L97" s="1"/>
      <c r="M97" s="1"/>
      <c r="N97" s="1"/>
      <c r="O97" s="1"/>
      <c r="P97" s="1"/>
      <c r="Q97" s="1"/>
      <c r="R97" s="1"/>
      <c r="S97" s="1"/>
      <c r="T97" s="1"/>
    </row>
    <row r="98" spans="1:20" x14ac:dyDescent="0.3">
      <c r="A98" s="1"/>
      <c r="B98" s="1"/>
      <c r="C98" s="1"/>
      <c r="D98" s="1"/>
      <c r="E98" s="2"/>
      <c r="F98" s="1"/>
      <c r="G98" s="1"/>
      <c r="H98" s="1"/>
      <c r="I98" s="1"/>
      <c r="J98" s="1"/>
      <c r="K98" s="1"/>
      <c r="L98" s="1"/>
      <c r="M98" s="1"/>
      <c r="N98" s="1"/>
      <c r="O98" s="1"/>
      <c r="P98" s="1"/>
      <c r="Q98" s="1"/>
      <c r="R98" s="1"/>
      <c r="S98" s="1"/>
      <c r="T98" s="1"/>
    </row>
    <row r="99" spans="1:20" x14ac:dyDescent="0.3">
      <c r="A99" s="1"/>
      <c r="B99" s="1"/>
      <c r="C99" s="1"/>
      <c r="D99" s="1"/>
      <c r="E99" s="2"/>
      <c r="F99" s="1"/>
      <c r="G99" s="1"/>
      <c r="H99" s="1"/>
      <c r="I99" s="1"/>
      <c r="J99" s="1"/>
      <c r="K99" s="1"/>
      <c r="L99" s="1"/>
      <c r="M99" s="1"/>
      <c r="N99" s="1"/>
      <c r="O99" s="1"/>
      <c r="P99" s="1"/>
      <c r="Q99" s="1"/>
      <c r="R99" s="1"/>
      <c r="S99" s="1"/>
      <c r="T99" s="1"/>
    </row>
    <row r="100" spans="1:20" x14ac:dyDescent="0.3">
      <c r="A100" s="1"/>
      <c r="B100" s="1"/>
      <c r="C100" s="1"/>
      <c r="D100" s="1"/>
      <c r="E100" s="2"/>
      <c r="F100" s="1"/>
      <c r="G100" s="1"/>
      <c r="H100" s="1"/>
      <c r="I100" s="1"/>
      <c r="J100" s="1"/>
      <c r="K100" s="1"/>
      <c r="L100" s="1"/>
      <c r="M100" s="1"/>
      <c r="N100" s="1"/>
      <c r="O100" s="1"/>
      <c r="P100" s="1"/>
      <c r="Q100" s="1"/>
      <c r="R100" s="1"/>
      <c r="S100" s="1"/>
      <c r="T100" s="1"/>
    </row>
    <row r="101" spans="1:20" x14ac:dyDescent="0.3">
      <c r="A101" s="1"/>
      <c r="B101" s="1"/>
      <c r="C101" s="1"/>
      <c r="D101" s="1"/>
      <c r="E101" s="2"/>
      <c r="F101" s="1"/>
      <c r="G101" s="1"/>
      <c r="H101" s="1"/>
      <c r="I101" s="1"/>
      <c r="J101" s="1"/>
      <c r="K101" s="1"/>
      <c r="L101" s="1"/>
      <c r="M101" s="1"/>
      <c r="N101" s="1"/>
      <c r="O101" s="1"/>
      <c r="P101" s="1"/>
      <c r="Q101" s="1"/>
      <c r="R101" s="1"/>
      <c r="S101" s="1"/>
      <c r="T101" s="1"/>
    </row>
    <row r="102" spans="1:20" x14ac:dyDescent="0.3">
      <c r="A102" s="1"/>
      <c r="B102" s="1"/>
      <c r="C102" s="1"/>
      <c r="D102" s="1"/>
      <c r="E102" s="2"/>
      <c r="F102" s="1"/>
      <c r="G102" s="1"/>
      <c r="H102" s="1"/>
      <c r="I102" s="1"/>
      <c r="J102" s="1"/>
      <c r="K102" s="1"/>
      <c r="L102" s="1"/>
      <c r="M102" s="1"/>
      <c r="N102" s="1"/>
      <c r="O102" s="1"/>
      <c r="P102" s="1"/>
      <c r="Q102" s="1"/>
      <c r="R102" s="1"/>
      <c r="S102" s="1"/>
      <c r="T102" s="1"/>
    </row>
    <row r="103" spans="1:20" x14ac:dyDescent="0.3">
      <c r="A103" s="1"/>
      <c r="B103" s="1"/>
      <c r="C103" s="1"/>
      <c r="D103" s="1"/>
      <c r="E103" s="2"/>
      <c r="F103" s="1"/>
      <c r="G103" s="1"/>
      <c r="H103" s="1"/>
      <c r="I103" s="1"/>
      <c r="J103" s="1"/>
      <c r="K103" s="1"/>
      <c r="L103" s="1"/>
      <c r="M103" s="1"/>
      <c r="N103" s="1"/>
      <c r="O103" s="1"/>
      <c r="P103" s="1"/>
      <c r="Q103" s="1"/>
      <c r="R103" s="1"/>
      <c r="S103" s="1"/>
      <c r="T103" s="1"/>
    </row>
    <row r="104" spans="1:20" x14ac:dyDescent="0.3">
      <c r="A104" s="1"/>
      <c r="B104" s="1"/>
      <c r="C104" s="1"/>
      <c r="D104" s="1"/>
      <c r="E104" s="2"/>
      <c r="F104" s="1"/>
      <c r="G104" s="1"/>
      <c r="H104" s="1"/>
      <c r="I104" s="1"/>
      <c r="J104" s="1"/>
      <c r="K104" s="1"/>
      <c r="L104" s="1"/>
      <c r="M104" s="1"/>
      <c r="N104" s="1"/>
      <c r="O104" s="1"/>
      <c r="P104" s="1"/>
      <c r="Q104" s="1"/>
      <c r="R104" s="1"/>
      <c r="S104" s="1"/>
      <c r="T104" s="1"/>
    </row>
    <row r="105" spans="1:20" x14ac:dyDescent="0.3">
      <c r="A105" s="1"/>
      <c r="B105" s="1"/>
      <c r="C105" s="1"/>
      <c r="D105" s="1"/>
      <c r="E105" s="2"/>
      <c r="F105" s="1"/>
      <c r="G105" s="1"/>
      <c r="H105" s="1"/>
      <c r="I105" s="1"/>
      <c r="J105" s="1"/>
      <c r="K105" s="1"/>
      <c r="L105" s="1"/>
      <c r="M105" s="1"/>
      <c r="N105" s="1"/>
      <c r="O105" s="1"/>
      <c r="P105" s="1"/>
      <c r="Q105" s="1"/>
      <c r="R105" s="1"/>
      <c r="S105" s="1"/>
      <c r="T105" s="1"/>
    </row>
    <row r="106" spans="1:20" x14ac:dyDescent="0.3">
      <c r="A106" s="1"/>
      <c r="B106" s="1"/>
      <c r="C106" s="1"/>
      <c r="D106" s="1"/>
      <c r="E106" s="2"/>
      <c r="F106" s="1"/>
      <c r="G106" s="1"/>
      <c r="H106" s="1"/>
      <c r="I106" s="1"/>
      <c r="J106" s="1"/>
      <c r="K106" s="1"/>
      <c r="L106" s="1"/>
      <c r="M106" s="1"/>
      <c r="N106" s="1"/>
      <c r="O106" s="1"/>
      <c r="P106" s="1"/>
      <c r="Q106" s="1"/>
      <c r="R106" s="1"/>
      <c r="S106" s="1"/>
      <c r="T106" s="1"/>
    </row>
    <row r="107" spans="1:20" x14ac:dyDescent="0.3">
      <c r="A107" s="1"/>
      <c r="B107" s="1"/>
      <c r="C107" s="1"/>
      <c r="D107" s="1"/>
      <c r="E107" s="2"/>
      <c r="F107" s="1"/>
      <c r="G107" s="1"/>
      <c r="H107" s="1"/>
      <c r="I107" s="1"/>
      <c r="J107" s="1"/>
      <c r="K107" s="1"/>
      <c r="L107" s="1"/>
      <c r="M107" s="1"/>
      <c r="N107" s="1"/>
      <c r="O107" s="1"/>
      <c r="P107" s="1"/>
      <c r="Q107" s="1"/>
      <c r="R107" s="1"/>
      <c r="S107" s="1"/>
      <c r="T107" s="1"/>
    </row>
    <row r="108" spans="1:20" x14ac:dyDescent="0.3">
      <c r="A108" s="1"/>
      <c r="B108" s="1"/>
      <c r="C108" s="1"/>
      <c r="D108" s="1"/>
      <c r="E108" s="2"/>
      <c r="F108" s="1"/>
      <c r="G108" s="1"/>
      <c r="H108" s="1"/>
      <c r="I108" s="1"/>
      <c r="J108" s="1"/>
      <c r="K108" s="1"/>
      <c r="L108" s="1"/>
      <c r="M108" s="1"/>
      <c r="N108" s="1"/>
      <c r="O108" s="1"/>
      <c r="P108" s="1"/>
      <c r="Q108" s="1"/>
      <c r="R108" s="1"/>
      <c r="S108" s="1"/>
      <c r="T108" s="1"/>
    </row>
    <row r="109" spans="1:20" x14ac:dyDescent="0.3">
      <c r="A109" s="1"/>
      <c r="B109" s="1"/>
      <c r="C109" s="1"/>
      <c r="D109" s="1"/>
      <c r="E109" s="2"/>
      <c r="F109" s="1"/>
      <c r="G109" s="1"/>
      <c r="H109" s="1"/>
      <c r="I109" s="1"/>
      <c r="J109" s="1"/>
      <c r="K109" s="1"/>
      <c r="L109" s="1"/>
      <c r="M109" s="1"/>
      <c r="N109" s="1"/>
      <c r="O109" s="1"/>
      <c r="P109" s="1"/>
      <c r="Q109" s="1"/>
      <c r="R109" s="1"/>
      <c r="S109" s="1"/>
      <c r="T109" s="1"/>
    </row>
    <row r="110" spans="1:20" x14ac:dyDescent="0.3">
      <c r="A110" s="1"/>
      <c r="B110" s="1"/>
      <c r="C110" s="1"/>
      <c r="D110" s="1"/>
      <c r="E110" s="2"/>
      <c r="F110" s="1"/>
      <c r="G110" s="1"/>
      <c r="H110" s="1"/>
      <c r="I110" s="1"/>
      <c r="J110" s="1"/>
      <c r="K110" s="1"/>
      <c r="L110" s="1"/>
      <c r="M110" s="1"/>
      <c r="N110" s="1"/>
      <c r="O110" s="1"/>
      <c r="P110" s="1"/>
      <c r="Q110" s="1"/>
      <c r="R110" s="1"/>
      <c r="S110" s="1"/>
      <c r="T110" s="1"/>
    </row>
    <row r="111" spans="1:20" x14ac:dyDescent="0.3">
      <c r="A111" s="1"/>
      <c r="B111" s="1"/>
      <c r="C111" s="1"/>
      <c r="D111" s="1"/>
      <c r="E111" s="2"/>
      <c r="F111" s="1"/>
      <c r="G111" s="1"/>
      <c r="H111" s="1"/>
      <c r="I111" s="1"/>
      <c r="J111" s="1"/>
      <c r="K111" s="1"/>
      <c r="L111" s="1"/>
      <c r="M111" s="1"/>
      <c r="N111" s="1"/>
      <c r="O111" s="1"/>
      <c r="P111" s="1"/>
      <c r="Q111" s="1"/>
      <c r="R111" s="1"/>
      <c r="S111" s="1"/>
      <c r="T111" s="1"/>
    </row>
    <row r="112" spans="1:20" x14ac:dyDescent="0.3">
      <c r="A112" s="1"/>
      <c r="B112" s="1"/>
      <c r="C112" s="1"/>
      <c r="D112" s="1"/>
      <c r="E112" s="2"/>
      <c r="F112" s="1"/>
      <c r="G112" s="1"/>
      <c r="H112" s="1"/>
      <c r="I112" s="1"/>
      <c r="J112" s="1"/>
      <c r="K112" s="1"/>
      <c r="L112" s="1"/>
      <c r="M112" s="1"/>
      <c r="N112" s="1"/>
      <c r="O112" s="1"/>
      <c r="P112" s="1"/>
      <c r="Q112" s="1"/>
      <c r="R112" s="1"/>
      <c r="S112" s="1"/>
      <c r="T112" s="1"/>
    </row>
    <row r="113" spans="1:20" x14ac:dyDescent="0.3">
      <c r="A113" s="1"/>
      <c r="B113" s="1"/>
      <c r="C113" s="1"/>
      <c r="D113" s="1"/>
      <c r="E113" s="2"/>
      <c r="F113" s="1"/>
      <c r="G113" s="1"/>
      <c r="H113" s="1"/>
      <c r="I113" s="1"/>
      <c r="J113" s="1"/>
      <c r="K113" s="1"/>
      <c r="L113" s="1"/>
      <c r="M113" s="1"/>
      <c r="N113" s="1"/>
      <c r="O113" s="1"/>
      <c r="P113" s="1"/>
      <c r="Q113" s="1"/>
      <c r="R113" s="1"/>
      <c r="S113" s="1"/>
      <c r="T113" s="1"/>
    </row>
    <row r="114" spans="1:20" x14ac:dyDescent="0.3">
      <c r="A114" s="1"/>
      <c r="B114" s="1"/>
      <c r="C114" s="1"/>
      <c r="D114" s="1"/>
      <c r="E114" s="2"/>
      <c r="F114" s="1"/>
      <c r="G114" s="1"/>
      <c r="H114" s="1"/>
      <c r="I114" s="1"/>
      <c r="J114" s="1"/>
      <c r="K114" s="1"/>
      <c r="L114" s="1"/>
      <c r="M114" s="1"/>
      <c r="N114" s="1"/>
      <c r="O114" s="1"/>
      <c r="P114" s="1"/>
      <c r="Q114" s="1"/>
      <c r="R114" s="1"/>
      <c r="S114" s="1"/>
      <c r="T114" s="1"/>
    </row>
    <row r="115" spans="1:20" x14ac:dyDescent="0.3">
      <c r="A115" s="1"/>
      <c r="B115" s="1"/>
      <c r="C115" s="1"/>
      <c r="D115" s="1"/>
      <c r="E115" s="2"/>
      <c r="F115" s="1"/>
      <c r="G115" s="1"/>
      <c r="H115" s="1"/>
      <c r="I115" s="1"/>
      <c r="J115" s="1"/>
      <c r="K115" s="1"/>
      <c r="L115" s="1"/>
      <c r="M115" s="1"/>
      <c r="N115" s="1"/>
      <c r="O115" s="1"/>
      <c r="P115" s="1"/>
      <c r="Q115" s="1"/>
      <c r="R115" s="1"/>
      <c r="S115" s="1"/>
      <c r="T115" s="1"/>
    </row>
    <row r="116" spans="1:20" x14ac:dyDescent="0.3">
      <c r="A116" s="1"/>
      <c r="B116" s="1"/>
      <c r="C116" s="1"/>
      <c r="D116" s="1"/>
      <c r="E116" s="2"/>
      <c r="F116" s="1"/>
      <c r="G116" s="1"/>
      <c r="H116" s="1"/>
      <c r="I116" s="1"/>
      <c r="J116" s="1"/>
      <c r="K116" s="1"/>
      <c r="L116" s="1"/>
      <c r="M116" s="1"/>
      <c r="N116" s="1"/>
      <c r="O116" s="1"/>
      <c r="P116" s="1"/>
      <c r="Q116" s="1"/>
      <c r="R116" s="1"/>
      <c r="S116" s="1"/>
      <c r="T116" s="1"/>
    </row>
    <row r="117" spans="1:20" x14ac:dyDescent="0.3">
      <c r="A117" s="1"/>
      <c r="B117" s="1"/>
      <c r="C117" s="1"/>
      <c r="D117" s="1"/>
      <c r="E117" s="2"/>
      <c r="F117" s="1"/>
      <c r="G117" s="1"/>
      <c r="H117" s="1"/>
      <c r="I117" s="1"/>
      <c r="J117" s="1"/>
      <c r="K117" s="1"/>
      <c r="L117" s="1"/>
      <c r="M117" s="1"/>
      <c r="N117" s="1"/>
      <c r="O117" s="1"/>
      <c r="P117" s="1"/>
      <c r="Q117" s="1"/>
      <c r="R117" s="1"/>
      <c r="S117" s="1"/>
      <c r="T117" s="1"/>
    </row>
    <row r="118" spans="1:20" x14ac:dyDescent="0.3">
      <c r="A118" s="1"/>
      <c r="B118" s="1"/>
      <c r="C118" s="1"/>
      <c r="D118" s="1"/>
      <c r="E118" s="2"/>
      <c r="F118" s="1"/>
      <c r="G118" s="1"/>
      <c r="H118" s="1"/>
      <c r="I118" s="1"/>
      <c r="J118" s="1"/>
      <c r="K118" s="1"/>
      <c r="L118" s="1"/>
      <c r="M118" s="1"/>
      <c r="N118" s="1"/>
      <c r="O118" s="1"/>
      <c r="P118" s="1"/>
      <c r="Q118" s="1"/>
      <c r="R118" s="1"/>
      <c r="S118" s="1"/>
      <c r="T118" s="1"/>
    </row>
    <row r="119" spans="1:20" x14ac:dyDescent="0.3">
      <c r="A119" s="1"/>
      <c r="B119" s="1"/>
      <c r="C119" s="1"/>
      <c r="D119" s="1"/>
      <c r="E119" s="2"/>
      <c r="F119" s="1"/>
      <c r="G119" s="1"/>
      <c r="H119" s="1"/>
      <c r="I119" s="1"/>
      <c r="J119" s="1"/>
      <c r="K119" s="1"/>
      <c r="L119" s="1"/>
      <c r="M119" s="1"/>
      <c r="N119" s="1"/>
      <c r="O119" s="1"/>
      <c r="P119" s="1"/>
      <c r="Q119" s="1"/>
      <c r="R119" s="1"/>
      <c r="S119" s="1"/>
      <c r="T119" s="1"/>
    </row>
    <row r="120" spans="1:20" x14ac:dyDescent="0.3">
      <c r="A120" s="1"/>
      <c r="B120" s="1"/>
      <c r="C120" s="1"/>
      <c r="D120" s="1"/>
      <c r="E120" s="2"/>
      <c r="F120" s="1"/>
      <c r="G120" s="1"/>
      <c r="H120" s="1"/>
      <c r="I120" s="1"/>
      <c r="J120" s="1"/>
      <c r="K120" s="1"/>
      <c r="L120" s="1"/>
      <c r="M120" s="1"/>
      <c r="N120" s="1"/>
      <c r="O120" s="1"/>
      <c r="P120" s="1"/>
      <c r="Q120" s="1"/>
      <c r="R120" s="1"/>
      <c r="S120" s="1"/>
      <c r="T120" s="1"/>
    </row>
    <row r="121" spans="1:20" x14ac:dyDescent="0.3">
      <c r="A121" s="1"/>
      <c r="B121" s="1"/>
      <c r="C121" s="1"/>
      <c r="D121" s="1"/>
      <c r="E121" s="2"/>
      <c r="F121" s="1"/>
      <c r="G121" s="1"/>
      <c r="H121" s="1"/>
      <c r="I121" s="1"/>
      <c r="J121" s="1"/>
      <c r="K121" s="1"/>
      <c r="L121" s="1"/>
      <c r="M121" s="1"/>
      <c r="N121" s="1"/>
      <c r="O121" s="1"/>
      <c r="P121" s="1"/>
      <c r="Q121" s="1"/>
      <c r="R121" s="1"/>
      <c r="S121" s="1"/>
      <c r="T121" s="1"/>
    </row>
    <row r="122" spans="1:20" x14ac:dyDescent="0.3">
      <c r="A122" s="1"/>
      <c r="B122" s="1"/>
      <c r="C122" s="1"/>
      <c r="D122" s="1"/>
      <c r="E122" s="2"/>
      <c r="F122" s="1"/>
      <c r="G122" s="1"/>
      <c r="H122" s="1"/>
      <c r="I122" s="1"/>
      <c r="J122" s="1"/>
      <c r="K122" s="1"/>
      <c r="L122" s="1"/>
      <c r="M122" s="1"/>
      <c r="N122" s="1"/>
      <c r="O122" s="1"/>
      <c r="P122" s="1"/>
      <c r="Q122" s="1"/>
      <c r="R122" s="1"/>
      <c r="S122" s="1"/>
      <c r="T122" s="1"/>
    </row>
    <row r="123" spans="1:20" x14ac:dyDescent="0.3">
      <c r="A123" s="1"/>
      <c r="B123" s="1"/>
      <c r="C123" s="1"/>
      <c r="D123" s="1"/>
      <c r="E123" s="2"/>
      <c r="F123" s="1"/>
      <c r="G123" s="1"/>
      <c r="H123" s="1"/>
      <c r="I123" s="1"/>
      <c r="J123" s="1"/>
      <c r="K123" s="1"/>
      <c r="L123" s="1"/>
      <c r="M123" s="1"/>
      <c r="N123" s="1"/>
      <c r="O123" s="1"/>
      <c r="P123" s="1"/>
      <c r="Q123" s="1"/>
      <c r="R123" s="1"/>
      <c r="S123" s="1"/>
      <c r="T123" s="1"/>
    </row>
    <row r="124" spans="1:20" x14ac:dyDescent="0.3">
      <c r="A124" s="1"/>
      <c r="B124" s="1"/>
      <c r="C124" s="1"/>
      <c r="D124" s="1"/>
      <c r="E124" s="2"/>
      <c r="F124" s="1"/>
      <c r="G124" s="1"/>
      <c r="H124" s="1"/>
      <c r="I124" s="1"/>
      <c r="J124" s="1"/>
      <c r="K124" s="1"/>
      <c r="L124" s="1"/>
      <c r="M124" s="1"/>
      <c r="N124" s="1"/>
      <c r="O124" s="1"/>
      <c r="P124" s="1"/>
      <c r="Q124" s="1"/>
      <c r="R124" s="1"/>
      <c r="S124" s="1"/>
      <c r="T124" s="1"/>
    </row>
    <row r="125" spans="1:20" x14ac:dyDescent="0.3">
      <c r="A125" s="1"/>
      <c r="B125" s="1"/>
      <c r="C125" s="1"/>
      <c r="D125" s="1"/>
      <c r="E125" s="2"/>
      <c r="F125" s="1"/>
      <c r="G125" s="1"/>
      <c r="H125" s="1"/>
      <c r="I125" s="1"/>
      <c r="J125" s="1"/>
      <c r="K125" s="1"/>
      <c r="L125" s="1"/>
      <c r="M125" s="1"/>
      <c r="N125" s="1"/>
      <c r="O125" s="1"/>
      <c r="P125" s="1"/>
      <c r="Q125" s="1"/>
      <c r="R125" s="1"/>
      <c r="S125" s="1"/>
      <c r="T125" s="1"/>
    </row>
    <row r="126" spans="1:20" x14ac:dyDescent="0.3">
      <c r="A126" s="1"/>
      <c r="B126" s="1"/>
      <c r="C126" s="1"/>
      <c r="D126" s="1"/>
      <c r="E126" s="2"/>
      <c r="F126" s="1"/>
      <c r="G126" s="1"/>
      <c r="H126" s="1"/>
      <c r="I126" s="1"/>
      <c r="J126" s="1"/>
      <c r="K126" s="1"/>
      <c r="L126" s="1"/>
      <c r="M126" s="1"/>
      <c r="N126" s="1"/>
      <c r="O126" s="1"/>
      <c r="P126" s="1"/>
      <c r="Q126" s="1"/>
      <c r="R126" s="1"/>
      <c r="S126" s="1"/>
      <c r="T126" s="1"/>
    </row>
    <row r="127" spans="1:20" x14ac:dyDescent="0.3">
      <c r="A127" s="1"/>
      <c r="B127" s="1"/>
      <c r="C127" s="1"/>
      <c r="D127" s="1"/>
      <c r="E127" s="2"/>
      <c r="F127" s="1"/>
      <c r="G127" s="1"/>
      <c r="H127" s="1"/>
      <c r="I127" s="1"/>
      <c r="J127" s="1"/>
      <c r="K127" s="1"/>
      <c r="L127" s="1"/>
      <c r="M127" s="1"/>
      <c r="N127" s="1"/>
      <c r="O127" s="1"/>
      <c r="P127" s="1"/>
      <c r="Q127" s="1"/>
      <c r="R127" s="1"/>
      <c r="S127" s="1"/>
      <c r="T127" s="1"/>
    </row>
    <row r="128" spans="1:20" x14ac:dyDescent="0.3">
      <c r="A128" s="1"/>
      <c r="B128" s="1"/>
      <c r="C128" s="1"/>
      <c r="D128" s="1"/>
      <c r="E128" s="2"/>
      <c r="F128" s="1"/>
      <c r="G128" s="1"/>
      <c r="H128" s="1"/>
      <c r="I128" s="1"/>
      <c r="J128" s="1"/>
      <c r="K128" s="1"/>
      <c r="L128" s="1"/>
      <c r="M128" s="1"/>
      <c r="N128" s="1"/>
      <c r="O128" s="1"/>
      <c r="P128" s="1"/>
      <c r="Q128" s="1"/>
      <c r="R128" s="1"/>
      <c r="S128" s="1"/>
      <c r="T128" s="1"/>
    </row>
    <row r="129" spans="1:20" x14ac:dyDescent="0.3">
      <c r="A129" s="1"/>
      <c r="B129" s="1"/>
      <c r="C129" s="1"/>
      <c r="D129" s="1"/>
      <c r="E129" s="2"/>
      <c r="F129" s="1"/>
      <c r="G129" s="1"/>
      <c r="H129" s="1"/>
      <c r="I129" s="1"/>
      <c r="J129" s="1"/>
      <c r="K129" s="1"/>
      <c r="L129" s="1"/>
      <c r="M129" s="1"/>
      <c r="N129" s="1"/>
      <c r="O129" s="1"/>
      <c r="P129" s="1"/>
      <c r="Q129" s="1"/>
      <c r="R129" s="1"/>
      <c r="S129" s="1"/>
      <c r="T129" s="1"/>
    </row>
    <row r="130" spans="1:20" x14ac:dyDescent="0.3">
      <c r="A130" s="1"/>
      <c r="B130" s="1"/>
      <c r="C130" s="1"/>
      <c r="D130" s="1"/>
      <c r="E130" s="2"/>
      <c r="F130" s="1"/>
      <c r="G130" s="1"/>
      <c r="H130" s="1"/>
      <c r="I130" s="1"/>
      <c r="J130" s="1"/>
      <c r="K130" s="1"/>
      <c r="L130" s="1"/>
      <c r="M130" s="1"/>
      <c r="N130" s="1"/>
      <c r="O130" s="1"/>
      <c r="P130" s="1"/>
      <c r="Q130" s="1"/>
      <c r="R130" s="1"/>
      <c r="S130" s="1"/>
      <c r="T130" s="1"/>
    </row>
    <row r="131" spans="1:20" x14ac:dyDescent="0.3">
      <c r="A131" s="1"/>
      <c r="B131" s="1"/>
      <c r="C131" s="1"/>
      <c r="D131" s="1"/>
      <c r="E131" s="2"/>
      <c r="F131" s="1"/>
      <c r="G131" s="1"/>
      <c r="H131" s="1"/>
      <c r="I131" s="1"/>
      <c r="J131" s="1"/>
      <c r="K131" s="1"/>
      <c r="L131" s="1"/>
      <c r="M131" s="1"/>
      <c r="N131" s="1"/>
      <c r="O131" s="1"/>
      <c r="P131" s="1"/>
      <c r="Q131" s="1"/>
      <c r="R131" s="1"/>
      <c r="S131" s="1"/>
      <c r="T131" s="1"/>
    </row>
    <row r="132" spans="1:20" x14ac:dyDescent="0.3">
      <c r="A132" s="1"/>
      <c r="B132" s="1"/>
      <c r="C132" s="1"/>
      <c r="D132" s="1"/>
      <c r="E132" s="2"/>
      <c r="F132" s="1"/>
      <c r="G132" s="1"/>
      <c r="H132" s="1"/>
      <c r="I132" s="1"/>
      <c r="J132" s="1"/>
      <c r="K132" s="1"/>
      <c r="L132" s="1"/>
      <c r="M132" s="1"/>
      <c r="N132" s="1"/>
      <c r="O132" s="1"/>
      <c r="P132" s="1"/>
      <c r="Q132" s="1"/>
      <c r="R132" s="1"/>
      <c r="S132" s="1"/>
      <c r="T132" s="1"/>
    </row>
    <row r="133" spans="1:20" x14ac:dyDescent="0.3">
      <c r="A133" s="1"/>
      <c r="B133" s="1"/>
      <c r="C133" s="1"/>
      <c r="D133" s="1"/>
      <c r="E133" s="2"/>
      <c r="F133" s="1"/>
      <c r="G133" s="1"/>
      <c r="H133" s="1"/>
      <c r="I133" s="1"/>
      <c r="J133" s="1"/>
      <c r="K133" s="1"/>
      <c r="L133" s="1"/>
      <c r="M133" s="1"/>
      <c r="N133" s="1"/>
      <c r="O133" s="1"/>
      <c r="P133" s="1"/>
      <c r="Q133" s="1"/>
      <c r="R133" s="1"/>
      <c r="S133" s="1"/>
      <c r="T133" s="1"/>
    </row>
    <row r="134" spans="1:20" x14ac:dyDescent="0.3">
      <c r="A134" s="1"/>
      <c r="B134" s="1"/>
      <c r="C134" s="1"/>
      <c r="D134" s="1"/>
      <c r="E134" s="2"/>
      <c r="F134" s="1"/>
      <c r="G134" s="1"/>
      <c r="H134" s="1"/>
      <c r="I134" s="1"/>
      <c r="J134" s="1"/>
      <c r="K134" s="1"/>
      <c r="L134" s="1"/>
      <c r="M134" s="1"/>
      <c r="N134" s="1"/>
      <c r="O134" s="1"/>
      <c r="P134" s="1"/>
      <c r="Q134" s="1"/>
      <c r="R134" s="1"/>
      <c r="S134" s="1"/>
      <c r="T134" s="1"/>
    </row>
    <row r="135" spans="1:20" x14ac:dyDescent="0.3">
      <c r="A135" s="1"/>
      <c r="B135" s="1"/>
      <c r="C135" s="1"/>
      <c r="D135" s="1"/>
      <c r="E135" s="2"/>
      <c r="F135" s="1"/>
      <c r="G135" s="1"/>
      <c r="H135" s="1"/>
      <c r="I135" s="1"/>
      <c r="J135" s="1"/>
      <c r="K135" s="1"/>
      <c r="L135" s="1"/>
      <c r="M135" s="1"/>
      <c r="N135" s="1"/>
      <c r="O135" s="1"/>
      <c r="P135" s="1"/>
      <c r="Q135" s="1"/>
      <c r="R135" s="1"/>
      <c r="S135" s="1"/>
      <c r="T135" s="1"/>
    </row>
    <row r="136" spans="1:20" x14ac:dyDescent="0.3">
      <c r="A136" s="1"/>
      <c r="B136" s="1"/>
      <c r="C136" s="1"/>
      <c r="D136" s="1"/>
      <c r="E136" s="2"/>
      <c r="F136" s="1"/>
      <c r="G136" s="1"/>
      <c r="H136" s="1"/>
      <c r="I136" s="1"/>
      <c r="J136" s="1"/>
      <c r="K136" s="1"/>
      <c r="L136" s="1"/>
      <c r="M136" s="1"/>
      <c r="N136" s="1"/>
      <c r="O136" s="1"/>
      <c r="P136" s="1"/>
      <c r="Q136" s="1"/>
      <c r="R136" s="1"/>
      <c r="S136" s="1"/>
      <c r="T136" s="1"/>
    </row>
    <row r="137" spans="1:20" x14ac:dyDescent="0.3">
      <c r="A137" s="1"/>
      <c r="B137" s="1"/>
      <c r="C137" s="1"/>
      <c r="D137" s="1"/>
      <c r="E137" s="2"/>
      <c r="F137" s="1"/>
      <c r="G137" s="1"/>
      <c r="H137" s="1"/>
      <c r="I137" s="1"/>
      <c r="J137" s="1"/>
      <c r="K137" s="1"/>
      <c r="L137" s="1"/>
      <c r="M137" s="1"/>
      <c r="N137" s="1"/>
      <c r="O137" s="1"/>
      <c r="P137" s="1"/>
      <c r="Q137" s="1"/>
      <c r="R137" s="1"/>
      <c r="S137" s="1"/>
      <c r="T137" s="1"/>
    </row>
    <row r="138" spans="1:20" x14ac:dyDescent="0.3">
      <c r="A138" s="1"/>
      <c r="B138" s="1"/>
      <c r="C138" s="1"/>
      <c r="D138" s="1"/>
      <c r="E138" s="2"/>
      <c r="F138" s="1"/>
      <c r="G138" s="1"/>
      <c r="H138" s="1"/>
      <c r="I138" s="1"/>
      <c r="J138" s="1"/>
      <c r="K138" s="1"/>
      <c r="L138" s="1"/>
      <c r="M138" s="1"/>
      <c r="N138" s="1"/>
      <c r="O138" s="1"/>
      <c r="P138" s="1"/>
      <c r="Q138" s="1"/>
      <c r="R138" s="1"/>
      <c r="S138" s="1"/>
      <c r="T138" s="1"/>
    </row>
    <row r="139" spans="1:20" x14ac:dyDescent="0.3">
      <c r="A139" s="1"/>
      <c r="B139" s="1"/>
      <c r="C139" s="1"/>
      <c r="D139" s="1"/>
      <c r="E139" s="2"/>
      <c r="F139" s="1"/>
      <c r="G139" s="1"/>
      <c r="H139" s="1"/>
      <c r="I139" s="1"/>
      <c r="J139" s="1"/>
      <c r="K139" s="1"/>
      <c r="L139" s="1"/>
      <c r="M139" s="1"/>
      <c r="N139" s="1"/>
      <c r="O139" s="1"/>
      <c r="P139" s="1"/>
      <c r="Q139" s="1"/>
      <c r="R139" s="1"/>
      <c r="S139" s="1"/>
      <c r="T139" s="1"/>
    </row>
    <row r="140" spans="1:20" x14ac:dyDescent="0.3">
      <c r="A140" s="1"/>
      <c r="B140" s="1"/>
      <c r="C140" s="1"/>
      <c r="D140" s="1"/>
      <c r="E140" s="2"/>
      <c r="F140" s="1"/>
      <c r="G140" s="1"/>
      <c r="H140" s="1"/>
      <c r="I140" s="1"/>
      <c r="J140" s="1"/>
      <c r="K140" s="1"/>
      <c r="L140" s="1"/>
      <c r="M140" s="1"/>
      <c r="N140" s="1"/>
      <c r="O140" s="1"/>
      <c r="P140" s="1"/>
      <c r="Q140" s="1"/>
      <c r="R140" s="1"/>
      <c r="S140" s="1"/>
      <c r="T140" s="1"/>
    </row>
    <row r="141" spans="1:20" x14ac:dyDescent="0.3">
      <c r="A141" s="1"/>
      <c r="B141" s="1"/>
      <c r="C141" s="1"/>
      <c r="D141" s="1"/>
      <c r="E141" s="2"/>
      <c r="F141" s="1"/>
      <c r="G141" s="1"/>
      <c r="H141" s="1"/>
      <c r="I141" s="1"/>
      <c r="J141" s="1"/>
      <c r="K141" s="1"/>
      <c r="L141" s="1"/>
      <c r="M141" s="1"/>
      <c r="N141" s="1"/>
      <c r="O141" s="1"/>
      <c r="P141" s="1"/>
      <c r="Q141" s="1"/>
      <c r="R141" s="1"/>
      <c r="S141" s="1"/>
      <c r="T141" s="1"/>
    </row>
    <row r="142" spans="1:20" x14ac:dyDescent="0.3">
      <c r="A142" s="1"/>
      <c r="B142" s="1"/>
      <c r="C142" s="1"/>
      <c r="D142" s="1"/>
      <c r="E142" s="2"/>
      <c r="F142" s="1"/>
      <c r="G142" s="1"/>
      <c r="H142" s="1"/>
      <c r="I142" s="1"/>
      <c r="J142" s="1"/>
      <c r="K142" s="1"/>
      <c r="L142" s="1"/>
      <c r="M142" s="1"/>
      <c r="N142" s="1"/>
      <c r="O142" s="1"/>
      <c r="P142" s="1"/>
      <c r="Q142" s="1"/>
      <c r="R142" s="1"/>
      <c r="S142" s="1"/>
      <c r="T142" s="1"/>
    </row>
    <row r="143" spans="1:20" x14ac:dyDescent="0.3">
      <c r="A143" s="1"/>
      <c r="B143" s="1"/>
      <c r="C143" s="1"/>
      <c r="D143" s="1"/>
      <c r="E143" s="2"/>
      <c r="F143" s="1"/>
      <c r="G143" s="1"/>
      <c r="H143" s="1"/>
      <c r="I143" s="1"/>
      <c r="J143" s="1"/>
      <c r="K143" s="1"/>
      <c r="L143" s="1"/>
      <c r="M143" s="1"/>
      <c r="N143" s="1"/>
      <c r="O143" s="1"/>
      <c r="P143" s="1"/>
      <c r="Q143" s="1"/>
      <c r="R143" s="1"/>
      <c r="S143" s="1"/>
      <c r="T143" s="1"/>
    </row>
    <row r="144" spans="1:20" x14ac:dyDescent="0.3">
      <c r="A144" s="1"/>
      <c r="B144" s="1"/>
      <c r="C144" s="1"/>
      <c r="D144" s="1"/>
      <c r="E144" s="2"/>
      <c r="F144" s="1"/>
      <c r="G144" s="1"/>
      <c r="H144" s="1"/>
      <c r="I144" s="1"/>
      <c r="J144" s="1"/>
      <c r="K144" s="1"/>
      <c r="L144" s="1"/>
      <c r="M144" s="1"/>
      <c r="N144" s="1"/>
      <c r="O144" s="1"/>
      <c r="P144" s="1"/>
      <c r="Q144" s="1"/>
      <c r="R144" s="1"/>
      <c r="S144" s="1"/>
      <c r="T144" s="1"/>
    </row>
    <row r="145" spans="1:20" x14ac:dyDescent="0.3">
      <c r="A145" s="1"/>
      <c r="B145" s="1"/>
      <c r="C145" s="1"/>
      <c r="D145" s="1"/>
      <c r="E145" s="2"/>
      <c r="F145" s="1"/>
      <c r="G145" s="1"/>
      <c r="H145" s="1"/>
      <c r="I145" s="1"/>
      <c r="J145" s="1"/>
      <c r="K145" s="1"/>
      <c r="L145" s="1"/>
      <c r="M145" s="1"/>
      <c r="N145" s="1"/>
      <c r="O145" s="1"/>
      <c r="P145" s="1"/>
      <c r="Q145" s="1"/>
      <c r="R145" s="1"/>
      <c r="S145" s="1"/>
      <c r="T145" s="1"/>
    </row>
    <row r="146" spans="1:20" x14ac:dyDescent="0.3">
      <c r="A146" s="1"/>
      <c r="B146" s="1"/>
      <c r="C146" s="1"/>
      <c r="D146" s="1"/>
      <c r="E146" s="2"/>
      <c r="F146" s="1"/>
      <c r="G146" s="1"/>
      <c r="H146" s="1"/>
      <c r="I146" s="1"/>
      <c r="J146" s="1"/>
      <c r="K146" s="1"/>
      <c r="L146" s="1"/>
      <c r="M146" s="1"/>
      <c r="N146" s="1"/>
      <c r="O146" s="1"/>
      <c r="P146" s="1"/>
      <c r="Q146" s="1"/>
      <c r="R146" s="1"/>
      <c r="S146" s="1"/>
      <c r="T146" s="1"/>
    </row>
    <row r="147" spans="1:20" x14ac:dyDescent="0.3">
      <c r="A147" s="1"/>
      <c r="B147" s="1"/>
      <c r="C147" s="1"/>
      <c r="D147" s="1"/>
      <c r="E147" s="2"/>
      <c r="F147" s="1"/>
      <c r="G147" s="1"/>
      <c r="H147" s="1"/>
      <c r="I147" s="1"/>
      <c r="J147" s="1"/>
      <c r="K147" s="1"/>
      <c r="L147" s="1"/>
      <c r="M147" s="1"/>
      <c r="N147" s="1"/>
      <c r="O147" s="1"/>
      <c r="P147" s="1"/>
      <c r="Q147" s="1"/>
      <c r="R147" s="1"/>
      <c r="S147" s="1"/>
      <c r="T147" s="1"/>
    </row>
    <row r="148" spans="1:20" x14ac:dyDescent="0.3">
      <c r="A148" s="1"/>
      <c r="B148" s="1"/>
      <c r="C148" s="1"/>
      <c r="D148" s="1"/>
      <c r="E148" s="2"/>
      <c r="F148" s="1"/>
      <c r="G148" s="1"/>
      <c r="H148" s="1"/>
      <c r="I148" s="1"/>
      <c r="J148" s="1"/>
      <c r="K148" s="1"/>
      <c r="L148" s="1"/>
      <c r="M148" s="1"/>
      <c r="N148" s="1"/>
      <c r="O148" s="1"/>
      <c r="P148" s="1"/>
      <c r="Q148" s="1"/>
      <c r="R148" s="1"/>
      <c r="S148" s="1"/>
      <c r="T148" s="1"/>
    </row>
    <row r="149" spans="1:20" x14ac:dyDescent="0.3">
      <c r="A149" s="1"/>
      <c r="B149" s="1"/>
      <c r="C149" s="1"/>
      <c r="D149" s="1"/>
      <c r="E149" s="2"/>
      <c r="F149" s="1"/>
      <c r="G149" s="1"/>
      <c r="H149" s="1"/>
      <c r="I149" s="1"/>
      <c r="J149" s="1"/>
      <c r="K149" s="1"/>
      <c r="L149" s="1"/>
      <c r="M149" s="1"/>
      <c r="N149" s="1"/>
      <c r="O149" s="1"/>
      <c r="P149" s="1"/>
      <c r="Q149" s="1"/>
      <c r="R149" s="1"/>
      <c r="S149" s="1"/>
      <c r="T149" s="1"/>
    </row>
    <row r="150" spans="1:20" x14ac:dyDescent="0.3">
      <c r="A150" s="1"/>
      <c r="B150" s="1"/>
      <c r="C150" s="1"/>
      <c r="D150" s="1"/>
      <c r="E150" s="2"/>
      <c r="F150" s="1"/>
      <c r="G150" s="1"/>
      <c r="H150" s="1"/>
      <c r="I150" s="1"/>
      <c r="J150" s="1"/>
      <c r="K150" s="1"/>
      <c r="L150" s="1"/>
      <c r="M150" s="1"/>
      <c r="N150" s="1"/>
      <c r="O150" s="1"/>
      <c r="P150" s="1"/>
      <c r="Q150" s="1"/>
      <c r="R150" s="1"/>
      <c r="S150" s="1"/>
      <c r="T150" s="1"/>
    </row>
    <row r="151" spans="1:20" x14ac:dyDescent="0.3">
      <c r="A151" s="1"/>
      <c r="B151" s="1"/>
      <c r="C151" s="1"/>
      <c r="D151" s="1"/>
      <c r="E151" s="2"/>
      <c r="F151" s="1"/>
      <c r="G151" s="1"/>
      <c r="H151" s="1"/>
      <c r="I151" s="1"/>
      <c r="J151" s="1"/>
      <c r="K151" s="1"/>
      <c r="L151" s="1"/>
      <c r="M151" s="1"/>
      <c r="N151" s="1"/>
      <c r="O151" s="1"/>
      <c r="P151" s="1"/>
      <c r="Q151" s="1"/>
      <c r="R151" s="1"/>
      <c r="S151" s="1"/>
      <c r="T151" s="1"/>
    </row>
    <row r="152" spans="1:20" x14ac:dyDescent="0.3">
      <c r="A152" s="1"/>
      <c r="B152" s="1"/>
      <c r="C152" s="1"/>
      <c r="D152" s="1"/>
      <c r="E152" s="2"/>
      <c r="F152" s="1"/>
      <c r="G152" s="1"/>
      <c r="H152" s="1"/>
      <c r="I152" s="1"/>
      <c r="J152" s="1"/>
      <c r="K152" s="1"/>
      <c r="L152" s="1"/>
      <c r="M152" s="1"/>
      <c r="N152" s="1"/>
      <c r="O152" s="1"/>
      <c r="P152" s="1"/>
      <c r="Q152" s="1"/>
      <c r="R152" s="1"/>
      <c r="S152" s="1"/>
      <c r="T152" s="1"/>
    </row>
    <row r="153" spans="1:20" x14ac:dyDescent="0.3">
      <c r="A153" s="1"/>
      <c r="B153" s="1"/>
      <c r="C153" s="1"/>
      <c r="D153" s="1"/>
      <c r="E153" s="2"/>
      <c r="F153" s="1"/>
      <c r="G153" s="1"/>
      <c r="H153" s="1"/>
      <c r="I153" s="1"/>
      <c r="J153" s="1"/>
      <c r="K153" s="1"/>
      <c r="L153" s="1"/>
      <c r="M153" s="1"/>
      <c r="N153" s="1"/>
      <c r="O153" s="1"/>
      <c r="P153" s="1"/>
      <c r="Q153" s="1"/>
      <c r="R153" s="1"/>
      <c r="S153" s="1"/>
      <c r="T153" s="1"/>
    </row>
    <row r="154" spans="1:20" x14ac:dyDescent="0.3">
      <c r="A154" s="1"/>
      <c r="B154" s="1"/>
      <c r="C154" s="1"/>
      <c r="D154" s="1"/>
      <c r="E154" s="2"/>
      <c r="F154" s="1"/>
      <c r="G154" s="1"/>
      <c r="H154" s="1"/>
      <c r="I154" s="1"/>
      <c r="J154" s="1"/>
      <c r="K154" s="1"/>
      <c r="L154" s="1"/>
      <c r="M154" s="1"/>
      <c r="N154" s="1"/>
      <c r="O154" s="1"/>
      <c r="P154" s="1"/>
      <c r="Q154" s="1"/>
      <c r="R154" s="1"/>
      <c r="S154" s="1"/>
      <c r="T154" s="1"/>
    </row>
    <row r="155" spans="1:20" x14ac:dyDescent="0.3">
      <c r="A155" s="1"/>
      <c r="B155" s="1"/>
      <c r="C155" s="1"/>
      <c r="D155" s="1"/>
      <c r="E155" s="2"/>
      <c r="F155" s="1"/>
      <c r="G155" s="1"/>
      <c r="H155" s="1"/>
      <c r="I155" s="1"/>
      <c r="J155" s="1"/>
      <c r="K155" s="1"/>
      <c r="L155" s="1"/>
      <c r="M155" s="1"/>
      <c r="N155" s="1"/>
      <c r="O155" s="1"/>
      <c r="P155" s="1"/>
      <c r="Q155" s="1"/>
      <c r="R155" s="1"/>
      <c r="S155" s="1"/>
      <c r="T155" s="1"/>
    </row>
    <row r="156" spans="1:20" x14ac:dyDescent="0.3">
      <c r="A156" s="1"/>
      <c r="B156" s="1"/>
      <c r="C156" s="1"/>
      <c r="D156" s="1"/>
      <c r="E156" s="2"/>
      <c r="F156" s="1"/>
      <c r="G156" s="1"/>
      <c r="H156" s="1"/>
      <c r="I156" s="1"/>
      <c r="J156" s="1"/>
      <c r="K156" s="1"/>
      <c r="L156" s="1"/>
      <c r="M156" s="1"/>
      <c r="N156" s="1"/>
      <c r="O156" s="1"/>
      <c r="P156" s="1"/>
      <c r="Q156" s="1"/>
      <c r="R156" s="1"/>
      <c r="S156" s="1"/>
      <c r="T156" s="1"/>
    </row>
    <row r="157" spans="1:20" x14ac:dyDescent="0.3">
      <c r="A157" s="1"/>
      <c r="B157" s="1"/>
      <c r="C157" s="1"/>
      <c r="D157" s="1"/>
      <c r="E157" s="2"/>
      <c r="F157" s="1"/>
      <c r="G157" s="1"/>
      <c r="H157" s="1"/>
      <c r="I157" s="1"/>
      <c r="J157" s="1"/>
      <c r="K157" s="1"/>
      <c r="L157" s="1"/>
      <c r="M157" s="1"/>
      <c r="N157" s="1"/>
      <c r="O157" s="1"/>
      <c r="P157" s="1"/>
      <c r="Q157" s="1"/>
      <c r="R157" s="1"/>
      <c r="S157" s="1"/>
      <c r="T157" s="1"/>
    </row>
    <row r="158" spans="1:20" x14ac:dyDescent="0.3">
      <c r="A158" s="1"/>
      <c r="B158" s="1"/>
      <c r="C158" s="1"/>
      <c r="D158" s="1"/>
      <c r="E158" s="2"/>
      <c r="F158" s="1"/>
      <c r="G158" s="1"/>
      <c r="H158" s="1"/>
      <c r="I158" s="1"/>
      <c r="J158" s="1"/>
      <c r="K158" s="1"/>
      <c r="L158" s="1"/>
      <c r="M158" s="1"/>
      <c r="N158" s="1"/>
      <c r="O158" s="1"/>
      <c r="P158" s="1"/>
      <c r="Q158" s="1"/>
      <c r="R158" s="1"/>
      <c r="S158" s="1"/>
      <c r="T158" s="1"/>
    </row>
    <row r="159" spans="1:20" x14ac:dyDescent="0.3">
      <c r="A159" s="1"/>
      <c r="B159" s="1"/>
      <c r="C159" s="1"/>
      <c r="D159" s="1"/>
      <c r="E159" s="2"/>
      <c r="F159" s="1"/>
      <c r="G159" s="1"/>
      <c r="H159" s="1"/>
      <c r="I159" s="1"/>
      <c r="J159" s="1"/>
      <c r="K159" s="1"/>
      <c r="L159" s="1"/>
      <c r="M159" s="1"/>
      <c r="N159" s="1"/>
      <c r="O159" s="1"/>
      <c r="P159" s="1"/>
      <c r="Q159" s="1"/>
      <c r="R159" s="1"/>
      <c r="S159" s="1"/>
      <c r="T159" s="1"/>
    </row>
    <row r="160" spans="1:20" x14ac:dyDescent="0.3">
      <c r="A160" s="1"/>
      <c r="B160" s="1"/>
      <c r="C160" s="1"/>
      <c r="D160" s="1"/>
      <c r="E160" s="2"/>
      <c r="F160" s="1"/>
      <c r="G160" s="1"/>
      <c r="H160" s="1"/>
      <c r="I160" s="1"/>
      <c r="J160" s="1"/>
      <c r="K160" s="1"/>
      <c r="L160" s="1"/>
      <c r="M160" s="1"/>
      <c r="N160" s="1"/>
      <c r="O160" s="1"/>
      <c r="P160" s="1"/>
      <c r="Q160" s="1"/>
      <c r="R160" s="1"/>
      <c r="S160" s="1"/>
      <c r="T160" s="1"/>
    </row>
    <row r="161" spans="1:20" x14ac:dyDescent="0.3">
      <c r="A161" s="1"/>
      <c r="B161" s="1"/>
      <c r="C161" s="1"/>
      <c r="D161" s="1"/>
      <c r="E161" s="2"/>
      <c r="F161" s="1"/>
      <c r="G161" s="1"/>
      <c r="H161" s="1"/>
      <c r="I161" s="1"/>
      <c r="J161" s="1"/>
      <c r="K161" s="1"/>
      <c r="L161" s="1"/>
      <c r="M161" s="1"/>
      <c r="N161" s="1"/>
      <c r="O161" s="1"/>
      <c r="P161" s="1"/>
      <c r="Q161" s="1"/>
      <c r="R161" s="1"/>
      <c r="S161" s="1"/>
      <c r="T161" s="1"/>
    </row>
    <row r="162" spans="1:20" x14ac:dyDescent="0.3">
      <c r="A162" s="1"/>
      <c r="B162" s="1"/>
      <c r="C162" s="1"/>
      <c r="D162" s="1"/>
      <c r="E162" s="2"/>
      <c r="F162" s="1"/>
      <c r="G162" s="1"/>
      <c r="H162" s="1"/>
      <c r="I162" s="1"/>
      <c r="J162" s="1"/>
      <c r="K162" s="1"/>
      <c r="L162" s="1"/>
      <c r="M162" s="1"/>
      <c r="N162" s="1"/>
      <c r="O162" s="1"/>
      <c r="P162" s="1"/>
      <c r="Q162" s="1"/>
      <c r="R162" s="1"/>
      <c r="S162" s="1"/>
      <c r="T162" s="1"/>
    </row>
    <row r="163" spans="1:20" x14ac:dyDescent="0.3">
      <c r="A163" s="1"/>
      <c r="B163" s="1"/>
      <c r="C163" s="1"/>
      <c r="D163" s="1"/>
      <c r="E163" s="2"/>
      <c r="F163" s="1"/>
      <c r="G163" s="1"/>
      <c r="H163" s="1"/>
      <c r="I163" s="1"/>
      <c r="J163" s="1"/>
      <c r="K163" s="1"/>
      <c r="L163" s="1"/>
      <c r="M163" s="1"/>
      <c r="N163" s="1"/>
      <c r="O163" s="1"/>
      <c r="P163" s="1"/>
      <c r="Q163" s="1"/>
      <c r="R163" s="1"/>
      <c r="S163" s="1"/>
      <c r="T163" s="1"/>
    </row>
    <row r="164" spans="1:20" x14ac:dyDescent="0.3">
      <c r="A164" s="1"/>
      <c r="B164" s="1"/>
      <c r="C164" s="1"/>
      <c r="D164" s="1"/>
      <c r="E164" s="2"/>
      <c r="F164" s="1"/>
      <c r="G164" s="1"/>
      <c r="H164" s="1"/>
      <c r="I164" s="1"/>
      <c r="J164" s="1"/>
      <c r="K164" s="1"/>
      <c r="L164" s="1"/>
      <c r="M164" s="1"/>
      <c r="N164" s="1"/>
      <c r="O164" s="1"/>
      <c r="P164" s="1"/>
      <c r="Q164" s="1"/>
      <c r="R164" s="1"/>
      <c r="S164" s="1"/>
      <c r="T164" s="1"/>
    </row>
    <row r="165" spans="1:20" x14ac:dyDescent="0.3">
      <c r="A165" s="1"/>
      <c r="B165" s="1"/>
      <c r="C165" s="1"/>
      <c r="D165" s="1"/>
      <c r="E165" s="2"/>
      <c r="F165" s="1"/>
      <c r="G165" s="1"/>
      <c r="H165" s="1"/>
      <c r="I165" s="1"/>
      <c r="J165" s="1"/>
      <c r="K165" s="1"/>
      <c r="L165" s="1"/>
      <c r="M165" s="1"/>
      <c r="N165" s="1"/>
      <c r="O165" s="1"/>
      <c r="P165" s="1"/>
      <c r="Q165" s="1"/>
      <c r="R165" s="1"/>
      <c r="S165" s="1"/>
      <c r="T165" s="1"/>
    </row>
    <row r="166" spans="1:20" x14ac:dyDescent="0.3">
      <c r="A166" s="1"/>
      <c r="B166" s="1"/>
      <c r="C166" s="1"/>
      <c r="D166" s="1"/>
      <c r="E166" s="2"/>
      <c r="F166" s="1"/>
      <c r="G166" s="1"/>
      <c r="H166" s="1"/>
      <c r="I166" s="1"/>
      <c r="J166" s="1"/>
      <c r="K166" s="1"/>
      <c r="L166" s="1"/>
      <c r="M166" s="1"/>
      <c r="N166" s="1"/>
      <c r="O166" s="1"/>
      <c r="P166" s="1"/>
      <c r="Q166" s="1"/>
      <c r="R166" s="1"/>
      <c r="S166" s="1"/>
      <c r="T166" s="1"/>
    </row>
    <row r="167" spans="1:20" x14ac:dyDescent="0.3">
      <c r="A167" s="1"/>
      <c r="B167" s="1"/>
      <c r="C167" s="1"/>
      <c r="D167" s="1"/>
      <c r="E167" s="2"/>
      <c r="F167" s="1"/>
      <c r="G167" s="1"/>
      <c r="H167" s="1"/>
      <c r="I167" s="1"/>
      <c r="J167" s="1"/>
      <c r="K167" s="1"/>
      <c r="L167" s="1"/>
      <c r="M167" s="1"/>
      <c r="N167" s="1"/>
      <c r="O167" s="1"/>
      <c r="P167" s="1"/>
      <c r="Q167" s="1"/>
      <c r="R167" s="1"/>
      <c r="S167" s="1"/>
      <c r="T167" s="1"/>
    </row>
    <row r="168" spans="1:20" x14ac:dyDescent="0.3">
      <c r="A168" s="1"/>
      <c r="B168" s="1"/>
      <c r="C168" s="1"/>
      <c r="D168" s="1"/>
      <c r="E168" s="2"/>
      <c r="F168" s="1"/>
      <c r="G168" s="1"/>
      <c r="H168" s="1"/>
      <c r="I168" s="1"/>
      <c r="J168" s="1"/>
      <c r="K168" s="1"/>
      <c r="L168" s="1"/>
      <c r="M168" s="1"/>
      <c r="N168" s="1"/>
      <c r="O168" s="1"/>
      <c r="P168" s="1"/>
      <c r="Q168" s="1"/>
      <c r="R168" s="1"/>
      <c r="S168" s="1"/>
      <c r="T168" s="1"/>
    </row>
    <row r="169" spans="1:20" x14ac:dyDescent="0.3">
      <c r="A169" s="1"/>
      <c r="B169" s="1"/>
      <c r="C169" s="1"/>
      <c r="D169" s="1"/>
      <c r="E169" s="2"/>
      <c r="F169" s="1"/>
      <c r="G169" s="1"/>
      <c r="H169" s="1"/>
      <c r="I169" s="1"/>
      <c r="J169" s="1"/>
      <c r="K169" s="1"/>
      <c r="L169" s="1"/>
      <c r="M169" s="1"/>
      <c r="N169" s="1"/>
      <c r="O169" s="1"/>
      <c r="P169" s="1"/>
      <c r="Q169" s="1"/>
      <c r="R169" s="1"/>
      <c r="S169" s="1"/>
      <c r="T169" s="1"/>
    </row>
    <row r="170" spans="1:20" x14ac:dyDescent="0.3">
      <c r="A170" s="1"/>
      <c r="B170" s="1"/>
      <c r="C170" s="1"/>
      <c r="D170" s="1"/>
      <c r="E170" s="2"/>
      <c r="F170" s="1"/>
      <c r="G170" s="1"/>
      <c r="H170" s="1"/>
      <c r="I170" s="1"/>
      <c r="J170" s="1"/>
      <c r="K170" s="1"/>
      <c r="L170" s="1"/>
      <c r="M170" s="1"/>
      <c r="N170" s="1"/>
      <c r="O170" s="1"/>
      <c r="P170" s="1"/>
      <c r="Q170" s="1"/>
      <c r="R170" s="1"/>
      <c r="S170" s="1"/>
      <c r="T170" s="1"/>
    </row>
    <row r="171" spans="1:20" x14ac:dyDescent="0.3">
      <c r="A171" s="1"/>
      <c r="B171" s="1"/>
      <c r="C171" s="1"/>
      <c r="D171" s="1"/>
      <c r="E171" s="2"/>
      <c r="F171" s="1"/>
      <c r="G171" s="1"/>
      <c r="H171" s="1"/>
      <c r="I171" s="1"/>
      <c r="J171" s="1"/>
      <c r="K171" s="1"/>
      <c r="L171" s="1"/>
      <c r="M171" s="1"/>
      <c r="N171" s="1"/>
      <c r="O171" s="1"/>
      <c r="P171" s="1"/>
      <c r="Q171" s="1"/>
      <c r="R171" s="1"/>
      <c r="S171" s="1"/>
      <c r="T171" s="1"/>
    </row>
    <row r="172" spans="1:20" x14ac:dyDescent="0.3">
      <c r="A172" s="1"/>
      <c r="B172" s="1"/>
      <c r="C172" s="1"/>
      <c r="D172" s="1"/>
      <c r="E172" s="2"/>
      <c r="F172" s="1"/>
      <c r="G172" s="1"/>
      <c r="H172" s="1"/>
      <c r="I172" s="1"/>
      <c r="J172" s="1"/>
      <c r="K172" s="1"/>
      <c r="L172" s="1"/>
      <c r="M172" s="1"/>
      <c r="N172" s="1"/>
      <c r="O172" s="1"/>
      <c r="P172" s="1"/>
      <c r="Q172" s="1"/>
      <c r="R172" s="1"/>
      <c r="S172" s="1"/>
      <c r="T172" s="1"/>
    </row>
    <row r="173" spans="1:20" x14ac:dyDescent="0.3">
      <c r="A173" s="1"/>
      <c r="B173" s="1"/>
      <c r="C173" s="1"/>
      <c r="D173" s="1"/>
      <c r="E173" s="2"/>
      <c r="F173" s="1"/>
      <c r="G173" s="1"/>
      <c r="H173" s="1"/>
      <c r="I173" s="1"/>
      <c r="J173" s="1"/>
      <c r="K173" s="1"/>
      <c r="L173" s="1"/>
      <c r="M173" s="1"/>
      <c r="N173" s="1"/>
      <c r="O173" s="1"/>
      <c r="P173" s="1"/>
      <c r="Q173" s="1"/>
      <c r="R173" s="1"/>
      <c r="S173" s="1"/>
      <c r="T173" s="1"/>
    </row>
    <row r="174" spans="1:20" x14ac:dyDescent="0.3">
      <c r="A174" s="1"/>
      <c r="B174" s="1"/>
      <c r="C174" s="1"/>
      <c r="D174" s="1"/>
      <c r="E174" s="2"/>
      <c r="F174" s="1"/>
      <c r="G174" s="1"/>
      <c r="H174" s="1"/>
      <c r="I174" s="1"/>
      <c r="J174" s="1"/>
      <c r="K174" s="1"/>
      <c r="L174" s="1"/>
      <c r="M174" s="1"/>
      <c r="N174" s="1"/>
      <c r="O174" s="1"/>
      <c r="P174" s="1"/>
      <c r="Q174" s="1"/>
      <c r="R174" s="1"/>
      <c r="S174" s="1"/>
      <c r="T174" s="1"/>
    </row>
    <row r="175" spans="1:20" x14ac:dyDescent="0.3">
      <c r="A175" s="1"/>
      <c r="B175" s="1"/>
      <c r="C175" s="1"/>
      <c r="D175" s="1"/>
      <c r="E175" s="2"/>
      <c r="F175" s="1"/>
      <c r="G175" s="1"/>
      <c r="H175" s="1"/>
      <c r="I175" s="1"/>
      <c r="J175" s="1"/>
      <c r="K175" s="1"/>
      <c r="L175" s="1"/>
      <c r="M175" s="1"/>
      <c r="N175" s="1"/>
      <c r="O175" s="1"/>
      <c r="P175" s="1"/>
      <c r="Q175" s="1"/>
      <c r="R175" s="1"/>
      <c r="S175" s="1"/>
      <c r="T175" s="1"/>
    </row>
    <row r="176" spans="1:20" x14ac:dyDescent="0.3">
      <c r="A176" s="1"/>
      <c r="B176" s="1"/>
      <c r="C176" s="1"/>
      <c r="D176" s="1"/>
      <c r="E176" s="2"/>
      <c r="F176" s="1"/>
      <c r="G176" s="1"/>
      <c r="H176" s="1"/>
      <c r="I176" s="1"/>
      <c r="J176" s="1"/>
      <c r="K176" s="1"/>
      <c r="L176" s="1"/>
      <c r="M176" s="1"/>
      <c r="N176" s="1"/>
      <c r="O176" s="1"/>
      <c r="P176" s="1"/>
      <c r="Q176" s="1"/>
      <c r="R176" s="1"/>
      <c r="S176" s="1"/>
      <c r="T176" s="1"/>
    </row>
    <row r="177" spans="1:20" x14ac:dyDescent="0.3">
      <c r="A177" s="1"/>
      <c r="B177" s="1"/>
      <c r="C177" s="1"/>
      <c r="D177" s="1"/>
      <c r="E177" s="2"/>
      <c r="F177" s="1"/>
      <c r="G177" s="1"/>
      <c r="H177" s="1"/>
      <c r="I177" s="1"/>
      <c r="J177" s="1"/>
      <c r="K177" s="1"/>
      <c r="L177" s="1"/>
      <c r="M177" s="1"/>
      <c r="N177" s="1"/>
      <c r="O177" s="1"/>
      <c r="P177" s="1"/>
      <c r="Q177" s="1"/>
      <c r="R177" s="1"/>
      <c r="S177" s="1"/>
      <c r="T177" s="1"/>
    </row>
    <row r="178" spans="1:20" x14ac:dyDescent="0.3">
      <c r="A178" s="1"/>
      <c r="B178" s="1"/>
      <c r="C178" s="1"/>
      <c r="D178" s="1"/>
      <c r="E178" s="2"/>
      <c r="F178" s="1"/>
      <c r="G178" s="1"/>
      <c r="H178" s="1"/>
      <c r="I178" s="1"/>
      <c r="J178" s="1"/>
      <c r="K178" s="1"/>
      <c r="L178" s="1"/>
      <c r="M178" s="1"/>
      <c r="N178" s="1"/>
      <c r="O178" s="1"/>
      <c r="P178" s="1"/>
      <c r="Q178" s="1"/>
      <c r="R178" s="1"/>
      <c r="S178" s="1"/>
      <c r="T178" s="1"/>
    </row>
    <row r="179" spans="1:20" x14ac:dyDescent="0.3">
      <c r="A179" s="1"/>
      <c r="B179" s="1"/>
      <c r="C179" s="1"/>
      <c r="D179" s="1"/>
      <c r="E179" s="2"/>
      <c r="F179" s="1"/>
      <c r="G179" s="1"/>
      <c r="H179" s="1"/>
      <c r="I179" s="1"/>
      <c r="J179" s="1"/>
      <c r="K179" s="1"/>
      <c r="L179" s="1"/>
      <c r="M179" s="1"/>
      <c r="N179" s="1"/>
      <c r="O179" s="1"/>
      <c r="P179" s="1"/>
      <c r="Q179" s="1"/>
      <c r="R179" s="1"/>
      <c r="S179" s="1"/>
      <c r="T179" s="1"/>
    </row>
    <row r="180" spans="1:20" x14ac:dyDescent="0.3">
      <c r="A180" s="1"/>
      <c r="B180" s="1"/>
      <c r="C180" s="1"/>
      <c r="D180" s="1"/>
      <c r="E180" s="2"/>
      <c r="F180" s="1"/>
      <c r="G180" s="1"/>
      <c r="H180" s="1"/>
      <c r="I180" s="1"/>
      <c r="J180" s="1"/>
      <c r="K180" s="1"/>
      <c r="L180" s="1"/>
      <c r="M180" s="1"/>
      <c r="N180" s="1"/>
      <c r="O180" s="1"/>
      <c r="P180" s="1"/>
      <c r="Q180" s="1"/>
      <c r="R180" s="1"/>
      <c r="S180" s="1"/>
      <c r="T180" s="1"/>
    </row>
    <row r="181" spans="1:20" x14ac:dyDescent="0.3">
      <c r="A181" s="1"/>
      <c r="B181" s="1"/>
      <c r="C181" s="1"/>
      <c r="D181" s="1"/>
      <c r="E181" s="2"/>
      <c r="F181" s="1"/>
      <c r="G181" s="1"/>
      <c r="H181" s="1"/>
      <c r="I181" s="1"/>
      <c r="J181" s="1"/>
      <c r="K181" s="1"/>
      <c r="L181" s="1"/>
      <c r="M181" s="1"/>
      <c r="N181" s="1"/>
      <c r="O181" s="1"/>
      <c r="P181" s="1"/>
      <c r="Q181" s="1"/>
      <c r="R181" s="1"/>
      <c r="S181" s="1"/>
      <c r="T181" s="1"/>
    </row>
    <row r="182" spans="1:20" x14ac:dyDescent="0.3">
      <c r="A182" s="1"/>
      <c r="B182" s="1"/>
      <c r="C182" s="1"/>
      <c r="D182" s="1"/>
      <c r="E182" s="2"/>
      <c r="F182" s="1"/>
      <c r="G182" s="1"/>
      <c r="H182" s="1"/>
      <c r="I182" s="1"/>
      <c r="J182" s="1"/>
      <c r="K182" s="1"/>
      <c r="L182" s="1"/>
      <c r="M182" s="1"/>
      <c r="N182" s="1"/>
      <c r="O182" s="1"/>
      <c r="P182" s="1"/>
      <c r="Q182" s="1"/>
      <c r="R182" s="1"/>
      <c r="S182" s="1"/>
      <c r="T182" s="1"/>
    </row>
    <row r="183" spans="1:20" x14ac:dyDescent="0.3">
      <c r="A183" s="1"/>
      <c r="B183" s="1"/>
      <c r="C183" s="1"/>
      <c r="D183" s="1"/>
      <c r="E183" s="2"/>
      <c r="F183" s="1"/>
      <c r="G183" s="1"/>
      <c r="H183" s="1"/>
      <c r="I183" s="1"/>
      <c r="J183" s="1"/>
      <c r="K183" s="1"/>
      <c r="L183" s="1"/>
      <c r="M183" s="1"/>
      <c r="N183" s="1"/>
      <c r="O183" s="1"/>
      <c r="P183" s="1"/>
      <c r="Q183" s="1"/>
      <c r="R183" s="1"/>
      <c r="S183" s="1"/>
      <c r="T183" s="1"/>
    </row>
    <row r="184" spans="1:20" x14ac:dyDescent="0.3">
      <c r="A184" s="1"/>
      <c r="B184" s="1"/>
      <c r="C184" s="1"/>
      <c r="D184" s="1"/>
      <c r="E184" s="2"/>
      <c r="F184" s="1"/>
      <c r="G184" s="1"/>
      <c r="H184" s="1"/>
      <c r="I184" s="1"/>
      <c r="J184" s="1"/>
      <c r="K184" s="1"/>
      <c r="L184" s="1"/>
      <c r="M184" s="1"/>
      <c r="N184" s="1"/>
      <c r="O184" s="1"/>
      <c r="P184" s="1"/>
      <c r="Q184" s="1"/>
      <c r="R184" s="1"/>
      <c r="S184" s="1"/>
      <c r="T184" s="1"/>
    </row>
    <row r="185" spans="1:20" x14ac:dyDescent="0.3">
      <c r="A185" s="1"/>
      <c r="B185" s="1"/>
      <c r="C185" s="1"/>
      <c r="D185" s="1"/>
      <c r="E185" s="2"/>
      <c r="F185" s="1"/>
      <c r="G185" s="1"/>
      <c r="H185" s="1"/>
      <c r="I185" s="1"/>
      <c r="J185" s="1"/>
      <c r="K185" s="1"/>
      <c r="L185" s="1"/>
      <c r="M185" s="1"/>
      <c r="N185" s="1"/>
      <c r="O185" s="1"/>
      <c r="P185" s="1"/>
      <c r="Q185" s="1"/>
      <c r="R185" s="1"/>
      <c r="S185" s="1"/>
      <c r="T185" s="1"/>
    </row>
    <row r="186" spans="1:20" x14ac:dyDescent="0.3">
      <c r="A186" s="1"/>
      <c r="B186" s="1"/>
      <c r="C186" s="1"/>
      <c r="D186" s="1"/>
      <c r="E186" s="2"/>
      <c r="F186" s="1"/>
      <c r="G186" s="1"/>
      <c r="H186" s="1"/>
      <c r="I186" s="1"/>
      <c r="J186" s="1"/>
      <c r="K186" s="1"/>
      <c r="L186" s="1"/>
      <c r="M186" s="1"/>
      <c r="N186" s="1"/>
      <c r="O186" s="1"/>
      <c r="P186" s="1"/>
      <c r="Q186" s="1"/>
      <c r="R186" s="1"/>
      <c r="S186" s="1"/>
      <c r="T186" s="1"/>
    </row>
    <row r="187" spans="1:20" x14ac:dyDescent="0.3">
      <c r="A187" s="1"/>
      <c r="B187" s="1"/>
      <c r="C187" s="1"/>
      <c r="D187" s="1"/>
      <c r="E187" s="2"/>
      <c r="F187" s="1"/>
      <c r="G187" s="1"/>
      <c r="H187" s="1"/>
      <c r="I187" s="1"/>
      <c r="J187" s="1"/>
      <c r="K187" s="1"/>
      <c r="L187" s="1"/>
      <c r="M187" s="1"/>
      <c r="N187" s="1"/>
      <c r="O187" s="1"/>
      <c r="P187" s="1"/>
      <c r="Q187" s="1"/>
      <c r="R187" s="1"/>
      <c r="S187" s="1"/>
      <c r="T187" s="1"/>
    </row>
    <row r="188" spans="1:20" x14ac:dyDescent="0.3">
      <c r="A188" s="1"/>
      <c r="B188" s="1"/>
      <c r="C188" s="1"/>
      <c r="D188" s="1"/>
      <c r="E188" s="2"/>
      <c r="F188" s="1"/>
      <c r="G188" s="1"/>
      <c r="H188" s="1"/>
      <c r="I188" s="1"/>
      <c r="J188" s="1"/>
      <c r="K188" s="1"/>
      <c r="L188" s="1"/>
      <c r="M188" s="1"/>
      <c r="N188" s="1"/>
      <c r="O188" s="1"/>
      <c r="P188" s="1"/>
      <c r="Q188" s="1"/>
      <c r="R188" s="1"/>
      <c r="S188" s="1"/>
      <c r="T188" s="1"/>
    </row>
    <row r="189" spans="1:20" x14ac:dyDescent="0.3">
      <c r="A189" s="1"/>
      <c r="B189" s="1"/>
      <c r="C189" s="1"/>
      <c r="D189" s="1"/>
      <c r="E189" s="2"/>
      <c r="F189" s="1"/>
      <c r="G189" s="1"/>
      <c r="H189" s="1"/>
      <c r="I189" s="1"/>
      <c r="J189" s="1"/>
      <c r="K189" s="1"/>
      <c r="L189" s="1"/>
      <c r="M189" s="1"/>
      <c r="N189" s="1"/>
      <c r="O189" s="1"/>
      <c r="P189" s="1"/>
      <c r="Q189" s="1"/>
      <c r="R189" s="1"/>
      <c r="S189" s="1"/>
      <c r="T189" s="1"/>
    </row>
    <row r="190" spans="1:20" x14ac:dyDescent="0.3">
      <c r="A190" s="1"/>
      <c r="B190" s="1"/>
      <c r="C190" s="1"/>
      <c r="D190" s="1"/>
      <c r="E190" s="2"/>
      <c r="F190" s="1"/>
      <c r="G190" s="1"/>
      <c r="H190" s="1"/>
      <c r="I190" s="1"/>
      <c r="J190" s="1"/>
      <c r="K190" s="1"/>
      <c r="L190" s="1"/>
      <c r="M190" s="1"/>
      <c r="N190" s="1"/>
      <c r="O190" s="1"/>
      <c r="P190" s="1"/>
      <c r="Q190" s="1"/>
      <c r="R190" s="1"/>
      <c r="S190" s="1"/>
      <c r="T190" s="1"/>
    </row>
    <row r="191" spans="1:20" x14ac:dyDescent="0.3">
      <c r="A191" s="1"/>
      <c r="B191" s="1"/>
      <c r="C191" s="1"/>
      <c r="D191" s="1"/>
      <c r="E191" s="2"/>
      <c r="F191" s="1"/>
      <c r="G191" s="1"/>
      <c r="H191" s="1"/>
      <c r="I191" s="1"/>
      <c r="J191" s="1"/>
      <c r="K191" s="1"/>
      <c r="L191" s="1"/>
      <c r="M191" s="1"/>
      <c r="N191" s="1"/>
      <c r="O191" s="1"/>
      <c r="P191" s="1"/>
      <c r="Q191" s="1"/>
      <c r="R191" s="1"/>
      <c r="S191" s="1"/>
      <c r="T191" s="1"/>
    </row>
    <row r="192" spans="1:20" x14ac:dyDescent="0.3">
      <c r="A192" s="1"/>
      <c r="B192" s="1"/>
      <c r="C192" s="1"/>
      <c r="D192" s="1"/>
      <c r="E192" s="2"/>
      <c r="F192" s="1"/>
      <c r="G192" s="1"/>
      <c r="H192" s="1"/>
      <c r="I192" s="1"/>
      <c r="J192" s="1"/>
      <c r="K192" s="1"/>
      <c r="L192" s="1"/>
      <c r="M192" s="1"/>
      <c r="N192" s="1"/>
      <c r="O192" s="1"/>
      <c r="P192" s="1"/>
      <c r="Q192" s="1"/>
      <c r="R192" s="1"/>
      <c r="S192" s="1"/>
      <c r="T192" s="1"/>
    </row>
    <row r="193" spans="1:20" x14ac:dyDescent="0.3">
      <c r="A193" s="1"/>
      <c r="B193" s="1"/>
      <c r="C193" s="1"/>
      <c r="D193" s="1"/>
      <c r="E193" s="2"/>
      <c r="F193" s="1"/>
      <c r="G193" s="1"/>
      <c r="H193" s="1"/>
      <c r="I193" s="1"/>
      <c r="J193" s="1"/>
      <c r="K193" s="1"/>
      <c r="L193" s="1"/>
      <c r="M193" s="1"/>
      <c r="N193" s="1"/>
      <c r="O193" s="1"/>
      <c r="P193" s="1"/>
      <c r="Q193" s="1"/>
      <c r="R193" s="1"/>
      <c r="S193" s="1"/>
      <c r="T193" s="1"/>
    </row>
    <row r="194" spans="1:20" x14ac:dyDescent="0.3">
      <c r="A194" s="1"/>
      <c r="B194" s="1"/>
      <c r="C194" s="1"/>
      <c r="D194" s="1"/>
      <c r="E194" s="2"/>
      <c r="F194" s="1"/>
      <c r="G194" s="1"/>
      <c r="H194" s="1"/>
      <c r="I194" s="1"/>
      <c r="J194" s="1"/>
      <c r="K194" s="1"/>
      <c r="L194" s="1"/>
      <c r="M194" s="1"/>
      <c r="N194" s="1"/>
      <c r="O194" s="1"/>
      <c r="P194" s="1"/>
      <c r="Q194" s="1"/>
      <c r="R194" s="1"/>
      <c r="S194" s="1"/>
      <c r="T194" s="1"/>
    </row>
    <row r="195" spans="1:20" x14ac:dyDescent="0.3">
      <c r="A195" s="1"/>
      <c r="B195" s="1"/>
      <c r="C195" s="1"/>
      <c r="D195" s="1"/>
      <c r="E195" s="2"/>
      <c r="F195" s="1"/>
      <c r="G195" s="1"/>
      <c r="H195" s="1"/>
      <c r="I195" s="1"/>
      <c r="J195" s="1"/>
      <c r="K195" s="1"/>
      <c r="L195" s="1"/>
      <c r="M195" s="1"/>
      <c r="N195" s="1"/>
      <c r="O195" s="1"/>
      <c r="P195" s="1"/>
      <c r="Q195" s="1"/>
      <c r="R195" s="1"/>
      <c r="S195" s="1"/>
      <c r="T195" s="1"/>
    </row>
    <row r="196" spans="1:20" x14ac:dyDescent="0.3">
      <c r="A196" s="1"/>
      <c r="B196" s="1"/>
      <c r="C196" s="1"/>
      <c r="D196" s="1"/>
      <c r="E196" s="2"/>
      <c r="F196" s="1"/>
      <c r="G196" s="1"/>
      <c r="H196" s="1"/>
      <c r="I196" s="1"/>
      <c r="J196" s="1"/>
      <c r="K196" s="1"/>
      <c r="L196" s="1"/>
      <c r="M196" s="1"/>
      <c r="N196" s="1"/>
      <c r="O196" s="1"/>
      <c r="P196" s="1"/>
      <c r="Q196" s="1"/>
      <c r="R196" s="1"/>
      <c r="S196" s="1"/>
      <c r="T196" s="1"/>
    </row>
    <row r="197" spans="1:20" x14ac:dyDescent="0.3">
      <c r="A197" s="1"/>
      <c r="B197" s="1"/>
      <c r="C197" s="1"/>
      <c r="D197" s="1"/>
      <c r="E197" s="2"/>
      <c r="F197" s="1"/>
      <c r="G197" s="1"/>
      <c r="H197" s="1"/>
      <c r="I197" s="1"/>
      <c r="J197" s="1"/>
      <c r="K197" s="1"/>
      <c r="L197" s="1"/>
      <c r="M197" s="1"/>
      <c r="N197" s="1"/>
      <c r="O197" s="1"/>
      <c r="P197" s="1"/>
      <c r="Q197" s="1"/>
      <c r="R197" s="1"/>
      <c r="S197" s="1"/>
      <c r="T197" s="1"/>
    </row>
    <row r="198" spans="1:20" x14ac:dyDescent="0.3">
      <c r="A198" s="1"/>
      <c r="B198" s="1"/>
      <c r="C198" s="1"/>
      <c r="D198" s="1"/>
      <c r="E198" s="2"/>
      <c r="F198" s="1"/>
      <c r="G198" s="1"/>
      <c r="H198" s="1"/>
      <c r="I198" s="1"/>
      <c r="J198" s="1"/>
      <c r="K198" s="1"/>
      <c r="L198" s="1"/>
      <c r="M198" s="1"/>
      <c r="N198" s="1"/>
      <c r="O198" s="1"/>
      <c r="P198" s="1"/>
      <c r="Q198" s="1"/>
      <c r="R198" s="1"/>
      <c r="S198" s="1"/>
      <c r="T198" s="1"/>
    </row>
    <row r="199" spans="1:20" x14ac:dyDescent="0.3">
      <c r="A199" s="1"/>
      <c r="B199" s="1"/>
      <c r="C199" s="1"/>
      <c r="D199" s="1"/>
      <c r="E199" s="2"/>
      <c r="F199" s="1"/>
      <c r="G199" s="1"/>
      <c r="H199" s="1"/>
      <c r="I199" s="1"/>
      <c r="J199" s="1"/>
      <c r="K199" s="1"/>
      <c r="L199" s="1"/>
      <c r="M199" s="1"/>
      <c r="N199" s="1"/>
      <c r="O199" s="1"/>
      <c r="P199" s="1"/>
      <c r="Q199" s="1"/>
      <c r="R199" s="1"/>
      <c r="S199" s="1"/>
      <c r="T199" s="1"/>
    </row>
    <row r="200" spans="1:20" x14ac:dyDescent="0.3">
      <c r="E200" s="5"/>
    </row>
  </sheetData>
  <phoneticPr fontId="6" type="noConversion"/>
  <pageMargins left="0.7" right="0.7" top="0.75" bottom="0.75" header="0.3" footer="0.3"/>
  <pageSetup paperSize="9" orientation="portrait" r:id="rId1"/>
  <picture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T32"/>
  <sheetViews>
    <sheetView workbookViewId="0">
      <selection activeCell="B6" sqref="B6"/>
    </sheetView>
  </sheetViews>
  <sheetFormatPr defaultColWidth="14" defaultRowHeight="12.45" x14ac:dyDescent="0.3"/>
  <cols>
    <col min="1" max="1" width="59" customWidth="1"/>
    <col min="2" max="2" width="45" customWidth="1"/>
    <col min="3" max="3" width="23" customWidth="1"/>
  </cols>
  <sheetData>
    <row r="1" spans="1:20" ht="199.75" customHeight="1" x14ac:dyDescent="0.3">
      <c r="A1" s="192" t="s">
        <v>1199</v>
      </c>
      <c r="B1" s="193"/>
      <c r="C1" s="194"/>
    </row>
    <row r="3" spans="1:20" x14ac:dyDescent="0.3">
      <c r="A3" s="191" t="s">
        <v>10</v>
      </c>
      <c r="B3" s="191"/>
      <c r="C3" s="191"/>
      <c r="D3" s="13"/>
      <c r="E3" s="13"/>
      <c r="F3" s="13"/>
      <c r="G3" s="13"/>
      <c r="H3" s="13"/>
      <c r="I3" s="13"/>
      <c r="J3" s="13"/>
      <c r="K3" s="13"/>
      <c r="L3" s="13"/>
      <c r="M3" s="13"/>
      <c r="N3" s="13"/>
      <c r="O3" s="13"/>
      <c r="P3" s="13"/>
      <c r="Q3" s="13"/>
      <c r="R3" s="13"/>
      <c r="S3" s="13"/>
      <c r="T3" s="13"/>
    </row>
    <row r="4" spans="1:20" x14ac:dyDescent="0.3">
      <c r="A4" s="16" t="s">
        <v>11</v>
      </c>
      <c r="B4" s="15" t="s">
        <v>815</v>
      </c>
      <c r="C4" s="15" t="s">
        <v>12</v>
      </c>
      <c r="D4" s="13"/>
      <c r="E4" s="13"/>
      <c r="F4" s="13"/>
      <c r="G4" s="13"/>
      <c r="H4" s="13"/>
      <c r="I4" s="13"/>
      <c r="J4" s="13"/>
      <c r="K4" s="13"/>
      <c r="L4" s="13"/>
      <c r="M4" s="13"/>
      <c r="N4" s="13"/>
      <c r="O4" s="13"/>
      <c r="P4" s="13"/>
      <c r="Q4" s="13"/>
      <c r="R4" s="13"/>
      <c r="S4" s="13"/>
      <c r="T4" s="13"/>
    </row>
    <row r="5" spans="1:20" x14ac:dyDescent="0.3">
      <c r="A5" s="12" t="s">
        <v>13</v>
      </c>
      <c r="B5" s="14">
        <v>1</v>
      </c>
      <c r="C5" s="14">
        <v>199</v>
      </c>
      <c r="D5" s="13"/>
      <c r="E5" s="13"/>
      <c r="F5" s="13"/>
      <c r="G5" s="13"/>
      <c r="H5" s="13"/>
      <c r="I5" s="13"/>
      <c r="J5" s="13"/>
      <c r="K5" s="13"/>
      <c r="L5" s="13"/>
      <c r="M5" s="13"/>
      <c r="N5" s="13"/>
      <c r="O5" s="13"/>
      <c r="P5" s="13"/>
      <c r="Q5" s="13"/>
      <c r="R5" s="13"/>
      <c r="S5" s="13"/>
      <c r="T5" s="13"/>
    </row>
    <row r="6" spans="1:20" x14ac:dyDescent="0.3">
      <c r="A6" s="12" t="s">
        <v>14</v>
      </c>
      <c r="B6" s="14">
        <f t="shared" ref="B6:B13" si="0">B5+C5</f>
        <v>200</v>
      </c>
      <c r="C6" s="14">
        <v>200</v>
      </c>
      <c r="D6" s="13"/>
      <c r="E6" s="13"/>
      <c r="F6" s="13"/>
      <c r="G6" s="13"/>
      <c r="H6" s="13"/>
      <c r="I6" s="13"/>
      <c r="J6" s="13"/>
      <c r="K6" s="13"/>
      <c r="L6" s="13"/>
      <c r="M6" s="13"/>
      <c r="N6" s="13"/>
      <c r="O6" s="13"/>
      <c r="P6" s="13"/>
      <c r="Q6" s="13"/>
      <c r="R6" s="13"/>
      <c r="S6" s="13"/>
      <c r="T6" s="13"/>
    </row>
    <row r="7" spans="1:20" x14ac:dyDescent="0.3">
      <c r="A7" s="17" t="s">
        <v>15</v>
      </c>
      <c r="B7" s="14">
        <f t="shared" si="0"/>
        <v>400</v>
      </c>
      <c r="C7" s="14">
        <v>200</v>
      </c>
      <c r="D7" s="13"/>
      <c r="E7" s="13"/>
      <c r="F7" s="13"/>
      <c r="G7" s="13"/>
      <c r="H7" s="13"/>
      <c r="I7" s="13"/>
      <c r="J7" s="13"/>
      <c r="K7" s="13"/>
      <c r="L7" s="13"/>
      <c r="M7" s="13"/>
      <c r="N7" s="13"/>
      <c r="O7" s="13"/>
      <c r="P7" s="13"/>
      <c r="Q7" s="13"/>
      <c r="R7" s="13"/>
      <c r="S7" s="13"/>
      <c r="T7" s="13"/>
    </row>
    <row r="8" spans="1:20" x14ac:dyDescent="0.3">
      <c r="A8" s="17" t="s">
        <v>16</v>
      </c>
      <c r="B8" s="14">
        <f t="shared" si="0"/>
        <v>600</v>
      </c>
      <c r="C8" s="14">
        <v>200</v>
      </c>
      <c r="D8" s="13"/>
      <c r="E8" s="13"/>
      <c r="F8" s="13"/>
      <c r="G8" s="13"/>
      <c r="H8" s="13"/>
      <c r="I8" s="13"/>
      <c r="J8" s="13"/>
      <c r="K8" s="13"/>
      <c r="L8" s="13"/>
      <c r="M8" s="13"/>
      <c r="N8" s="13"/>
      <c r="O8" s="13"/>
      <c r="P8" s="13"/>
      <c r="Q8" s="13"/>
      <c r="R8" s="13"/>
      <c r="S8" s="13"/>
      <c r="T8" s="13"/>
    </row>
    <row r="9" spans="1:20" x14ac:dyDescent="0.3">
      <c r="A9" s="17" t="s">
        <v>17</v>
      </c>
      <c r="B9" s="14">
        <f t="shared" si="0"/>
        <v>800</v>
      </c>
      <c r="C9" s="14">
        <v>200</v>
      </c>
      <c r="D9" s="13"/>
      <c r="E9" s="13"/>
      <c r="F9" s="13"/>
      <c r="G9" s="13"/>
      <c r="H9" s="13"/>
      <c r="I9" s="13"/>
      <c r="J9" s="13"/>
      <c r="K9" s="13"/>
      <c r="L9" s="13"/>
      <c r="M9" s="13"/>
      <c r="N9" s="13"/>
      <c r="O9" s="13"/>
      <c r="P9" s="13"/>
      <c r="Q9" s="13"/>
      <c r="R9" s="13"/>
      <c r="S9" s="13"/>
      <c r="T9" s="13"/>
    </row>
    <row r="10" spans="1:20" x14ac:dyDescent="0.3">
      <c r="A10" s="17" t="s">
        <v>18</v>
      </c>
      <c r="B10" s="14">
        <f t="shared" si="0"/>
        <v>1000</v>
      </c>
      <c r="C10" s="14">
        <v>200</v>
      </c>
      <c r="D10" s="13"/>
      <c r="E10" s="13"/>
      <c r="F10" s="13"/>
      <c r="G10" s="13"/>
      <c r="H10" s="13"/>
      <c r="I10" s="13"/>
      <c r="J10" s="13"/>
      <c r="K10" s="13"/>
      <c r="L10" s="13"/>
      <c r="M10" s="13"/>
      <c r="N10" s="13"/>
      <c r="O10" s="13"/>
      <c r="P10" s="13"/>
      <c r="Q10" s="13"/>
      <c r="R10" s="13"/>
      <c r="S10" s="13"/>
      <c r="T10" s="13"/>
    </row>
    <row r="11" spans="1:20" x14ac:dyDescent="0.3">
      <c r="A11" s="17" t="s">
        <v>19</v>
      </c>
      <c r="B11" s="14">
        <f t="shared" si="0"/>
        <v>1200</v>
      </c>
      <c r="C11" s="14">
        <v>200</v>
      </c>
      <c r="D11" s="13"/>
      <c r="E11" s="13"/>
      <c r="F11" s="13"/>
      <c r="G11" s="13"/>
      <c r="H11" s="13"/>
      <c r="I11" s="13"/>
      <c r="J11" s="13"/>
      <c r="K11" s="13"/>
      <c r="L11" s="13"/>
      <c r="M11" s="13"/>
      <c r="N11" s="13"/>
      <c r="O11" s="13"/>
      <c r="P11" s="13"/>
      <c r="Q11" s="13"/>
      <c r="R11" s="13"/>
      <c r="S11" s="13"/>
      <c r="T11" s="13"/>
    </row>
    <row r="12" spans="1:20" x14ac:dyDescent="0.3">
      <c r="A12" s="17" t="s">
        <v>20</v>
      </c>
      <c r="B12" s="14">
        <f t="shared" si="0"/>
        <v>1400</v>
      </c>
      <c r="C12" s="14">
        <v>200</v>
      </c>
      <c r="D12" s="13"/>
      <c r="E12" s="13"/>
      <c r="F12" s="13"/>
      <c r="G12" s="13"/>
      <c r="H12" s="13"/>
      <c r="I12" s="13"/>
      <c r="J12" s="13"/>
      <c r="K12" s="13"/>
      <c r="L12" s="13"/>
      <c r="M12" s="13"/>
      <c r="N12" s="13"/>
      <c r="O12" s="13"/>
      <c r="P12" s="13"/>
      <c r="Q12" s="13"/>
      <c r="R12" s="13"/>
      <c r="S12" s="13"/>
      <c r="T12" s="13"/>
    </row>
    <row r="13" spans="1:20" x14ac:dyDescent="0.3">
      <c r="A13" s="20" t="s">
        <v>21</v>
      </c>
      <c r="B13" s="21">
        <f t="shared" si="0"/>
        <v>1600</v>
      </c>
      <c r="C13" s="21">
        <v>200</v>
      </c>
      <c r="D13" s="13"/>
      <c r="E13" s="13"/>
      <c r="F13" s="13"/>
      <c r="G13" s="13"/>
      <c r="H13" s="13"/>
      <c r="I13" s="13"/>
      <c r="J13" s="13"/>
      <c r="K13" s="13"/>
      <c r="L13" s="13"/>
      <c r="M13" s="13"/>
      <c r="N13" s="13"/>
      <c r="O13" s="13"/>
      <c r="P13" s="13"/>
      <c r="Q13" s="13"/>
      <c r="R13" s="13"/>
      <c r="S13" s="13"/>
      <c r="T13" s="13"/>
    </row>
    <row r="14" spans="1:20" x14ac:dyDescent="0.3">
      <c r="A14" s="18" t="s">
        <v>22</v>
      </c>
      <c r="B14" s="3" t="s">
        <v>23</v>
      </c>
      <c r="C14" s="3" t="s">
        <v>23</v>
      </c>
      <c r="D14" s="13"/>
      <c r="E14" s="13"/>
      <c r="F14" s="13"/>
      <c r="G14" s="13"/>
      <c r="H14" s="13"/>
      <c r="I14" s="13"/>
      <c r="J14" s="13"/>
      <c r="K14" s="13"/>
      <c r="L14" s="13"/>
      <c r="M14" s="13"/>
      <c r="N14" s="13"/>
      <c r="O14" s="13"/>
      <c r="P14" s="13"/>
      <c r="Q14" s="13"/>
      <c r="R14" s="13"/>
      <c r="S14" s="13"/>
      <c r="T14" s="13"/>
    </row>
    <row r="15" spans="1:20" x14ac:dyDescent="0.3">
      <c r="A15" s="2"/>
      <c r="B15" s="1"/>
      <c r="C15" s="1"/>
      <c r="D15" s="13"/>
      <c r="E15" s="13"/>
      <c r="F15" s="13"/>
      <c r="G15" s="13"/>
      <c r="H15" s="13"/>
      <c r="I15" s="13"/>
      <c r="J15" s="13"/>
      <c r="K15" s="13"/>
      <c r="L15" s="13"/>
      <c r="M15" s="13"/>
      <c r="N15" s="13"/>
      <c r="O15" s="13"/>
      <c r="P15" s="13"/>
      <c r="Q15" s="13"/>
      <c r="R15" s="13"/>
      <c r="S15" s="13"/>
      <c r="T15" s="13"/>
    </row>
    <row r="16" spans="1:20" x14ac:dyDescent="0.3">
      <c r="A16" s="191" t="s">
        <v>24</v>
      </c>
      <c r="B16" s="191"/>
      <c r="C16" s="191"/>
      <c r="D16" s="13"/>
      <c r="E16" s="13"/>
      <c r="F16" s="13"/>
      <c r="G16" s="13"/>
      <c r="H16" s="13"/>
      <c r="I16" s="13"/>
      <c r="J16" s="13"/>
      <c r="K16" s="13"/>
      <c r="L16" s="13"/>
      <c r="M16" s="13"/>
      <c r="N16" s="13"/>
      <c r="O16" s="13"/>
      <c r="P16" s="13"/>
      <c r="Q16" s="13"/>
      <c r="R16" s="13"/>
      <c r="S16" s="13"/>
      <c r="T16" s="13"/>
    </row>
    <row r="17" spans="1:20" x14ac:dyDescent="0.3">
      <c r="A17" s="16" t="s">
        <v>11</v>
      </c>
      <c r="B17" s="15" t="s">
        <v>815</v>
      </c>
      <c r="C17" s="15" t="s">
        <v>12</v>
      </c>
      <c r="D17" s="13"/>
      <c r="E17" s="13"/>
      <c r="F17" s="13"/>
      <c r="G17" s="13"/>
      <c r="H17" s="13"/>
      <c r="I17" s="13"/>
      <c r="J17" s="13"/>
      <c r="K17" s="13"/>
      <c r="L17" s="13"/>
      <c r="M17" s="13"/>
      <c r="N17" s="13"/>
      <c r="O17" s="13"/>
      <c r="P17" s="13"/>
      <c r="Q17" s="13"/>
      <c r="R17" s="13"/>
      <c r="S17" s="13"/>
      <c r="T17" s="13"/>
    </row>
    <row r="18" spans="1:20" x14ac:dyDescent="0.3">
      <c r="A18" s="17" t="s">
        <v>25</v>
      </c>
      <c r="B18" s="14">
        <v>500</v>
      </c>
      <c r="C18" s="14">
        <v>200</v>
      </c>
      <c r="D18" s="1"/>
      <c r="E18" s="1"/>
      <c r="F18" s="1"/>
      <c r="G18" s="1"/>
      <c r="H18" s="1"/>
      <c r="I18" s="1"/>
      <c r="J18" s="1"/>
      <c r="K18" s="1"/>
      <c r="L18" s="1"/>
      <c r="M18" s="1"/>
      <c r="N18" s="1"/>
      <c r="O18" s="1"/>
      <c r="P18" s="1"/>
      <c r="Q18" s="1"/>
      <c r="R18" s="1"/>
      <c r="S18" s="1"/>
      <c r="T18" s="1"/>
    </row>
    <row r="19" spans="1:20" x14ac:dyDescent="0.3">
      <c r="A19" s="2"/>
      <c r="B19" s="1"/>
      <c r="C19" s="1"/>
      <c r="D19" s="13"/>
      <c r="E19" s="13"/>
      <c r="F19" s="13"/>
      <c r="G19" s="13"/>
      <c r="H19" s="13"/>
      <c r="I19" s="13"/>
      <c r="J19" s="13"/>
      <c r="K19" s="13"/>
      <c r="L19" s="13"/>
      <c r="M19" s="13"/>
      <c r="N19" s="13"/>
      <c r="O19" s="13"/>
      <c r="P19" s="13"/>
      <c r="Q19" s="13"/>
      <c r="R19" s="13"/>
      <c r="S19" s="13"/>
      <c r="T19" s="13"/>
    </row>
    <row r="20" spans="1:20" x14ac:dyDescent="0.3">
      <c r="A20" s="191" t="s">
        <v>26</v>
      </c>
      <c r="B20" s="191"/>
      <c r="C20" s="191"/>
      <c r="D20" s="13"/>
      <c r="E20" s="13"/>
      <c r="F20" s="13"/>
      <c r="G20" s="13"/>
      <c r="H20" s="13"/>
      <c r="I20" s="13"/>
      <c r="J20" s="13"/>
      <c r="K20" s="13"/>
      <c r="L20" s="13"/>
      <c r="M20" s="13"/>
      <c r="N20" s="13"/>
      <c r="O20" s="13"/>
      <c r="P20" s="13"/>
      <c r="Q20" s="13"/>
      <c r="R20" s="13"/>
      <c r="S20" s="13"/>
      <c r="T20" s="13"/>
    </row>
    <row r="21" spans="1:20" x14ac:dyDescent="0.3">
      <c r="A21" s="16" t="s">
        <v>11</v>
      </c>
      <c r="B21" s="15" t="s">
        <v>815</v>
      </c>
      <c r="C21" s="15" t="s">
        <v>12</v>
      </c>
      <c r="D21" s="13"/>
      <c r="E21" s="13"/>
      <c r="F21" s="13"/>
      <c r="G21" s="13"/>
      <c r="H21" s="13"/>
      <c r="I21" s="13"/>
      <c r="J21" s="13"/>
      <c r="K21" s="13"/>
      <c r="L21" s="13"/>
      <c r="M21" s="13"/>
      <c r="N21" s="13"/>
      <c r="O21" s="13"/>
      <c r="P21" s="13"/>
      <c r="Q21" s="13"/>
      <c r="R21" s="13"/>
      <c r="S21" s="13"/>
      <c r="T21" s="13"/>
    </row>
    <row r="22" spans="1:20" x14ac:dyDescent="0.3">
      <c r="A22" s="12" t="s">
        <v>13</v>
      </c>
      <c r="B22" s="14">
        <v>1</v>
      </c>
      <c r="C22" s="14">
        <v>99</v>
      </c>
      <c r="D22" s="13"/>
      <c r="E22" s="13"/>
      <c r="F22" s="13"/>
      <c r="G22" s="13"/>
      <c r="H22" s="13"/>
      <c r="I22" s="13"/>
      <c r="J22" s="13"/>
      <c r="K22" s="13"/>
      <c r="L22" s="13"/>
      <c r="M22" s="13"/>
      <c r="N22" s="13"/>
      <c r="O22" s="13"/>
      <c r="P22" s="13"/>
      <c r="Q22" s="13"/>
      <c r="R22" s="13"/>
      <c r="S22" s="13"/>
      <c r="T22" s="13"/>
    </row>
    <row r="23" spans="1:20" x14ac:dyDescent="0.3">
      <c r="A23" s="12" t="s">
        <v>27</v>
      </c>
      <c r="B23" s="14">
        <v>100</v>
      </c>
      <c r="C23" s="14">
        <v>3000</v>
      </c>
      <c r="D23" s="13"/>
      <c r="E23" s="13"/>
      <c r="F23" s="13"/>
      <c r="G23" s="13"/>
      <c r="H23" s="13"/>
      <c r="I23" s="13"/>
      <c r="J23" s="13"/>
      <c r="K23" s="13"/>
      <c r="L23" s="13"/>
      <c r="M23" s="13"/>
      <c r="N23" s="13"/>
      <c r="O23" s="13"/>
      <c r="P23" s="13"/>
      <c r="Q23" s="13"/>
      <c r="R23" s="13"/>
      <c r="S23" s="13"/>
      <c r="T23" s="13"/>
    </row>
    <row r="24" spans="1:20" x14ac:dyDescent="0.3">
      <c r="A24" s="12" t="s">
        <v>28</v>
      </c>
      <c r="B24" s="14">
        <f t="shared" ref="B24:B30" si="1">B23+C23</f>
        <v>3100</v>
      </c>
      <c r="C24" s="14">
        <v>3000</v>
      </c>
      <c r="D24" s="13"/>
      <c r="E24" s="13"/>
      <c r="F24" s="13"/>
      <c r="G24" s="13"/>
      <c r="H24" s="13"/>
      <c r="I24" s="13"/>
      <c r="J24" s="13"/>
      <c r="K24" s="13"/>
      <c r="L24" s="13"/>
      <c r="M24" s="13"/>
      <c r="N24" s="13"/>
      <c r="O24" s="13"/>
      <c r="P24" s="13"/>
      <c r="Q24" s="13"/>
      <c r="R24" s="13"/>
      <c r="S24" s="13"/>
      <c r="T24" s="13"/>
    </row>
    <row r="25" spans="1:20" x14ac:dyDescent="0.3">
      <c r="A25" s="12" t="s">
        <v>29</v>
      </c>
      <c r="B25" s="14">
        <f t="shared" si="1"/>
        <v>6100</v>
      </c>
      <c r="C25" s="14">
        <v>3000</v>
      </c>
      <c r="D25" s="13"/>
      <c r="E25" s="13"/>
      <c r="F25" s="13"/>
      <c r="G25" s="13"/>
      <c r="H25" s="13"/>
      <c r="I25" s="13"/>
      <c r="J25" s="13"/>
      <c r="K25" s="13"/>
      <c r="L25" s="13"/>
      <c r="M25" s="13"/>
      <c r="N25" s="13"/>
      <c r="O25" s="13"/>
      <c r="P25" s="13"/>
      <c r="Q25" s="13"/>
      <c r="R25" s="13"/>
      <c r="S25" s="13"/>
      <c r="T25" s="13"/>
    </row>
    <row r="26" spans="1:20" x14ac:dyDescent="0.3">
      <c r="A26" s="12" t="s">
        <v>17</v>
      </c>
      <c r="B26" s="14">
        <f t="shared" si="1"/>
        <v>9100</v>
      </c>
      <c r="C26" s="14">
        <v>3000</v>
      </c>
      <c r="D26" s="13"/>
      <c r="E26" s="13"/>
      <c r="F26" s="13"/>
      <c r="G26" s="13"/>
      <c r="H26" s="13"/>
      <c r="I26" s="13"/>
      <c r="J26" s="13"/>
      <c r="K26" s="13"/>
      <c r="L26" s="13"/>
      <c r="M26" s="13"/>
      <c r="N26" s="13"/>
      <c r="O26" s="13"/>
      <c r="P26" s="13"/>
      <c r="Q26" s="13"/>
      <c r="R26" s="13"/>
      <c r="S26" s="13"/>
      <c r="T26" s="13"/>
    </row>
    <row r="27" spans="1:20" x14ac:dyDescent="0.3">
      <c r="A27" s="12" t="s">
        <v>18</v>
      </c>
      <c r="B27" s="14">
        <f t="shared" si="1"/>
        <v>12100</v>
      </c>
      <c r="C27" s="14">
        <v>3000</v>
      </c>
      <c r="D27" s="13"/>
      <c r="E27" s="13"/>
      <c r="F27" s="13"/>
      <c r="G27" s="13"/>
      <c r="H27" s="13"/>
      <c r="I27" s="13"/>
      <c r="J27" s="13"/>
      <c r="K27" s="13"/>
      <c r="L27" s="13"/>
      <c r="M27" s="13"/>
      <c r="N27" s="13"/>
      <c r="O27" s="13"/>
      <c r="P27" s="13"/>
      <c r="Q27" s="13"/>
      <c r="R27" s="13"/>
      <c r="S27" s="13"/>
      <c r="T27" s="13"/>
    </row>
    <row r="28" spans="1:20" x14ac:dyDescent="0.3">
      <c r="A28" s="12" t="s">
        <v>19</v>
      </c>
      <c r="B28" s="14">
        <f t="shared" si="1"/>
        <v>15100</v>
      </c>
      <c r="C28" s="14">
        <v>3000</v>
      </c>
      <c r="D28" s="13"/>
      <c r="E28" s="13"/>
      <c r="F28" s="13"/>
      <c r="G28" s="13"/>
      <c r="H28" s="13"/>
      <c r="I28" s="13"/>
      <c r="J28" s="13"/>
      <c r="K28" s="13"/>
      <c r="L28" s="13"/>
      <c r="M28" s="13"/>
      <c r="N28" s="13"/>
      <c r="O28" s="13"/>
      <c r="P28" s="13"/>
      <c r="Q28" s="13"/>
      <c r="R28" s="13"/>
      <c r="S28" s="13"/>
      <c r="T28" s="13"/>
    </row>
    <row r="29" spans="1:20" x14ac:dyDescent="0.3">
      <c r="A29" s="12" t="s">
        <v>20</v>
      </c>
      <c r="B29" s="14">
        <f t="shared" si="1"/>
        <v>18100</v>
      </c>
      <c r="C29" s="14">
        <v>3000</v>
      </c>
      <c r="D29" s="13"/>
      <c r="E29" s="13"/>
      <c r="F29" s="13"/>
      <c r="G29" s="13"/>
      <c r="H29" s="13"/>
      <c r="I29" s="13"/>
      <c r="J29" s="13"/>
      <c r="K29" s="13"/>
      <c r="L29" s="13"/>
      <c r="M29" s="13"/>
      <c r="N29" s="13"/>
      <c r="O29" s="13"/>
      <c r="P29" s="13"/>
      <c r="Q29" s="13"/>
      <c r="R29" s="13"/>
      <c r="S29" s="13"/>
      <c r="T29" s="13"/>
    </row>
    <row r="30" spans="1:20" x14ac:dyDescent="0.3">
      <c r="A30" s="12" t="s">
        <v>21</v>
      </c>
      <c r="B30" s="14">
        <f t="shared" si="1"/>
        <v>21100</v>
      </c>
      <c r="C30" s="14">
        <v>3000</v>
      </c>
      <c r="D30" s="13"/>
      <c r="E30" s="13"/>
      <c r="F30" s="13"/>
      <c r="G30" s="13"/>
      <c r="H30" s="13"/>
      <c r="I30" s="13"/>
      <c r="J30" s="13"/>
      <c r="K30" s="13"/>
      <c r="L30" s="13"/>
      <c r="M30" s="13"/>
      <c r="N30" s="13"/>
      <c r="O30" s="13"/>
      <c r="P30" s="13"/>
      <c r="Q30" s="13"/>
      <c r="R30" s="13"/>
      <c r="S30" s="13"/>
      <c r="T30" s="13"/>
    </row>
    <row r="31" spans="1:20" ht="20.05" customHeight="1" x14ac:dyDescent="0.3">
      <c r="A31" s="18" t="s">
        <v>22</v>
      </c>
      <c r="B31" s="3" t="s">
        <v>23</v>
      </c>
      <c r="C31" s="3" t="s">
        <v>23</v>
      </c>
      <c r="D31" s="13"/>
      <c r="E31" s="13"/>
      <c r="F31" s="13"/>
      <c r="G31" s="13"/>
      <c r="H31" s="13"/>
      <c r="I31" s="13"/>
      <c r="J31" s="13"/>
      <c r="K31" s="13"/>
      <c r="L31" s="13"/>
      <c r="M31" s="13"/>
      <c r="N31" s="13"/>
      <c r="O31" s="13"/>
      <c r="P31" s="13"/>
      <c r="Q31" s="13"/>
      <c r="R31" s="13"/>
      <c r="S31" s="13"/>
      <c r="T31" s="13"/>
    </row>
    <row r="32" spans="1:20" x14ac:dyDescent="0.3">
      <c r="A32" s="17" t="s">
        <v>30</v>
      </c>
      <c r="B32" s="19">
        <v>60100</v>
      </c>
      <c r="C32" s="19">
        <v>1500</v>
      </c>
      <c r="D32" s="13"/>
      <c r="E32" s="13"/>
      <c r="F32" s="13"/>
      <c r="G32" s="13"/>
      <c r="H32" s="13"/>
      <c r="I32" s="13"/>
      <c r="J32" s="13"/>
      <c r="K32" s="13"/>
      <c r="L32" s="13"/>
      <c r="M32" s="13"/>
      <c r="N32" s="13"/>
      <c r="O32" s="13"/>
      <c r="P32" s="13"/>
      <c r="Q32" s="13"/>
      <c r="R32" s="13"/>
      <c r="S32" s="13"/>
      <c r="T32" s="13"/>
    </row>
  </sheetData>
  <mergeCells count="4">
    <mergeCell ref="A3:C3"/>
    <mergeCell ref="A16:C16"/>
    <mergeCell ref="A20:C20"/>
    <mergeCell ref="A1:C1"/>
  </mergeCells>
  <phoneticPr fontId="6" type="noConversion"/>
  <pageMargins left="0.7" right="0.7" top="0.75" bottom="0.75" header="0.3" footer="0.3"/>
  <pictur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M304"/>
  <sheetViews>
    <sheetView showGridLines="0" topLeftCell="B1" workbookViewId="0">
      <pane ySplit="1" topLeftCell="A263" activePane="bottomLeft" state="frozen"/>
      <selection pane="bottomLeft" activeCell="K102" sqref="K102:L104"/>
    </sheetView>
  </sheetViews>
  <sheetFormatPr defaultColWidth="14" defaultRowHeight="12.45" x14ac:dyDescent="0.3"/>
  <cols>
    <col min="1" max="1" width="73.33203125" style="89" bestFit="1" customWidth="1"/>
    <col min="2" max="2" width="12.9140625" bestFit="1" customWidth="1"/>
    <col min="3" max="3" width="11.25" customWidth="1"/>
    <col min="4" max="4" width="10.08203125" bestFit="1" customWidth="1"/>
    <col min="5" max="5" width="7.75" bestFit="1" customWidth="1"/>
    <col min="6" max="6" width="6.33203125" bestFit="1" customWidth="1"/>
    <col min="7" max="7" width="4.9140625" bestFit="1" customWidth="1"/>
    <col min="8" max="8" width="39.4140625" bestFit="1" customWidth="1"/>
    <col min="9" max="9" width="6" bestFit="1" customWidth="1"/>
    <col min="10" max="10" width="12.83203125" bestFit="1" customWidth="1"/>
    <col min="11" max="11" width="19.1640625" bestFit="1" customWidth="1"/>
    <col min="12" max="12" width="75.6640625" style="138" bestFit="1" customWidth="1"/>
    <col min="13" max="13" width="61" style="138" customWidth="1"/>
  </cols>
  <sheetData>
    <row r="1" spans="1:13" ht="24.9" x14ac:dyDescent="0.3">
      <c r="A1" s="80" t="s">
        <v>31</v>
      </c>
      <c r="B1" s="39" t="s">
        <v>32</v>
      </c>
      <c r="C1" s="90" t="s">
        <v>744</v>
      </c>
      <c r="D1" s="39" t="s">
        <v>33</v>
      </c>
      <c r="E1" s="39" t="s">
        <v>34</v>
      </c>
      <c r="F1" s="39" t="s">
        <v>35</v>
      </c>
      <c r="G1" s="11" t="s">
        <v>36</v>
      </c>
      <c r="H1" s="11" t="s">
        <v>37</v>
      </c>
      <c r="I1" s="39" t="s">
        <v>38</v>
      </c>
      <c r="J1" s="42" t="s">
        <v>39</v>
      </c>
      <c r="K1" s="40" t="s">
        <v>1092</v>
      </c>
      <c r="L1" s="154" t="s">
        <v>41</v>
      </c>
      <c r="M1" s="178" t="s">
        <v>1100</v>
      </c>
    </row>
    <row r="2" spans="1:13" ht="24.9" x14ac:dyDescent="0.3">
      <c r="A2" s="81" t="s">
        <v>42</v>
      </c>
      <c r="B2" s="22">
        <v>1</v>
      </c>
      <c r="C2" s="91"/>
      <c r="D2" s="22">
        <v>1</v>
      </c>
      <c r="E2" s="22">
        <v>1</v>
      </c>
      <c r="F2" s="22">
        <v>0</v>
      </c>
      <c r="G2" s="4"/>
      <c r="H2" s="4" t="s">
        <v>43</v>
      </c>
      <c r="I2" s="23" t="s">
        <v>44</v>
      </c>
      <c r="J2" s="25" t="s">
        <v>45</v>
      </c>
      <c r="K2" s="24" t="s">
        <v>46</v>
      </c>
      <c r="L2" s="149" t="s">
        <v>47</v>
      </c>
      <c r="M2" s="139" t="s">
        <v>47</v>
      </c>
    </row>
    <row r="3" spans="1:13" ht="24.9" x14ac:dyDescent="0.3">
      <c r="A3" s="81" t="s">
        <v>49</v>
      </c>
      <c r="B3" s="22">
        <v>2</v>
      </c>
      <c r="C3" s="91"/>
      <c r="D3" s="22">
        <v>1</v>
      </c>
      <c r="E3" s="22">
        <v>1</v>
      </c>
      <c r="F3" s="22">
        <v>0</v>
      </c>
      <c r="G3" s="4"/>
      <c r="H3" s="4" t="s">
        <v>43</v>
      </c>
      <c r="I3" s="23" t="s">
        <v>44</v>
      </c>
      <c r="J3" s="25" t="s">
        <v>45</v>
      </c>
      <c r="K3" s="24" t="s">
        <v>46</v>
      </c>
      <c r="L3" s="150" t="s">
        <v>50</v>
      </c>
      <c r="M3" s="139" t="s">
        <v>50</v>
      </c>
    </row>
    <row r="4" spans="1:13" ht="24.9" x14ac:dyDescent="0.3">
      <c r="A4" s="81" t="s">
        <v>51</v>
      </c>
      <c r="B4" s="22">
        <v>3</v>
      </c>
      <c r="C4" s="91"/>
      <c r="D4" s="22">
        <v>1</v>
      </c>
      <c r="E4" s="22">
        <v>1</v>
      </c>
      <c r="F4" s="22">
        <v>0</v>
      </c>
      <c r="G4" s="4"/>
      <c r="H4" s="4" t="s">
        <v>43</v>
      </c>
      <c r="I4" s="23" t="s">
        <v>44</v>
      </c>
      <c r="J4" s="25" t="s">
        <v>45</v>
      </c>
      <c r="K4" s="24" t="s">
        <v>46</v>
      </c>
      <c r="L4" s="150" t="s">
        <v>52</v>
      </c>
      <c r="M4" s="139" t="s">
        <v>52</v>
      </c>
    </row>
    <row r="5" spans="1:13" ht="24.9" x14ac:dyDescent="0.3">
      <c r="A5" s="81" t="s">
        <v>53</v>
      </c>
      <c r="B5" s="22">
        <v>4</v>
      </c>
      <c r="C5" s="91"/>
      <c r="D5" s="22">
        <v>1</v>
      </c>
      <c r="E5" s="22">
        <v>1</v>
      </c>
      <c r="F5" s="22">
        <v>0</v>
      </c>
      <c r="G5" s="4"/>
      <c r="H5" s="4" t="s">
        <v>43</v>
      </c>
      <c r="I5" s="23" t="s">
        <v>44</v>
      </c>
      <c r="J5" s="25" t="s">
        <v>45</v>
      </c>
      <c r="K5" s="24" t="s">
        <v>46</v>
      </c>
      <c r="L5" s="150" t="s">
        <v>54</v>
      </c>
      <c r="M5" s="139" t="s">
        <v>54</v>
      </c>
    </row>
    <row r="6" spans="1:13" ht="24.9" x14ac:dyDescent="0.3">
      <c r="A6" s="81" t="s">
        <v>55</v>
      </c>
      <c r="B6" s="22">
        <v>5</v>
      </c>
      <c r="C6" s="91"/>
      <c r="D6" s="22">
        <v>1</v>
      </c>
      <c r="E6" s="22">
        <v>1</v>
      </c>
      <c r="F6" s="22">
        <v>0</v>
      </c>
      <c r="G6" s="4"/>
      <c r="H6" s="4" t="s">
        <v>43</v>
      </c>
      <c r="I6" s="23" t="s">
        <v>44</v>
      </c>
      <c r="J6" s="25" t="s">
        <v>45</v>
      </c>
      <c r="K6" s="24" t="s">
        <v>46</v>
      </c>
      <c r="L6" s="150" t="s">
        <v>56</v>
      </c>
      <c r="M6" s="139" t="s">
        <v>56</v>
      </c>
    </row>
    <row r="7" spans="1:13" ht="24.9" x14ac:dyDescent="0.3">
      <c r="A7" s="82" t="s">
        <v>57</v>
      </c>
      <c r="B7" s="22">
        <v>6</v>
      </c>
      <c r="C7" s="91"/>
      <c r="D7" s="22">
        <v>1</v>
      </c>
      <c r="E7" s="22">
        <v>1</v>
      </c>
      <c r="F7" s="22">
        <v>0</v>
      </c>
      <c r="G7" s="4"/>
      <c r="H7" s="4" t="s">
        <v>43</v>
      </c>
      <c r="I7" s="36" t="s">
        <v>44</v>
      </c>
      <c r="J7" s="35" t="s">
        <v>45</v>
      </c>
      <c r="K7" s="19" t="s">
        <v>46</v>
      </c>
      <c r="L7" s="151" t="s">
        <v>58</v>
      </c>
      <c r="M7" s="141" t="s">
        <v>58</v>
      </c>
    </row>
    <row r="8" spans="1:13" ht="24.9" x14ac:dyDescent="0.3">
      <c r="A8" s="83" t="s">
        <v>59</v>
      </c>
      <c r="B8" s="22">
        <v>7</v>
      </c>
      <c r="C8" s="91"/>
      <c r="D8" s="22">
        <v>1</v>
      </c>
      <c r="E8" s="22">
        <v>1</v>
      </c>
      <c r="F8" s="22">
        <v>0</v>
      </c>
      <c r="G8" s="4"/>
      <c r="H8" s="4" t="s">
        <v>43</v>
      </c>
      <c r="I8" s="36" t="s">
        <v>44</v>
      </c>
      <c r="J8" s="35" t="s">
        <v>45</v>
      </c>
      <c r="K8" s="19" t="s">
        <v>46</v>
      </c>
      <c r="L8" s="151" t="s">
        <v>60</v>
      </c>
      <c r="M8" s="141" t="s">
        <v>60</v>
      </c>
    </row>
    <row r="9" spans="1:13" ht="24.9" x14ac:dyDescent="0.3">
      <c r="A9" s="83" t="s">
        <v>61</v>
      </c>
      <c r="B9" s="22">
        <v>8</v>
      </c>
      <c r="C9" s="91"/>
      <c r="D9" s="22">
        <v>1</v>
      </c>
      <c r="E9" s="22">
        <v>1</v>
      </c>
      <c r="F9" s="22">
        <v>0</v>
      </c>
      <c r="G9" s="4"/>
      <c r="H9" s="4" t="s">
        <v>43</v>
      </c>
      <c r="I9" s="36" t="s">
        <v>44</v>
      </c>
      <c r="J9" s="35" t="s">
        <v>45</v>
      </c>
      <c r="K9" s="19" t="s">
        <v>46</v>
      </c>
      <c r="L9" s="151" t="s">
        <v>62</v>
      </c>
      <c r="M9" s="141" t="s">
        <v>62</v>
      </c>
    </row>
    <row r="10" spans="1:13" ht="24.9" x14ac:dyDescent="0.3">
      <c r="A10" s="83" t="s">
        <v>63</v>
      </c>
      <c r="B10" s="22">
        <v>9</v>
      </c>
      <c r="C10" s="91"/>
      <c r="D10" s="22">
        <v>1</v>
      </c>
      <c r="E10" s="22">
        <v>1</v>
      </c>
      <c r="F10" s="22">
        <v>0</v>
      </c>
      <c r="G10" s="4"/>
      <c r="H10" s="4" t="s">
        <v>43</v>
      </c>
      <c r="I10" s="36" t="s">
        <v>44</v>
      </c>
      <c r="J10" s="35" t="s">
        <v>45</v>
      </c>
      <c r="K10" s="19" t="s">
        <v>46</v>
      </c>
      <c r="L10" s="151" t="s">
        <v>64</v>
      </c>
      <c r="M10" s="141" t="s">
        <v>64</v>
      </c>
    </row>
    <row r="11" spans="1:13" ht="24.9" x14ac:dyDescent="0.3">
      <c r="A11" s="83" t="s">
        <v>65</v>
      </c>
      <c r="B11" s="22">
        <v>10</v>
      </c>
      <c r="C11" s="91"/>
      <c r="D11" s="22">
        <v>1</v>
      </c>
      <c r="E11" s="22">
        <v>1</v>
      </c>
      <c r="F11" s="22">
        <v>0</v>
      </c>
      <c r="G11" s="4"/>
      <c r="H11" s="4" t="s">
        <v>43</v>
      </c>
      <c r="I11" s="36" t="s">
        <v>44</v>
      </c>
      <c r="J11" s="35" t="s">
        <v>45</v>
      </c>
      <c r="K11" s="19" t="s">
        <v>46</v>
      </c>
      <c r="L11" s="151" t="s">
        <v>66</v>
      </c>
      <c r="M11" s="141" t="s">
        <v>66</v>
      </c>
    </row>
    <row r="12" spans="1:13" ht="24.9" x14ac:dyDescent="0.3">
      <c r="A12" s="83" t="s">
        <v>67</v>
      </c>
      <c r="B12" s="22">
        <v>11</v>
      </c>
      <c r="C12" s="91"/>
      <c r="D12" s="22">
        <v>1</v>
      </c>
      <c r="E12" s="22">
        <v>1</v>
      </c>
      <c r="F12" s="22">
        <v>0</v>
      </c>
      <c r="G12" s="4"/>
      <c r="H12" s="4" t="s">
        <v>43</v>
      </c>
      <c r="I12" s="36" t="s">
        <v>44</v>
      </c>
      <c r="J12" s="35" t="s">
        <v>45</v>
      </c>
      <c r="K12" s="19" t="s">
        <v>46</v>
      </c>
      <c r="L12" s="151" t="s">
        <v>68</v>
      </c>
      <c r="M12" s="141" t="s">
        <v>68</v>
      </c>
    </row>
    <row r="13" spans="1:13" ht="24.9" x14ac:dyDescent="0.3">
      <c r="A13" s="83" t="s">
        <v>69</v>
      </c>
      <c r="B13" s="22">
        <v>12</v>
      </c>
      <c r="C13" s="91"/>
      <c r="D13" s="22">
        <v>1</v>
      </c>
      <c r="E13" s="22">
        <v>1</v>
      </c>
      <c r="F13" s="22">
        <v>0</v>
      </c>
      <c r="G13" s="4"/>
      <c r="H13" s="4" t="s">
        <v>43</v>
      </c>
      <c r="I13" s="36" t="s">
        <v>44</v>
      </c>
      <c r="J13" s="35" t="s">
        <v>45</v>
      </c>
      <c r="K13" s="19" t="s">
        <v>46</v>
      </c>
      <c r="L13" s="151" t="s">
        <v>70</v>
      </c>
      <c r="M13" s="141" t="s">
        <v>70</v>
      </c>
    </row>
    <row r="14" spans="1:13" ht="24.9" x14ac:dyDescent="0.3">
      <c r="A14" s="82" t="s">
        <v>71</v>
      </c>
      <c r="B14" s="22">
        <v>13</v>
      </c>
      <c r="C14" s="91"/>
      <c r="D14" s="22">
        <v>1</v>
      </c>
      <c r="E14" s="22">
        <v>1</v>
      </c>
      <c r="F14" s="22">
        <v>0</v>
      </c>
      <c r="G14" s="4"/>
      <c r="H14" s="4" t="s">
        <v>43</v>
      </c>
      <c r="I14" s="36" t="s">
        <v>44</v>
      </c>
      <c r="J14" s="35" t="s">
        <v>45</v>
      </c>
      <c r="K14" s="19" t="s">
        <v>46</v>
      </c>
      <c r="L14" s="151" t="s">
        <v>72</v>
      </c>
      <c r="M14" s="141" t="s">
        <v>72</v>
      </c>
    </row>
    <row r="15" spans="1:13" ht="24.9" x14ac:dyDescent="0.3">
      <c r="A15" s="82" t="s">
        <v>73</v>
      </c>
      <c r="B15" s="22">
        <v>14</v>
      </c>
      <c r="C15" s="91"/>
      <c r="D15" s="22">
        <v>1</v>
      </c>
      <c r="E15" s="22">
        <v>1</v>
      </c>
      <c r="F15" s="22">
        <v>0</v>
      </c>
      <c r="G15" s="4"/>
      <c r="H15" s="4" t="s">
        <v>43</v>
      </c>
      <c r="I15" s="36" t="s">
        <v>44</v>
      </c>
      <c r="J15" s="35" t="s">
        <v>45</v>
      </c>
      <c r="K15" s="19" t="s">
        <v>46</v>
      </c>
      <c r="L15" s="151" t="s">
        <v>74</v>
      </c>
      <c r="M15" s="141" t="s">
        <v>74</v>
      </c>
    </row>
    <row r="16" spans="1:13" ht="24.9" x14ac:dyDescent="0.3">
      <c r="A16" s="82" t="s">
        <v>75</v>
      </c>
      <c r="B16" s="22">
        <v>15</v>
      </c>
      <c r="C16" s="91"/>
      <c r="D16" s="22">
        <v>1</v>
      </c>
      <c r="E16" s="22">
        <v>1</v>
      </c>
      <c r="F16" s="22">
        <v>0</v>
      </c>
      <c r="G16" s="4"/>
      <c r="H16" s="4" t="s">
        <v>43</v>
      </c>
      <c r="I16" s="36" t="s">
        <v>44</v>
      </c>
      <c r="J16" s="35" t="s">
        <v>45</v>
      </c>
      <c r="K16" s="19" t="s">
        <v>46</v>
      </c>
      <c r="L16" s="151" t="s">
        <v>76</v>
      </c>
      <c r="M16" s="141" t="s">
        <v>76</v>
      </c>
    </row>
    <row r="17" spans="1:13" ht="24.9" x14ac:dyDescent="0.3">
      <c r="A17" s="82" t="s">
        <v>77</v>
      </c>
      <c r="B17" s="22">
        <v>16</v>
      </c>
      <c r="C17" s="91"/>
      <c r="D17" s="22">
        <v>1</v>
      </c>
      <c r="E17" s="22">
        <v>1</v>
      </c>
      <c r="F17" s="22">
        <v>0</v>
      </c>
      <c r="G17" s="4"/>
      <c r="H17" s="4" t="s">
        <v>43</v>
      </c>
      <c r="I17" s="36" t="s">
        <v>44</v>
      </c>
      <c r="J17" s="35" t="s">
        <v>45</v>
      </c>
      <c r="K17" s="19" t="s">
        <v>46</v>
      </c>
      <c r="L17" s="151" t="s">
        <v>78</v>
      </c>
      <c r="M17" s="141" t="s">
        <v>78</v>
      </c>
    </row>
    <row r="18" spans="1:13" ht="24.9" x14ac:dyDescent="0.3">
      <c r="A18" s="82" t="s">
        <v>79</v>
      </c>
      <c r="B18" s="22">
        <v>17</v>
      </c>
      <c r="C18" s="91"/>
      <c r="D18" s="22">
        <v>1</v>
      </c>
      <c r="E18" s="22">
        <v>1</v>
      </c>
      <c r="F18" s="22">
        <v>0</v>
      </c>
      <c r="G18" s="4"/>
      <c r="H18" s="4" t="s">
        <v>43</v>
      </c>
      <c r="I18" s="36" t="s">
        <v>44</v>
      </c>
      <c r="J18" s="35" t="s">
        <v>45</v>
      </c>
      <c r="K18" s="19" t="s">
        <v>46</v>
      </c>
      <c r="L18" s="151" t="s">
        <v>80</v>
      </c>
      <c r="M18" s="141" t="s">
        <v>80</v>
      </c>
    </row>
    <row r="19" spans="1:13" ht="24.9" x14ac:dyDescent="0.3">
      <c r="A19" s="82" t="s">
        <v>81</v>
      </c>
      <c r="B19" s="22">
        <v>18</v>
      </c>
      <c r="C19" s="91"/>
      <c r="D19" s="22">
        <v>1</v>
      </c>
      <c r="E19" s="22">
        <v>1</v>
      </c>
      <c r="F19" s="22">
        <v>0</v>
      </c>
      <c r="G19" s="4"/>
      <c r="H19" s="4" t="s">
        <v>43</v>
      </c>
      <c r="I19" s="36" t="s">
        <v>44</v>
      </c>
      <c r="J19" s="35" t="s">
        <v>45</v>
      </c>
      <c r="K19" s="19" t="s">
        <v>46</v>
      </c>
      <c r="L19" s="151" t="s">
        <v>82</v>
      </c>
      <c r="M19" s="141" t="s">
        <v>82</v>
      </c>
    </row>
    <row r="20" spans="1:13" ht="24.9" x14ac:dyDescent="0.3">
      <c r="A20" s="82" t="s">
        <v>83</v>
      </c>
      <c r="B20" s="22">
        <v>19</v>
      </c>
      <c r="C20" s="91"/>
      <c r="D20" s="22">
        <v>1</v>
      </c>
      <c r="E20" s="22">
        <v>1</v>
      </c>
      <c r="F20" s="22">
        <v>0</v>
      </c>
      <c r="G20" s="4"/>
      <c r="H20" s="4" t="s">
        <v>43</v>
      </c>
      <c r="I20" s="36" t="s">
        <v>44</v>
      </c>
      <c r="J20" s="35" t="s">
        <v>45</v>
      </c>
      <c r="K20" s="19" t="s">
        <v>46</v>
      </c>
      <c r="L20" s="151" t="s">
        <v>84</v>
      </c>
      <c r="M20" s="141" t="s">
        <v>84</v>
      </c>
    </row>
    <row r="21" spans="1:13" ht="24.9" x14ac:dyDescent="0.3">
      <c r="A21" s="82" t="s">
        <v>85</v>
      </c>
      <c r="B21" s="22">
        <v>20</v>
      </c>
      <c r="C21" s="91"/>
      <c r="D21" s="22">
        <v>1</v>
      </c>
      <c r="E21" s="22">
        <v>1</v>
      </c>
      <c r="F21" s="22">
        <v>0</v>
      </c>
      <c r="G21" s="4"/>
      <c r="H21" s="4" t="s">
        <v>43</v>
      </c>
      <c r="I21" s="36" t="s">
        <v>44</v>
      </c>
      <c r="J21" s="35" t="s">
        <v>45</v>
      </c>
      <c r="K21" s="19" t="s">
        <v>46</v>
      </c>
      <c r="L21" s="151" t="s">
        <v>86</v>
      </c>
      <c r="M21" s="141" t="s">
        <v>86</v>
      </c>
    </row>
    <row r="22" spans="1:13" ht="24.9" x14ac:dyDescent="0.3">
      <c r="A22" s="82" t="s">
        <v>87</v>
      </c>
      <c r="B22" s="22">
        <v>21</v>
      </c>
      <c r="C22" s="91"/>
      <c r="D22" s="22">
        <v>1</v>
      </c>
      <c r="E22" s="22">
        <v>1</v>
      </c>
      <c r="F22" s="22">
        <v>0</v>
      </c>
      <c r="G22" s="4"/>
      <c r="H22" s="4" t="s">
        <v>43</v>
      </c>
      <c r="I22" s="36" t="s">
        <v>44</v>
      </c>
      <c r="J22" s="35" t="s">
        <v>45</v>
      </c>
      <c r="K22" s="19" t="s">
        <v>46</v>
      </c>
      <c r="L22" s="151" t="s">
        <v>88</v>
      </c>
      <c r="M22" s="141" t="s">
        <v>88</v>
      </c>
    </row>
    <row r="23" spans="1:13" ht="24.9" x14ac:dyDescent="0.3">
      <c r="A23" s="81" t="s">
        <v>89</v>
      </c>
      <c r="B23" s="22">
        <v>22</v>
      </c>
      <c r="C23" s="91"/>
      <c r="D23" s="22">
        <v>1</v>
      </c>
      <c r="E23" s="22">
        <v>1</v>
      </c>
      <c r="F23" s="22">
        <v>0</v>
      </c>
      <c r="G23" s="4"/>
      <c r="H23" s="4" t="s">
        <v>43</v>
      </c>
      <c r="I23" s="23" t="s">
        <v>44</v>
      </c>
      <c r="J23" s="25" t="s">
        <v>45</v>
      </c>
      <c r="K23" s="24" t="s">
        <v>46</v>
      </c>
      <c r="L23" s="150" t="s">
        <v>90</v>
      </c>
      <c r="M23" s="139" t="s">
        <v>90</v>
      </c>
    </row>
    <row r="24" spans="1:13" ht="24.9" x14ac:dyDescent="0.3">
      <c r="A24" s="81" t="s">
        <v>91</v>
      </c>
      <c r="B24" s="22">
        <v>23</v>
      </c>
      <c r="C24" s="91"/>
      <c r="D24" s="22">
        <v>1</v>
      </c>
      <c r="E24" s="22">
        <v>1</v>
      </c>
      <c r="F24" s="22">
        <v>0</v>
      </c>
      <c r="G24" s="4"/>
      <c r="H24" s="4" t="s">
        <v>43</v>
      </c>
      <c r="I24" s="23" t="s">
        <v>44</v>
      </c>
      <c r="J24" s="25" t="s">
        <v>45</v>
      </c>
      <c r="K24" s="24" t="s">
        <v>46</v>
      </c>
      <c r="L24" s="150" t="s">
        <v>92</v>
      </c>
      <c r="M24" s="139" t="s">
        <v>92</v>
      </c>
    </row>
    <row r="25" spans="1:13" ht="24.9" x14ac:dyDescent="0.3">
      <c r="A25" s="81" t="s">
        <v>93</v>
      </c>
      <c r="B25" s="22">
        <v>24</v>
      </c>
      <c r="C25" s="91"/>
      <c r="D25" s="22">
        <v>1</v>
      </c>
      <c r="E25" s="22">
        <v>1</v>
      </c>
      <c r="F25" s="22">
        <v>0</v>
      </c>
      <c r="G25" s="4"/>
      <c r="H25" s="4" t="s">
        <v>43</v>
      </c>
      <c r="I25" s="23" t="s">
        <v>44</v>
      </c>
      <c r="J25" s="25" t="s">
        <v>45</v>
      </c>
      <c r="K25" s="24" t="s">
        <v>46</v>
      </c>
      <c r="L25" s="150" t="s">
        <v>94</v>
      </c>
      <c r="M25" s="139" t="s">
        <v>94</v>
      </c>
    </row>
    <row r="26" spans="1:13" ht="24.9" x14ac:dyDescent="0.3">
      <c r="A26" s="81" t="s">
        <v>95</v>
      </c>
      <c r="B26" s="22">
        <v>25</v>
      </c>
      <c r="C26" s="91"/>
      <c r="D26" s="22">
        <v>1</v>
      </c>
      <c r="E26" s="22">
        <v>1</v>
      </c>
      <c r="F26" s="22">
        <v>0</v>
      </c>
      <c r="G26" s="4"/>
      <c r="H26" s="4" t="s">
        <v>43</v>
      </c>
      <c r="I26" s="23" t="s">
        <v>44</v>
      </c>
      <c r="J26" s="25" t="s">
        <v>45</v>
      </c>
      <c r="K26" s="24" t="s">
        <v>46</v>
      </c>
      <c r="L26" s="150" t="s">
        <v>96</v>
      </c>
      <c r="M26" s="139" t="s">
        <v>96</v>
      </c>
    </row>
    <row r="27" spans="1:13" ht="24.9" x14ac:dyDescent="0.3">
      <c r="A27" s="81" t="s">
        <v>97</v>
      </c>
      <c r="B27" s="22">
        <v>26</v>
      </c>
      <c r="C27" s="91"/>
      <c r="D27" s="22">
        <v>1</v>
      </c>
      <c r="E27" s="22">
        <v>1</v>
      </c>
      <c r="F27" s="22">
        <v>0</v>
      </c>
      <c r="G27" s="4"/>
      <c r="H27" s="4" t="s">
        <v>43</v>
      </c>
      <c r="I27" s="23" t="s">
        <v>44</v>
      </c>
      <c r="J27" s="25" t="s">
        <v>45</v>
      </c>
      <c r="K27" s="24" t="s">
        <v>46</v>
      </c>
      <c r="L27" s="150" t="s">
        <v>98</v>
      </c>
      <c r="M27" s="139" t="s">
        <v>98</v>
      </c>
    </row>
    <row r="28" spans="1:13" ht="24.9" x14ac:dyDescent="0.3">
      <c r="A28" s="81" t="s">
        <v>99</v>
      </c>
      <c r="B28" s="22">
        <v>27</v>
      </c>
      <c r="C28" s="91"/>
      <c r="D28" s="22">
        <v>1</v>
      </c>
      <c r="E28" s="22">
        <v>1</v>
      </c>
      <c r="F28" s="22">
        <v>0</v>
      </c>
      <c r="G28" s="4"/>
      <c r="H28" s="4" t="s">
        <v>43</v>
      </c>
      <c r="I28" s="23" t="s">
        <v>44</v>
      </c>
      <c r="J28" s="25" t="s">
        <v>45</v>
      </c>
      <c r="K28" s="24" t="s">
        <v>46</v>
      </c>
      <c r="L28" s="150" t="s">
        <v>100</v>
      </c>
      <c r="M28" s="139" t="s">
        <v>100</v>
      </c>
    </row>
    <row r="29" spans="1:13" ht="24.9" x14ac:dyDescent="0.3">
      <c r="A29" s="81" t="s">
        <v>101</v>
      </c>
      <c r="B29" s="22">
        <v>28</v>
      </c>
      <c r="C29" s="91"/>
      <c r="D29" s="22">
        <v>1</v>
      </c>
      <c r="E29" s="22">
        <v>1</v>
      </c>
      <c r="F29" s="22">
        <v>0</v>
      </c>
      <c r="G29" s="4"/>
      <c r="H29" s="4" t="s">
        <v>43</v>
      </c>
      <c r="I29" s="23" t="s">
        <v>44</v>
      </c>
      <c r="J29" s="25" t="s">
        <v>45</v>
      </c>
      <c r="K29" s="24" t="s">
        <v>46</v>
      </c>
      <c r="L29" s="150" t="s">
        <v>102</v>
      </c>
      <c r="M29" s="139" t="s">
        <v>102</v>
      </c>
    </row>
    <row r="30" spans="1:13" ht="24.9" x14ac:dyDescent="0.3">
      <c r="A30" s="81" t="s">
        <v>103</v>
      </c>
      <c r="B30" s="22">
        <v>29</v>
      </c>
      <c r="C30" s="91"/>
      <c r="D30" s="22">
        <v>1</v>
      </c>
      <c r="E30" s="22">
        <v>1</v>
      </c>
      <c r="F30" s="22">
        <v>0</v>
      </c>
      <c r="G30" s="4"/>
      <c r="H30" s="4" t="s">
        <v>43</v>
      </c>
      <c r="I30" s="23" t="s">
        <v>44</v>
      </c>
      <c r="J30" s="25" t="s">
        <v>45</v>
      </c>
      <c r="K30" s="24" t="s">
        <v>46</v>
      </c>
      <c r="L30" s="150" t="s">
        <v>104</v>
      </c>
      <c r="M30" s="139" t="s">
        <v>104</v>
      </c>
    </row>
    <row r="31" spans="1:13" ht="24.9" x14ac:dyDescent="0.3">
      <c r="A31" s="81" t="s">
        <v>105</v>
      </c>
      <c r="B31" s="22">
        <v>30</v>
      </c>
      <c r="C31" s="91"/>
      <c r="D31" s="22">
        <v>1</v>
      </c>
      <c r="E31" s="22">
        <v>1</v>
      </c>
      <c r="F31" s="22">
        <v>0</v>
      </c>
      <c r="G31" s="4"/>
      <c r="H31" s="4" t="s">
        <v>43</v>
      </c>
      <c r="I31" s="23" t="s">
        <v>44</v>
      </c>
      <c r="J31" s="25" t="s">
        <v>45</v>
      </c>
      <c r="K31" s="24" t="s">
        <v>46</v>
      </c>
      <c r="L31" s="150" t="s">
        <v>106</v>
      </c>
      <c r="M31" s="139" t="s">
        <v>106</v>
      </c>
    </row>
    <row r="32" spans="1:13" ht="24.9" x14ac:dyDescent="0.3">
      <c r="A32" s="81" t="s">
        <v>107</v>
      </c>
      <c r="B32" s="22">
        <v>31</v>
      </c>
      <c r="C32" s="91"/>
      <c r="D32" s="22">
        <v>1</v>
      </c>
      <c r="E32" s="22">
        <v>1</v>
      </c>
      <c r="F32" s="22">
        <v>0</v>
      </c>
      <c r="G32" s="4"/>
      <c r="H32" s="4" t="s">
        <v>43</v>
      </c>
      <c r="I32" s="23" t="s">
        <v>44</v>
      </c>
      <c r="J32" s="25" t="s">
        <v>45</v>
      </c>
      <c r="K32" s="24" t="s">
        <v>46</v>
      </c>
      <c r="L32" s="150" t="s">
        <v>108</v>
      </c>
      <c r="M32" s="139" t="s">
        <v>108</v>
      </c>
    </row>
    <row r="33" spans="1:13" ht="24.9" x14ac:dyDescent="0.3">
      <c r="A33" s="81" t="s">
        <v>109</v>
      </c>
      <c r="B33" s="22">
        <v>32</v>
      </c>
      <c r="C33" s="91"/>
      <c r="D33" s="22">
        <v>1</v>
      </c>
      <c r="E33" s="22">
        <v>1</v>
      </c>
      <c r="F33" s="22">
        <v>0</v>
      </c>
      <c r="G33" s="4"/>
      <c r="H33" s="4" t="s">
        <v>43</v>
      </c>
      <c r="I33" s="23" t="s">
        <v>44</v>
      </c>
      <c r="J33" s="25" t="s">
        <v>45</v>
      </c>
      <c r="K33" s="24" t="s">
        <v>46</v>
      </c>
      <c r="L33" s="150" t="s">
        <v>110</v>
      </c>
      <c r="M33" s="139" t="s">
        <v>110</v>
      </c>
    </row>
    <row r="34" spans="1:13" ht="24.9" x14ac:dyDescent="0.3">
      <c r="A34" s="81" t="s">
        <v>111</v>
      </c>
      <c r="B34" s="22">
        <v>33</v>
      </c>
      <c r="C34" s="91"/>
      <c r="D34" s="22">
        <v>1</v>
      </c>
      <c r="E34" s="22">
        <v>1</v>
      </c>
      <c r="F34" s="22">
        <v>0</v>
      </c>
      <c r="G34" s="4"/>
      <c r="H34" s="4" t="s">
        <v>43</v>
      </c>
      <c r="I34" s="23" t="s">
        <v>44</v>
      </c>
      <c r="J34" s="25" t="s">
        <v>45</v>
      </c>
      <c r="K34" s="24" t="s">
        <v>46</v>
      </c>
      <c r="L34" s="150" t="s">
        <v>112</v>
      </c>
      <c r="M34" s="139" t="s">
        <v>112</v>
      </c>
    </row>
    <row r="35" spans="1:13" ht="24.9" x14ac:dyDescent="0.3">
      <c r="A35" s="81" t="s">
        <v>113</v>
      </c>
      <c r="B35" s="22">
        <v>34</v>
      </c>
      <c r="C35" s="91"/>
      <c r="D35" s="22">
        <v>1</v>
      </c>
      <c r="E35" s="22">
        <v>1</v>
      </c>
      <c r="F35" s="22">
        <v>0</v>
      </c>
      <c r="G35" s="4"/>
      <c r="H35" s="4" t="s">
        <v>43</v>
      </c>
      <c r="I35" s="23" t="s">
        <v>44</v>
      </c>
      <c r="J35" s="25" t="s">
        <v>45</v>
      </c>
      <c r="K35" s="24" t="s">
        <v>46</v>
      </c>
      <c r="L35" s="150" t="s">
        <v>114</v>
      </c>
      <c r="M35" s="139" t="s">
        <v>114</v>
      </c>
    </row>
    <row r="36" spans="1:13" ht="24.9" x14ac:dyDescent="0.3">
      <c r="A36" s="81" t="s">
        <v>115</v>
      </c>
      <c r="B36" s="22">
        <v>35</v>
      </c>
      <c r="C36" s="91"/>
      <c r="D36" s="22">
        <v>1</v>
      </c>
      <c r="E36" s="22">
        <v>1</v>
      </c>
      <c r="F36" s="22">
        <v>0</v>
      </c>
      <c r="G36" s="4"/>
      <c r="H36" s="4" t="s">
        <v>43</v>
      </c>
      <c r="I36" s="23" t="s">
        <v>44</v>
      </c>
      <c r="J36" s="25" t="s">
        <v>45</v>
      </c>
      <c r="K36" s="24" t="s">
        <v>46</v>
      </c>
      <c r="L36" s="150" t="s">
        <v>116</v>
      </c>
      <c r="M36" s="139" t="s">
        <v>116</v>
      </c>
    </row>
    <row r="37" spans="1:13" ht="24.9" x14ac:dyDescent="0.3">
      <c r="A37" s="81" t="s">
        <v>117</v>
      </c>
      <c r="B37" s="22">
        <v>36</v>
      </c>
      <c r="C37" s="91"/>
      <c r="D37" s="22">
        <v>1</v>
      </c>
      <c r="E37" s="22">
        <v>1</v>
      </c>
      <c r="F37" s="22">
        <v>0</v>
      </c>
      <c r="G37" s="4"/>
      <c r="H37" s="4" t="s">
        <v>43</v>
      </c>
      <c r="I37" s="23" t="s">
        <v>44</v>
      </c>
      <c r="J37" s="25" t="s">
        <v>45</v>
      </c>
      <c r="K37" s="24" t="s">
        <v>46</v>
      </c>
      <c r="L37" s="150" t="s">
        <v>118</v>
      </c>
      <c r="M37" s="139" t="s">
        <v>118</v>
      </c>
    </row>
    <row r="38" spans="1:13" ht="24.9" x14ac:dyDescent="0.3">
      <c r="A38" s="81" t="s">
        <v>119</v>
      </c>
      <c r="B38" s="22">
        <v>37</v>
      </c>
      <c r="C38" s="91"/>
      <c r="D38" s="22">
        <v>1</v>
      </c>
      <c r="E38" s="22">
        <v>1</v>
      </c>
      <c r="F38" s="22">
        <v>0</v>
      </c>
      <c r="G38" s="4"/>
      <c r="H38" s="4" t="s">
        <v>43</v>
      </c>
      <c r="I38" s="23" t="s">
        <v>44</v>
      </c>
      <c r="J38" s="25" t="s">
        <v>45</v>
      </c>
      <c r="K38" s="24" t="s">
        <v>46</v>
      </c>
      <c r="L38" s="150" t="s">
        <v>120</v>
      </c>
      <c r="M38" s="139" t="s">
        <v>120</v>
      </c>
    </row>
    <row r="39" spans="1:13" ht="24.9" x14ac:dyDescent="0.3">
      <c r="A39" s="81" t="s">
        <v>121</v>
      </c>
      <c r="B39" s="22">
        <v>38</v>
      </c>
      <c r="C39" s="91"/>
      <c r="D39" s="22">
        <v>1</v>
      </c>
      <c r="E39" s="22">
        <v>1</v>
      </c>
      <c r="F39" s="22">
        <v>0</v>
      </c>
      <c r="G39" s="4"/>
      <c r="H39" s="4" t="s">
        <v>43</v>
      </c>
      <c r="I39" s="23" t="s">
        <v>44</v>
      </c>
      <c r="J39" s="25" t="s">
        <v>45</v>
      </c>
      <c r="K39" s="24" t="s">
        <v>46</v>
      </c>
      <c r="L39" s="150" t="s">
        <v>122</v>
      </c>
      <c r="M39" s="139" t="s">
        <v>122</v>
      </c>
    </row>
    <row r="40" spans="1:13" ht="24.9" x14ac:dyDescent="0.3">
      <c r="A40" s="81" t="s">
        <v>1167</v>
      </c>
      <c r="B40" s="22">
        <v>39</v>
      </c>
      <c r="C40" s="91"/>
      <c r="D40" s="22">
        <v>1</v>
      </c>
      <c r="E40" s="22">
        <v>1</v>
      </c>
      <c r="F40" s="22">
        <v>0</v>
      </c>
      <c r="G40" s="4"/>
      <c r="H40" s="4" t="s">
        <v>43</v>
      </c>
      <c r="I40" s="23" t="s">
        <v>44</v>
      </c>
      <c r="J40" s="25" t="s">
        <v>45</v>
      </c>
      <c r="K40" s="24" t="s">
        <v>46</v>
      </c>
      <c r="L40" s="150" t="s">
        <v>123</v>
      </c>
      <c r="M40" s="139" t="s">
        <v>123</v>
      </c>
    </row>
    <row r="41" spans="1:13" ht="24.9" x14ac:dyDescent="0.3">
      <c r="A41" s="81" t="s">
        <v>1170</v>
      </c>
      <c r="B41" s="22">
        <v>40</v>
      </c>
      <c r="C41" s="91"/>
      <c r="D41" s="22">
        <v>1</v>
      </c>
      <c r="E41" s="22">
        <v>1</v>
      </c>
      <c r="F41" s="22">
        <v>0</v>
      </c>
      <c r="G41" s="4"/>
      <c r="H41" s="4" t="s">
        <v>43</v>
      </c>
      <c r="I41" s="23" t="s">
        <v>44</v>
      </c>
      <c r="J41" s="25" t="s">
        <v>45</v>
      </c>
      <c r="K41" s="24" t="s">
        <v>46</v>
      </c>
      <c r="L41" s="150" t="s">
        <v>124</v>
      </c>
      <c r="M41" s="139" t="s">
        <v>124</v>
      </c>
    </row>
    <row r="42" spans="1:13" ht="24.9" x14ac:dyDescent="0.3">
      <c r="A42" s="81" t="s">
        <v>125</v>
      </c>
      <c r="B42" s="22">
        <v>41</v>
      </c>
      <c r="C42" s="91"/>
      <c r="D42" s="22">
        <v>1</v>
      </c>
      <c r="E42" s="22">
        <v>1</v>
      </c>
      <c r="F42" s="22">
        <v>0</v>
      </c>
      <c r="G42" s="4"/>
      <c r="H42" s="4" t="s">
        <v>43</v>
      </c>
      <c r="I42" s="23" t="s">
        <v>44</v>
      </c>
      <c r="J42" s="25" t="s">
        <v>45</v>
      </c>
      <c r="K42" s="24" t="s">
        <v>46</v>
      </c>
      <c r="L42" s="150" t="s">
        <v>126</v>
      </c>
      <c r="M42" s="139" t="s">
        <v>126</v>
      </c>
    </row>
    <row r="43" spans="1:13" ht="24.9" x14ac:dyDescent="0.3">
      <c r="A43" s="81" t="s">
        <v>127</v>
      </c>
      <c r="B43" s="22">
        <v>42</v>
      </c>
      <c r="C43" s="91"/>
      <c r="D43" s="22">
        <v>1</v>
      </c>
      <c r="E43" s="22">
        <v>1</v>
      </c>
      <c r="F43" s="22">
        <v>0</v>
      </c>
      <c r="G43" s="4"/>
      <c r="H43" s="4" t="s">
        <v>43</v>
      </c>
      <c r="I43" s="23" t="s">
        <v>44</v>
      </c>
      <c r="J43" s="25" t="s">
        <v>45</v>
      </c>
      <c r="K43" s="24" t="s">
        <v>46</v>
      </c>
      <c r="L43" s="150" t="s">
        <v>128</v>
      </c>
      <c r="M43" s="139" t="s">
        <v>128</v>
      </c>
    </row>
    <row r="44" spans="1:13" ht="24.9" x14ac:dyDescent="0.3">
      <c r="A44" s="81" t="s">
        <v>129</v>
      </c>
      <c r="B44" s="22">
        <v>43</v>
      </c>
      <c r="C44" s="91"/>
      <c r="D44" s="22">
        <v>1</v>
      </c>
      <c r="E44" s="22">
        <v>1</v>
      </c>
      <c r="F44" s="22">
        <v>0</v>
      </c>
      <c r="G44" s="4"/>
      <c r="H44" s="4" t="s">
        <v>43</v>
      </c>
      <c r="I44" s="23" t="s">
        <v>44</v>
      </c>
      <c r="J44" s="25" t="s">
        <v>45</v>
      </c>
      <c r="K44" s="24" t="s">
        <v>46</v>
      </c>
      <c r="L44" s="150" t="s">
        <v>130</v>
      </c>
      <c r="M44" s="139" t="s">
        <v>130</v>
      </c>
    </row>
    <row r="45" spans="1:13" ht="24.9" x14ac:dyDescent="0.3">
      <c r="A45" s="81" t="s">
        <v>131</v>
      </c>
      <c r="B45" s="22">
        <v>44</v>
      </c>
      <c r="C45" s="91"/>
      <c r="D45" s="22">
        <v>1</v>
      </c>
      <c r="E45" s="22">
        <v>1</v>
      </c>
      <c r="F45" s="22">
        <v>0</v>
      </c>
      <c r="G45" s="4"/>
      <c r="H45" s="4" t="s">
        <v>43</v>
      </c>
      <c r="I45" s="23" t="s">
        <v>44</v>
      </c>
      <c r="J45" s="25" t="s">
        <v>45</v>
      </c>
      <c r="K45" s="24" t="s">
        <v>46</v>
      </c>
      <c r="L45" s="150" t="s">
        <v>132</v>
      </c>
      <c r="M45" s="139" t="s">
        <v>132</v>
      </c>
    </row>
    <row r="46" spans="1:13" ht="24.9" x14ac:dyDescent="0.3">
      <c r="A46" s="81" t="s">
        <v>133</v>
      </c>
      <c r="B46" s="22">
        <v>45</v>
      </c>
      <c r="C46" s="91"/>
      <c r="D46" s="22">
        <v>1</v>
      </c>
      <c r="E46" s="22">
        <v>1</v>
      </c>
      <c r="F46" s="22">
        <v>0</v>
      </c>
      <c r="G46" s="4"/>
      <c r="H46" s="4" t="s">
        <v>43</v>
      </c>
      <c r="I46" s="23" t="s">
        <v>44</v>
      </c>
      <c r="J46" s="25" t="s">
        <v>45</v>
      </c>
      <c r="K46" s="24" t="s">
        <v>46</v>
      </c>
      <c r="L46" s="150" t="s">
        <v>134</v>
      </c>
      <c r="M46" s="139" t="s">
        <v>134</v>
      </c>
    </row>
    <row r="47" spans="1:13" ht="24.9" x14ac:dyDescent="0.3">
      <c r="A47" s="81" t="s">
        <v>135</v>
      </c>
      <c r="B47" s="22">
        <v>46</v>
      </c>
      <c r="C47" s="91"/>
      <c r="D47" s="22">
        <v>1</v>
      </c>
      <c r="E47" s="22">
        <v>1</v>
      </c>
      <c r="F47" s="22">
        <v>0</v>
      </c>
      <c r="G47" s="4"/>
      <c r="H47" s="4" t="s">
        <v>43</v>
      </c>
      <c r="I47" s="23" t="s">
        <v>44</v>
      </c>
      <c r="J47" s="25" t="s">
        <v>45</v>
      </c>
      <c r="K47" s="24" t="s">
        <v>46</v>
      </c>
      <c r="L47" s="150" t="s">
        <v>136</v>
      </c>
      <c r="M47" s="139" t="s">
        <v>136</v>
      </c>
    </row>
    <row r="48" spans="1:13" ht="24.9" x14ac:dyDescent="0.3">
      <c r="A48" s="81" t="s">
        <v>137</v>
      </c>
      <c r="B48" s="22">
        <v>47</v>
      </c>
      <c r="C48" s="91"/>
      <c r="D48" s="22">
        <v>1</v>
      </c>
      <c r="E48" s="22">
        <v>1</v>
      </c>
      <c r="F48" s="22">
        <v>0</v>
      </c>
      <c r="G48" s="4"/>
      <c r="H48" s="4" t="s">
        <v>43</v>
      </c>
      <c r="I48" s="23" t="s">
        <v>44</v>
      </c>
      <c r="J48" s="25" t="s">
        <v>45</v>
      </c>
      <c r="K48" s="24" t="s">
        <v>46</v>
      </c>
      <c r="L48" s="150" t="s">
        <v>138</v>
      </c>
      <c r="M48" s="139" t="s">
        <v>138</v>
      </c>
    </row>
    <row r="49" spans="1:13" ht="24.9" x14ac:dyDescent="0.3">
      <c r="A49" s="81" t="s">
        <v>139</v>
      </c>
      <c r="B49" s="22">
        <v>48</v>
      </c>
      <c r="C49" s="91"/>
      <c r="D49" s="22">
        <v>1</v>
      </c>
      <c r="E49" s="22">
        <v>1</v>
      </c>
      <c r="F49" s="22">
        <v>0</v>
      </c>
      <c r="G49" s="4"/>
      <c r="H49" s="4" t="s">
        <v>43</v>
      </c>
      <c r="I49" s="23" t="s">
        <v>44</v>
      </c>
      <c r="J49" s="25" t="s">
        <v>45</v>
      </c>
      <c r="K49" s="24" t="s">
        <v>46</v>
      </c>
      <c r="L49" s="150" t="s">
        <v>140</v>
      </c>
      <c r="M49" s="139" t="s">
        <v>140</v>
      </c>
    </row>
    <row r="50" spans="1:13" ht="24.9" x14ac:dyDescent="0.3">
      <c r="A50" s="81" t="s">
        <v>141</v>
      </c>
      <c r="B50" s="22">
        <v>49</v>
      </c>
      <c r="C50" s="91"/>
      <c r="D50" s="22">
        <v>1</v>
      </c>
      <c r="E50" s="22">
        <v>1</v>
      </c>
      <c r="F50" s="22">
        <v>0</v>
      </c>
      <c r="G50" s="4"/>
      <c r="H50" s="4" t="s">
        <v>43</v>
      </c>
      <c r="I50" s="23" t="s">
        <v>44</v>
      </c>
      <c r="J50" s="25" t="s">
        <v>45</v>
      </c>
      <c r="K50" s="24" t="s">
        <v>142</v>
      </c>
      <c r="L50" s="152" t="s">
        <v>143</v>
      </c>
      <c r="M50" s="158" t="s">
        <v>143</v>
      </c>
    </row>
    <row r="51" spans="1:13" ht="24.9" x14ac:dyDescent="0.3">
      <c r="A51" s="81" t="s">
        <v>144</v>
      </c>
      <c r="B51" s="22">
        <v>50</v>
      </c>
      <c r="C51" s="91"/>
      <c r="D51" s="22">
        <v>1</v>
      </c>
      <c r="E51" s="22">
        <v>1</v>
      </c>
      <c r="F51" s="22">
        <v>0</v>
      </c>
      <c r="G51" s="4"/>
      <c r="H51" s="4" t="s">
        <v>43</v>
      </c>
      <c r="I51" s="23" t="s">
        <v>44</v>
      </c>
      <c r="J51" s="25" t="s">
        <v>45</v>
      </c>
      <c r="K51" s="24" t="s">
        <v>46</v>
      </c>
      <c r="L51" s="150" t="s">
        <v>145</v>
      </c>
      <c r="M51" s="139" t="s">
        <v>145</v>
      </c>
    </row>
    <row r="52" spans="1:13" ht="24.9" x14ac:dyDescent="0.3">
      <c r="A52" s="7" t="s">
        <v>146</v>
      </c>
      <c r="B52" s="22">
        <v>51</v>
      </c>
      <c r="C52" s="91"/>
      <c r="D52" s="22">
        <v>1</v>
      </c>
      <c r="E52" s="22">
        <v>1</v>
      </c>
      <c r="F52" s="22">
        <v>0</v>
      </c>
      <c r="G52" s="4"/>
      <c r="H52" s="4" t="s">
        <v>43</v>
      </c>
      <c r="I52" s="23" t="s">
        <v>44</v>
      </c>
      <c r="J52" s="25" t="s">
        <v>45</v>
      </c>
      <c r="K52" s="24" t="s">
        <v>142</v>
      </c>
      <c r="L52" s="150" t="s">
        <v>147</v>
      </c>
      <c r="M52" s="139" t="s">
        <v>147</v>
      </c>
    </row>
    <row r="53" spans="1:13" ht="24.9" x14ac:dyDescent="0.3">
      <c r="A53" s="81" t="s">
        <v>148</v>
      </c>
      <c r="B53" s="22">
        <v>52</v>
      </c>
      <c r="C53" s="91"/>
      <c r="D53" s="22">
        <v>1</v>
      </c>
      <c r="E53" s="22">
        <v>1</v>
      </c>
      <c r="F53" s="22">
        <v>0</v>
      </c>
      <c r="G53" s="4"/>
      <c r="H53" s="4" t="s">
        <v>43</v>
      </c>
      <c r="I53" s="23" t="s">
        <v>44</v>
      </c>
      <c r="J53" s="25" t="s">
        <v>45</v>
      </c>
      <c r="K53" s="24" t="s">
        <v>46</v>
      </c>
      <c r="L53" s="150" t="s">
        <v>149</v>
      </c>
      <c r="M53" s="139" t="s">
        <v>149</v>
      </c>
    </row>
    <row r="54" spans="1:13" ht="24.9" x14ac:dyDescent="0.3">
      <c r="A54" s="81" t="s">
        <v>150</v>
      </c>
      <c r="B54" s="22">
        <v>53</v>
      </c>
      <c r="C54" s="91"/>
      <c r="D54" s="22">
        <v>1</v>
      </c>
      <c r="E54" s="22">
        <v>1</v>
      </c>
      <c r="F54" s="22">
        <v>0</v>
      </c>
      <c r="G54" s="4"/>
      <c r="H54" s="4" t="s">
        <v>43</v>
      </c>
      <c r="I54" s="23" t="s">
        <v>44</v>
      </c>
      <c r="J54" s="25" t="s">
        <v>45</v>
      </c>
      <c r="K54" s="24" t="s">
        <v>46</v>
      </c>
      <c r="L54" s="150" t="s">
        <v>151</v>
      </c>
      <c r="M54" s="139" t="s">
        <v>151</v>
      </c>
    </row>
    <row r="55" spans="1:13" ht="24.9" x14ac:dyDescent="0.3">
      <c r="A55" s="81" t="s">
        <v>152</v>
      </c>
      <c r="B55" s="22">
        <v>54</v>
      </c>
      <c r="C55" s="91"/>
      <c r="D55" s="22">
        <v>1</v>
      </c>
      <c r="E55" s="22">
        <v>1</v>
      </c>
      <c r="F55" s="22">
        <v>0</v>
      </c>
      <c r="G55" s="4"/>
      <c r="H55" s="4" t="s">
        <v>43</v>
      </c>
      <c r="I55" s="23" t="s">
        <v>44</v>
      </c>
      <c r="J55" s="25" t="s">
        <v>45</v>
      </c>
      <c r="K55" s="24" t="s">
        <v>46</v>
      </c>
      <c r="L55" s="150" t="s">
        <v>153</v>
      </c>
      <c r="M55" s="139" t="s">
        <v>153</v>
      </c>
    </row>
    <row r="56" spans="1:13" ht="24.9" x14ac:dyDescent="0.3">
      <c r="A56" s="81" t="s">
        <v>154</v>
      </c>
      <c r="B56" s="22">
        <v>55</v>
      </c>
      <c r="C56" s="91"/>
      <c r="D56" s="22">
        <v>1</v>
      </c>
      <c r="E56" s="22">
        <v>1</v>
      </c>
      <c r="F56" s="22">
        <v>0</v>
      </c>
      <c r="G56" s="4"/>
      <c r="H56" s="4" t="s">
        <v>43</v>
      </c>
      <c r="I56" s="23" t="s">
        <v>44</v>
      </c>
      <c r="J56" s="25" t="s">
        <v>45</v>
      </c>
      <c r="K56" s="24" t="s">
        <v>46</v>
      </c>
      <c r="L56" s="150" t="s">
        <v>155</v>
      </c>
      <c r="M56" s="139" t="s">
        <v>155</v>
      </c>
    </row>
    <row r="57" spans="1:13" ht="24.9" x14ac:dyDescent="0.3">
      <c r="A57" s="81" t="s">
        <v>156</v>
      </c>
      <c r="B57" s="22">
        <v>56</v>
      </c>
      <c r="C57" s="91"/>
      <c r="D57" s="22">
        <v>1</v>
      </c>
      <c r="E57" s="22">
        <v>1</v>
      </c>
      <c r="F57" s="22">
        <v>0</v>
      </c>
      <c r="G57" s="4"/>
      <c r="H57" s="4" t="s">
        <v>43</v>
      </c>
      <c r="I57" s="23" t="s">
        <v>44</v>
      </c>
      <c r="J57" s="25" t="s">
        <v>157</v>
      </c>
      <c r="K57" s="24" t="s">
        <v>158</v>
      </c>
      <c r="L57" s="150" t="s">
        <v>159</v>
      </c>
      <c r="M57" s="139" t="s">
        <v>159</v>
      </c>
    </row>
    <row r="58" spans="1:13" ht="24.9" x14ac:dyDescent="0.3">
      <c r="A58" s="81" t="s">
        <v>160</v>
      </c>
      <c r="B58" s="22">
        <v>57</v>
      </c>
      <c r="C58" s="91"/>
      <c r="D58" s="22">
        <v>1</v>
      </c>
      <c r="E58" s="22">
        <v>1</v>
      </c>
      <c r="F58" s="22">
        <v>0</v>
      </c>
      <c r="G58" s="4"/>
      <c r="H58" s="4" t="s">
        <v>43</v>
      </c>
      <c r="I58" s="23" t="s">
        <v>44</v>
      </c>
      <c r="J58" s="25" t="s">
        <v>157</v>
      </c>
      <c r="K58" s="24" t="s">
        <v>158</v>
      </c>
      <c r="L58" s="150" t="s">
        <v>161</v>
      </c>
      <c r="M58" s="139" t="s">
        <v>161</v>
      </c>
    </row>
    <row r="59" spans="1:13" ht="24.9" x14ac:dyDescent="0.3">
      <c r="A59" s="84" t="s">
        <v>162</v>
      </c>
      <c r="B59" s="30" t="s">
        <v>163</v>
      </c>
      <c r="C59" s="92"/>
      <c r="D59" s="30">
        <v>1</v>
      </c>
      <c r="E59" s="30">
        <v>1</v>
      </c>
      <c r="F59" s="30">
        <v>0</v>
      </c>
      <c r="G59" s="33"/>
      <c r="H59" s="33"/>
      <c r="I59" s="31"/>
      <c r="J59" s="32"/>
      <c r="K59" s="34"/>
      <c r="L59" s="155"/>
      <c r="M59" s="147"/>
    </row>
    <row r="60" spans="1:13" ht="24.9" x14ac:dyDescent="0.3">
      <c r="A60" s="81" t="s">
        <v>164</v>
      </c>
      <c r="B60" s="22">
        <v>70</v>
      </c>
      <c r="C60" s="91"/>
      <c r="D60" s="22">
        <v>1</v>
      </c>
      <c r="E60" s="22">
        <v>1</v>
      </c>
      <c r="F60" s="22">
        <v>0</v>
      </c>
      <c r="G60" s="4"/>
      <c r="H60" s="4" t="s">
        <v>43</v>
      </c>
      <c r="I60" s="23" t="s">
        <v>44</v>
      </c>
      <c r="J60" s="25" t="s">
        <v>45</v>
      </c>
      <c r="K60" s="24" t="s">
        <v>46</v>
      </c>
      <c r="L60" s="150" t="s">
        <v>165</v>
      </c>
      <c r="M60" s="139" t="s">
        <v>165</v>
      </c>
    </row>
    <row r="61" spans="1:13" ht="24.9" x14ac:dyDescent="0.3">
      <c r="A61" s="81" t="s">
        <v>166</v>
      </c>
      <c r="B61" s="22">
        <v>71</v>
      </c>
      <c r="C61" s="91"/>
      <c r="D61" s="22">
        <v>1</v>
      </c>
      <c r="E61" s="22">
        <v>1</v>
      </c>
      <c r="F61" s="22">
        <v>0</v>
      </c>
      <c r="G61" s="4"/>
      <c r="H61" s="4" t="s">
        <v>43</v>
      </c>
      <c r="I61" s="23" t="s">
        <v>44</v>
      </c>
      <c r="J61" s="25" t="s">
        <v>45</v>
      </c>
      <c r="K61" s="24" t="s">
        <v>46</v>
      </c>
      <c r="L61" s="150" t="s">
        <v>167</v>
      </c>
      <c r="M61" s="139" t="s">
        <v>167</v>
      </c>
    </row>
    <row r="62" spans="1:13" ht="24.9" x14ac:dyDescent="0.3">
      <c r="A62" s="81" t="s">
        <v>168</v>
      </c>
      <c r="B62" s="22">
        <v>72</v>
      </c>
      <c r="C62" s="91"/>
      <c r="D62" s="22">
        <v>1</v>
      </c>
      <c r="E62" s="22">
        <v>1</v>
      </c>
      <c r="F62" s="22">
        <v>0</v>
      </c>
      <c r="G62" s="4"/>
      <c r="H62" s="4" t="s">
        <v>43</v>
      </c>
      <c r="I62" s="23" t="s">
        <v>44</v>
      </c>
      <c r="J62" s="25" t="s">
        <v>45</v>
      </c>
      <c r="K62" s="24" t="s">
        <v>46</v>
      </c>
      <c r="L62" s="150" t="s">
        <v>169</v>
      </c>
      <c r="M62" s="139" t="s">
        <v>169</v>
      </c>
    </row>
    <row r="63" spans="1:13" ht="24.9" x14ac:dyDescent="0.3">
      <c r="A63" s="81" t="s">
        <v>170</v>
      </c>
      <c r="B63" s="22">
        <v>73</v>
      </c>
      <c r="C63" s="91"/>
      <c r="D63" s="22">
        <v>1</v>
      </c>
      <c r="E63" s="22">
        <v>1</v>
      </c>
      <c r="F63" s="22">
        <v>0</v>
      </c>
      <c r="G63" s="4"/>
      <c r="H63" s="4" t="s">
        <v>43</v>
      </c>
      <c r="I63" s="23" t="s">
        <v>44</v>
      </c>
      <c r="J63" s="25" t="s">
        <v>45</v>
      </c>
      <c r="K63" s="24" t="s">
        <v>46</v>
      </c>
      <c r="L63" s="150" t="s">
        <v>171</v>
      </c>
      <c r="M63" s="139" t="s">
        <v>171</v>
      </c>
    </row>
    <row r="64" spans="1:13" ht="24.9" x14ac:dyDescent="0.3">
      <c r="A64" s="81" t="s">
        <v>172</v>
      </c>
      <c r="B64" s="22">
        <v>74</v>
      </c>
      <c r="C64" s="91"/>
      <c r="D64" s="22">
        <v>1</v>
      </c>
      <c r="E64" s="22">
        <v>1</v>
      </c>
      <c r="F64" s="22">
        <v>0</v>
      </c>
      <c r="G64" s="4"/>
      <c r="H64" s="4" t="s">
        <v>43</v>
      </c>
      <c r="I64" s="23" t="s">
        <v>44</v>
      </c>
      <c r="J64" s="25" t="s">
        <v>45</v>
      </c>
      <c r="K64" s="24" t="s">
        <v>46</v>
      </c>
      <c r="L64" s="150" t="s">
        <v>173</v>
      </c>
      <c r="M64" s="139" t="s">
        <v>173</v>
      </c>
    </row>
    <row r="65" spans="1:13" ht="24.9" x14ac:dyDescent="0.3">
      <c r="A65" s="81" t="s">
        <v>174</v>
      </c>
      <c r="B65" s="22">
        <v>75</v>
      </c>
      <c r="C65" s="91"/>
      <c r="D65" s="22">
        <v>1</v>
      </c>
      <c r="E65" s="22">
        <v>1</v>
      </c>
      <c r="F65" s="22">
        <v>0</v>
      </c>
      <c r="G65" s="4"/>
      <c r="H65" s="4" t="s">
        <v>43</v>
      </c>
      <c r="I65" s="23" t="s">
        <v>44</v>
      </c>
      <c r="J65" s="25" t="s">
        <v>45</v>
      </c>
      <c r="K65" s="24" t="s">
        <v>46</v>
      </c>
      <c r="L65" s="150" t="s">
        <v>175</v>
      </c>
      <c r="M65" s="139" t="s">
        <v>175</v>
      </c>
    </row>
    <row r="66" spans="1:13" ht="24.9" x14ac:dyDescent="0.3">
      <c r="A66" s="81" t="s">
        <v>176</v>
      </c>
      <c r="B66" s="22">
        <v>76</v>
      </c>
      <c r="C66" s="91"/>
      <c r="D66" s="22">
        <v>1</v>
      </c>
      <c r="E66" s="22">
        <v>1</v>
      </c>
      <c r="F66" s="22">
        <v>0</v>
      </c>
      <c r="G66" s="4"/>
      <c r="H66" s="4" t="s">
        <v>43</v>
      </c>
      <c r="I66" s="23" t="s">
        <v>44</v>
      </c>
      <c r="J66" s="25" t="s">
        <v>45</v>
      </c>
      <c r="K66" s="24" t="s">
        <v>46</v>
      </c>
      <c r="L66" s="150" t="s">
        <v>177</v>
      </c>
      <c r="M66" s="139" t="s">
        <v>177</v>
      </c>
    </row>
    <row r="67" spans="1:13" ht="24.9" x14ac:dyDescent="0.3">
      <c r="A67" s="81" t="s">
        <v>178</v>
      </c>
      <c r="B67" s="22">
        <v>77</v>
      </c>
      <c r="C67" s="91"/>
      <c r="D67" s="22">
        <v>1</v>
      </c>
      <c r="E67" s="22">
        <v>1</v>
      </c>
      <c r="F67" s="22">
        <v>0</v>
      </c>
      <c r="G67" s="4"/>
      <c r="H67" s="4" t="s">
        <v>43</v>
      </c>
      <c r="I67" s="23" t="s">
        <v>44</v>
      </c>
      <c r="J67" s="25" t="s">
        <v>45</v>
      </c>
      <c r="K67" s="24" t="s">
        <v>46</v>
      </c>
      <c r="L67" s="150" t="s">
        <v>179</v>
      </c>
      <c r="M67" s="139" t="s">
        <v>179</v>
      </c>
    </row>
    <row r="68" spans="1:13" ht="24.9" x14ac:dyDescent="0.3">
      <c r="A68" s="81" t="s">
        <v>180</v>
      </c>
      <c r="B68" s="22">
        <v>78</v>
      </c>
      <c r="C68" s="91"/>
      <c r="D68" s="22">
        <v>1</v>
      </c>
      <c r="E68" s="22">
        <v>1</v>
      </c>
      <c r="F68" s="22">
        <v>0</v>
      </c>
      <c r="G68" s="4"/>
      <c r="H68" s="4" t="s">
        <v>43</v>
      </c>
      <c r="I68" s="23" t="s">
        <v>44</v>
      </c>
      <c r="J68" s="25" t="s">
        <v>45</v>
      </c>
      <c r="K68" s="24" t="s">
        <v>46</v>
      </c>
      <c r="L68" s="150" t="s">
        <v>181</v>
      </c>
      <c r="M68" s="139" t="s">
        <v>181</v>
      </c>
    </row>
    <row r="69" spans="1:13" ht="24.9" x14ac:dyDescent="0.3">
      <c r="A69" s="81" t="s">
        <v>182</v>
      </c>
      <c r="B69" s="22">
        <v>79</v>
      </c>
      <c r="C69" s="91"/>
      <c r="D69" s="22">
        <v>1</v>
      </c>
      <c r="E69" s="22">
        <v>1</v>
      </c>
      <c r="F69" s="22">
        <v>0</v>
      </c>
      <c r="G69" s="4"/>
      <c r="H69" s="4" t="s">
        <v>43</v>
      </c>
      <c r="I69" s="23" t="s">
        <v>44</v>
      </c>
      <c r="J69" s="25" t="s">
        <v>45</v>
      </c>
      <c r="K69" s="24" t="s">
        <v>46</v>
      </c>
      <c r="L69" s="150" t="s">
        <v>183</v>
      </c>
      <c r="M69" s="139" t="s">
        <v>183</v>
      </c>
    </row>
    <row r="70" spans="1:13" ht="24.9" x14ac:dyDescent="0.3">
      <c r="A70" s="85" t="s">
        <v>184</v>
      </c>
      <c r="B70" s="22">
        <v>80</v>
      </c>
      <c r="C70" s="91"/>
      <c r="D70" s="22">
        <v>1</v>
      </c>
      <c r="E70" s="22">
        <v>1</v>
      </c>
      <c r="F70" s="22">
        <v>0</v>
      </c>
      <c r="G70" s="4"/>
      <c r="H70" s="4" t="s">
        <v>43</v>
      </c>
      <c r="I70" s="43" t="s">
        <v>44</v>
      </c>
      <c r="J70" s="45" t="s">
        <v>45</v>
      </c>
      <c r="K70" s="44" t="s">
        <v>46</v>
      </c>
      <c r="L70" s="153" t="s">
        <v>185</v>
      </c>
      <c r="M70" s="159" t="s">
        <v>185</v>
      </c>
    </row>
    <row r="71" spans="1:13" ht="24.9" x14ac:dyDescent="0.3">
      <c r="A71" s="7" t="s">
        <v>186</v>
      </c>
      <c r="B71" s="22">
        <v>81</v>
      </c>
      <c r="C71" s="91"/>
      <c r="D71" s="22">
        <v>1</v>
      </c>
      <c r="E71" s="22">
        <v>1</v>
      </c>
      <c r="F71" s="22">
        <v>0</v>
      </c>
      <c r="G71" s="4"/>
      <c r="H71" s="4" t="s">
        <v>43</v>
      </c>
      <c r="I71" s="23" t="s">
        <v>44</v>
      </c>
      <c r="J71" s="25" t="s">
        <v>45</v>
      </c>
      <c r="K71" s="24" t="s">
        <v>142</v>
      </c>
      <c r="L71" s="118" t="s">
        <v>187</v>
      </c>
      <c r="M71" s="158" t="s">
        <v>187</v>
      </c>
    </row>
    <row r="72" spans="1:13" ht="24.9" x14ac:dyDescent="0.3">
      <c r="A72" s="7" t="s">
        <v>188</v>
      </c>
      <c r="B72" s="22">
        <v>82</v>
      </c>
      <c r="C72" s="91"/>
      <c r="D72" s="22">
        <v>1</v>
      </c>
      <c r="E72" s="22">
        <v>1</v>
      </c>
      <c r="F72" s="22">
        <v>0</v>
      </c>
      <c r="G72" s="4"/>
      <c r="H72" s="4" t="s">
        <v>43</v>
      </c>
      <c r="I72" s="23" t="s">
        <v>44</v>
      </c>
      <c r="J72" s="25" t="s">
        <v>45</v>
      </c>
      <c r="K72" s="24" t="s">
        <v>142</v>
      </c>
      <c r="L72" s="119" t="s">
        <v>189</v>
      </c>
      <c r="M72" s="158" t="s">
        <v>189</v>
      </c>
    </row>
    <row r="73" spans="1:13" ht="24.9" x14ac:dyDescent="0.3">
      <c r="A73" s="7" t="s">
        <v>190</v>
      </c>
      <c r="B73" s="22">
        <v>83</v>
      </c>
      <c r="C73" s="91"/>
      <c r="D73" s="22">
        <v>1</v>
      </c>
      <c r="E73" s="22">
        <v>1</v>
      </c>
      <c r="F73" s="22">
        <v>0</v>
      </c>
      <c r="G73" s="4"/>
      <c r="H73" s="4" t="s">
        <v>43</v>
      </c>
      <c r="I73" s="23" t="s">
        <v>44</v>
      </c>
      <c r="J73" s="25" t="s">
        <v>45</v>
      </c>
      <c r="K73" s="24" t="s">
        <v>142</v>
      </c>
      <c r="L73" s="119" t="s">
        <v>191</v>
      </c>
      <c r="M73" s="139"/>
    </row>
    <row r="74" spans="1:13" ht="24.9" x14ac:dyDescent="0.3">
      <c r="A74" s="7" t="s">
        <v>192</v>
      </c>
      <c r="B74" s="22">
        <v>84</v>
      </c>
      <c r="C74" s="91"/>
      <c r="D74" s="22">
        <v>1</v>
      </c>
      <c r="E74" s="22">
        <v>1</v>
      </c>
      <c r="F74" s="22">
        <v>0</v>
      </c>
      <c r="G74" s="4"/>
      <c r="H74" s="4" t="s">
        <v>43</v>
      </c>
      <c r="I74" s="23" t="s">
        <v>44</v>
      </c>
      <c r="J74" s="25" t="s">
        <v>45</v>
      </c>
      <c r="K74" s="24" t="s">
        <v>142</v>
      </c>
      <c r="L74" s="119" t="s">
        <v>193</v>
      </c>
      <c r="M74" s="158" t="s">
        <v>193</v>
      </c>
    </row>
    <row r="75" spans="1:13" ht="24.9" x14ac:dyDescent="0.3">
      <c r="A75" s="7" t="s">
        <v>194</v>
      </c>
      <c r="B75" s="22">
        <v>85</v>
      </c>
      <c r="C75" s="91"/>
      <c r="D75" s="22">
        <v>1</v>
      </c>
      <c r="E75" s="22">
        <v>1</v>
      </c>
      <c r="F75" s="22">
        <v>0</v>
      </c>
      <c r="G75" s="4"/>
      <c r="H75" s="4" t="s">
        <v>43</v>
      </c>
      <c r="I75" s="23" t="s">
        <v>44</v>
      </c>
      <c r="J75" s="25" t="s">
        <v>45</v>
      </c>
      <c r="K75" s="24" t="s">
        <v>142</v>
      </c>
      <c r="L75" s="119" t="s">
        <v>195</v>
      </c>
      <c r="M75" s="158" t="s">
        <v>195</v>
      </c>
    </row>
    <row r="76" spans="1:13" ht="24.9" x14ac:dyDescent="0.3">
      <c r="A76" s="7" t="s">
        <v>196</v>
      </c>
      <c r="B76" s="22">
        <v>86</v>
      </c>
      <c r="C76" s="91"/>
      <c r="D76" s="22">
        <v>1</v>
      </c>
      <c r="E76" s="22">
        <v>1</v>
      </c>
      <c r="F76" s="22">
        <v>0</v>
      </c>
      <c r="G76" s="4"/>
      <c r="H76" s="4" t="s">
        <v>43</v>
      </c>
      <c r="I76" s="23" t="s">
        <v>44</v>
      </c>
      <c r="J76" s="25" t="s">
        <v>45</v>
      </c>
      <c r="K76" s="24" t="s">
        <v>142</v>
      </c>
      <c r="L76" s="119" t="s">
        <v>197</v>
      </c>
      <c r="M76" s="139"/>
    </row>
    <row r="77" spans="1:13" ht="24.9" x14ac:dyDescent="0.3">
      <c r="A77" s="7" t="s">
        <v>198</v>
      </c>
      <c r="B77" s="22">
        <v>87</v>
      </c>
      <c r="C77" s="91"/>
      <c r="D77" s="22">
        <v>1</v>
      </c>
      <c r="E77" s="22">
        <v>1</v>
      </c>
      <c r="F77" s="22">
        <v>0</v>
      </c>
      <c r="G77" s="4"/>
      <c r="H77" s="4" t="s">
        <v>43</v>
      </c>
      <c r="I77" s="23" t="s">
        <v>44</v>
      </c>
      <c r="J77" s="25" t="s">
        <v>45</v>
      </c>
      <c r="K77" s="24" t="s">
        <v>142</v>
      </c>
      <c r="L77" s="119" t="s">
        <v>199</v>
      </c>
      <c r="M77" s="139"/>
    </row>
    <row r="78" spans="1:13" ht="24.9" x14ac:dyDescent="0.3">
      <c r="A78" s="7" t="s">
        <v>200</v>
      </c>
      <c r="B78" s="22">
        <v>88</v>
      </c>
      <c r="C78" s="91"/>
      <c r="D78" s="22">
        <v>1</v>
      </c>
      <c r="E78" s="22">
        <v>1</v>
      </c>
      <c r="F78" s="22">
        <v>0</v>
      </c>
      <c r="G78" s="4"/>
      <c r="H78" s="4" t="s">
        <v>43</v>
      </c>
      <c r="I78" s="23" t="s">
        <v>44</v>
      </c>
      <c r="J78" s="25" t="s">
        <v>45</v>
      </c>
      <c r="K78" s="24" t="s">
        <v>142</v>
      </c>
      <c r="L78" s="119" t="s">
        <v>201</v>
      </c>
      <c r="M78" s="139"/>
    </row>
    <row r="79" spans="1:13" ht="24.9" x14ac:dyDescent="0.3">
      <c r="A79" s="7" t="s">
        <v>202</v>
      </c>
      <c r="B79" s="22">
        <v>89</v>
      </c>
      <c r="C79" s="91"/>
      <c r="D79" s="22">
        <v>1</v>
      </c>
      <c r="E79" s="22">
        <v>1</v>
      </c>
      <c r="F79" s="22">
        <v>0</v>
      </c>
      <c r="G79" s="4"/>
      <c r="H79" s="4" t="s">
        <v>43</v>
      </c>
      <c r="I79" s="23" t="s">
        <v>44</v>
      </c>
      <c r="J79" s="25" t="s">
        <v>45</v>
      </c>
      <c r="K79" s="24" t="s">
        <v>142</v>
      </c>
      <c r="L79" s="119" t="s">
        <v>203</v>
      </c>
      <c r="M79" s="139"/>
    </row>
    <row r="80" spans="1:13" ht="24.9" x14ac:dyDescent="0.3">
      <c r="A80" s="7" t="s">
        <v>204</v>
      </c>
      <c r="B80" s="22">
        <v>90</v>
      </c>
      <c r="C80" s="91"/>
      <c r="D80" s="22">
        <v>1</v>
      </c>
      <c r="E80" s="22">
        <v>1</v>
      </c>
      <c r="F80" s="22">
        <v>0</v>
      </c>
      <c r="G80" s="4"/>
      <c r="H80" s="4" t="s">
        <v>43</v>
      </c>
      <c r="I80" s="23" t="s">
        <v>44</v>
      </c>
      <c r="J80" s="25" t="s">
        <v>45</v>
      </c>
      <c r="K80" s="24" t="s">
        <v>142</v>
      </c>
      <c r="L80" s="119" t="s">
        <v>205</v>
      </c>
      <c r="M80" s="139"/>
    </row>
    <row r="81" spans="1:13" ht="24.9" x14ac:dyDescent="0.3">
      <c r="A81" s="7" t="s">
        <v>206</v>
      </c>
      <c r="B81" s="22">
        <v>91</v>
      </c>
      <c r="C81" s="91"/>
      <c r="D81" s="22">
        <v>1</v>
      </c>
      <c r="E81" s="22">
        <v>1</v>
      </c>
      <c r="F81" s="22">
        <v>0</v>
      </c>
      <c r="G81" s="4"/>
      <c r="H81" s="4" t="s">
        <v>43</v>
      </c>
      <c r="I81" s="23" t="s">
        <v>44</v>
      </c>
      <c r="J81" s="25" t="s">
        <v>45</v>
      </c>
      <c r="K81" s="24" t="s">
        <v>142</v>
      </c>
      <c r="L81" s="119" t="s">
        <v>207</v>
      </c>
      <c r="M81" s="139"/>
    </row>
    <row r="82" spans="1:13" ht="24.9" x14ac:dyDescent="0.3">
      <c r="A82" s="7" t="s">
        <v>208</v>
      </c>
      <c r="B82" s="22">
        <v>92</v>
      </c>
      <c r="C82" s="91"/>
      <c r="D82" s="22">
        <v>1</v>
      </c>
      <c r="E82" s="22">
        <v>1</v>
      </c>
      <c r="F82" s="22">
        <v>0</v>
      </c>
      <c r="G82" s="4"/>
      <c r="H82" s="4" t="s">
        <v>43</v>
      </c>
      <c r="I82" s="23" t="s">
        <v>44</v>
      </c>
      <c r="J82" s="25" t="s">
        <v>45</v>
      </c>
      <c r="K82" s="24" t="s">
        <v>142</v>
      </c>
      <c r="L82" s="119" t="s">
        <v>209</v>
      </c>
      <c r="M82" s="139"/>
    </row>
    <row r="83" spans="1:13" ht="24.9" x14ac:dyDescent="0.3">
      <c r="A83" s="7" t="s">
        <v>210</v>
      </c>
      <c r="B83" s="22">
        <v>93</v>
      </c>
      <c r="C83" s="91"/>
      <c r="D83" s="22">
        <v>1</v>
      </c>
      <c r="E83" s="22">
        <v>1</v>
      </c>
      <c r="F83" s="22">
        <v>0</v>
      </c>
      <c r="G83" s="4"/>
      <c r="H83" s="4" t="s">
        <v>43</v>
      </c>
      <c r="I83" s="23" t="s">
        <v>44</v>
      </c>
      <c r="J83" s="25" t="s">
        <v>45</v>
      </c>
      <c r="K83" s="24" t="s">
        <v>142</v>
      </c>
      <c r="L83" s="119" t="s">
        <v>211</v>
      </c>
      <c r="M83" s="139"/>
    </row>
    <row r="84" spans="1:13" ht="24.9" x14ac:dyDescent="0.3">
      <c r="A84" s="7" t="s">
        <v>212</v>
      </c>
      <c r="B84" s="22">
        <v>94</v>
      </c>
      <c r="C84" s="91"/>
      <c r="D84" s="22">
        <v>1</v>
      </c>
      <c r="E84" s="22">
        <v>1</v>
      </c>
      <c r="F84" s="22">
        <v>0</v>
      </c>
      <c r="G84" s="4"/>
      <c r="H84" s="4" t="s">
        <v>43</v>
      </c>
      <c r="I84" s="23" t="s">
        <v>44</v>
      </c>
      <c r="J84" s="25" t="s">
        <v>45</v>
      </c>
      <c r="K84" s="24" t="s">
        <v>142</v>
      </c>
      <c r="L84" s="119" t="s">
        <v>213</v>
      </c>
      <c r="M84" s="139"/>
    </row>
    <row r="85" spans="1:13" ht="24.9" x14ac:dyDescent="0.3">
      <c r="A85" s="7" t="s">
        <v>214</v>
      </c>
      <c r="B85" s="22">
        <v>95</v>
      </c>
      <c r="C85" s="91"/>
      <c r="D85" s="22">
        <v>1</v>
      </c>
      <c r="E85" s="22">
        <v>1</v>
      </c>
      <c r="F85" s="22">
        <v>0</v>
      </c>
      <c r="G85" s="4"/>
      <c r="H85" s="4" t="s">
        <v>43</v>
      </c>
      <c r="I85" s="23" t="s">
        <v>44</v>
      </c>
      <c r="J85" s="25" t="s">
        <v>45</v>
      </c>
      <c r="K85" s="24" t="s">
        <v>142</v>
      </c>
      <c r="L85" s="119" t="s">
        <v>215</v>
      </c>
      <c r="M85" s="139"/>
    </row>
    <row r="86" spans="1:13" ht="24.9" x14ac:dyDescent="0.3">
      <c r="A86" s="7" t="s">
        <v>216</v>
      </c>
      <c r="B86" s="22">
        <v>96</v>
      </c>
      <c r="C86" s="91"/>
      <c r="D86" s="22">
        <v>1</v>
      </c>
      <c r="E86" s="22">
        <v>1</v>
      </c>
      <c r="F86" s="22">
        <v>0</v>
      </c>
      <c r="G86" s="4"/>
      <c r="H86" s="4" t="s">
        <v>43</v>
      </c>
      <c r="I86" s="23" t="s">
        <v>44</v>
      </c>
      <c r="J86" s="25" t="s">
        <v>45</v>
      </c>
      <c r="K86" s="24" t="s">
        <v>142</v>
      </c>
      <c r="L86" s="119" t="s">
        <v>217</v>
      </c>
      <c r="M86" s="139"/>
    </row>
    <row r="87" spans="1:13" ht="24.9" x14ac:dyDescent="0.3">
      <c r="A87" s="7" t="s">
        <v>218</v>
      </c>
      <c r="B87" s="22">
        <v>97</v>
      </c>
      <c r="C87" s="91"/>
      <c r="D87" s="22">
        <v>1</v>
      </c>
      <c r="E87" s="22">
        <v>1</v>
      </c>
      <c r="F87" s="22">
        <v>0</v>
      </c>
      <c r="G87" s="4"/>
      <c r="H87" s="4" t="s">
        <v>43</v>
      </c>
      <c r="I87" s="23" t="s">
        <v>44</v>
      </c>
      <c r="J87" s="25" t="s">
        <v>45</v>
      </c>
      <c r="K87" s="24" t="s">
        <v>142</v>
      </c>
      <c r="L87" s="119" t="s">
        <v>219</v>
      </c>
      <c r="M87" s="139"/>
    </row>
    <row r="88" spans="1:13" ht="24.9" x14ac:dyDescent="0.3">
      <c r="A88" s="7" t="s">
        <v>220</v>
      </c>
      <c r="B88" s="22">
        <v>98</v>
      </c>
      <c r="C88" s="91"/>
      <c r="D88" s="22">
        <v>1</v>
      </c>
      <c r="E88" s="22">
        <v>1</v>
      </c>
      <c r="F88" s="22">
        <v>0</v>
      </c>
      <c r="G88" s="4"/>
      <c r="H88" s="4" t="s">
        <v>43</v>
      </c>
      <c r="I88" s="23" t="s">
        <v>44</v>
      </c>
      <c r="J88" s="25" t="s">
        <v>45</v>
      </c>
      <c r="K88" s="24" t="s">
        <v>142</v>
      </c>
      <c r="L88" s="119" t="s">
        <v>221</v>
      </c>
      <c r="M88" s="139"/>
    </row>
    <row r="89" spans="1:13" ht="24.9" x14ac:dyDescent="0.3">
      <c r="A89" s="7" t="s">
        <v>222</v>
      </c>
      <c r="B89" s="22">
        <v>99</v>
      </c>
      <c r="C89" s="91"/>
      <c r="D89" s="22">
        <v>1</v>
      </c>
      <c r="E89" s="22">
        <v>1</v>
      </c>
      <c r="F89" s="22">
        <v>0</v>
      </c>
      <c r="G89" s="4"/>
      <c r="H89" s="4" t="s">
        <v>43</v>
      </c>
      <c r="I89" s="23" t="s">
        <v>44</v>
      </c>
      <c r="J89" s="25" t="s">
        <v>45</v>
      </c>
      <c r="K89" s="24" t="s">
        <v>142</v>
      </c>
      <c r="L89" s="119" t="s">
        <v>223</v>
      </c>
      <c r="M89" s="158" t="s">
        <v>223</v>
      </c>
    </row>
    <row r="90" spans="1:13" ht="24.9" x14ac:dyDescent="0.3">
      <c r="A90" s="7" t="s">
        <v>224</v>
      </c>
      <c r="B90" s="22">
        <v>100</v>
      </c>
      <c r="C90" s="91"/>
      <c r="D90" s="22">
        <v>1</v>
      </c>
      <c r="E90" s="22">
        <v>1</v>
      </c>
      <c r="F90" s="22">
        <v>0</v>
      </c>
      <c r="G90" s="4"/>
      <c r="H90" s="4" t="s">
        <v>43</v>
      </c>
      <c r="I90" s="23" t="s">
        <v>44</v>
      </c>
      <c r="J90" s="25" t="s">
        <v>45</v>
      </c>
      <c r="K90" s="24" t="s">
        <v>142</v>
      </c>
      <c r="L90" s="119" t="s">
        <v>225</v>
      </c>
      <c r="M90" s="139"/>
    </row>
    <row r="91" spans="1:13" ht="24.9" x14ac:dyDescent="0.3">
      <c r="A91" s="7" t="s">
        <v>226</v>
      </c>
      <c r="B91" s="22">
        <v>101</v>
      </c>
      <c r="C91" s="91"/>
      <c r="D91" s="22">
        <v>1</v>
      </c>
      <c r="E91" s="22">
        <v>1</v>
      </c>
      <c r="F91" s="22">
        <v>0</v>
      </c>
      <c r="G91" s="4"/>
      <c r="H91" s="4" t="s">
        <v>43</v>
      </c>
      <c r="I91" s="23" t="s">
        <v>44</v>
      </c>
      <c r="J91" s="25" t="s">
        <v>45</v>
      </c>
      <c r="K91" s="24" t="s">
        <v>142</v>
      </c>
      <c r="L91" s="119" t="s">
        <v>227</v>
      </c>
      <c r="M91" s="139"/>
    </row>
    <row r="92" spans="1:13" ht="24.9" x14ac:dyDescent="0.3">
      <c r="A92" s="7" t="s">
        <v>228</v>
      </c>
      <c r="B92" s="22">
        <v>102</v>
      </c>
      <c r="C92" s="91"/>
      <c r="D92" s="22">
        <v>1</v>
      </c>
      <c r="E92" s="22">
        <v>1</v>
      </c>
      <c r="F92" s="22">
        <v>0</v>
      </c>
      <c r="G92" s="4"/>
      <c r="H92" s="4" t="s">
        <v>43</v>
      </c>
      <c r="I92" s="23" t="s">
        <v>44</v>
      </c>
      <c r="J92" s="25" t="s">
        <v>45</v>
      </c>
      <c r="K92" s="24" t="s">
        <v>142</v>
      </c>
      <c r="L92" s="119" t="s">
        <v>229</v>
      </c>
      <c r="M92" s="139"/>
    </row>
    <row r="93" spans="1:13" ht="24.9" x14ac:dyDescent="0.3">
      <c r="A93" s="7" t="s">
        <v>230</v>
      </c>
      <c r="B93" s="22">
        <v>103</v>
      </c>
      <c r="C93" s="91"/>
      <c r="D93" s="22">
        <v>1</v>
      </c>
      <c r="E93" s="22">
        <v>1</v>
      </c>
      <c r="F93" s="22">
        <v>0</v>
      </c>
      <c r="G93" s="4"/>
      <c r="H93" s="4" t="s">
        <v>43</v>
      </c>
      <c r="I93" s="23" t="s">
        <v>44</v>
      </c>
      <c r="J93" s="25" t="s">
        <v>45</v>
      </c>
      <c r="K93" s="24" t="s">
        <v>142</v>
      </c>
      <c r="L93" s="119" t="s">
        <v>231</v>
      </c>
      <c r="M93" s="139"/>
    </row>
    <row r="94" spans="1:13" ht="24.9" x14ac:dyDescent="0.3">
      <c r="A94" s="7" t="s">
        <v>232</v>
      </c>
      <c r="B94" s="22">
        <v>104</v>
      </c>
      <c r="C94" s="91"/>
      <c r="D94" s="22">
        <v>1</v>
      </c>
      <c r="E94" s="22">
        <v>1</v>
      </c>
      <c r="F94" s="22">
        <v>0</v>
      </c>
      <c r="G94" s="4"/>
      <c r="H94" s="4" t="s">
        <v>43</v>
      </c>
      <c r="I94" s="23" t="s">
        <v>44</v>
      </c>
      <c r="J94" s="25" t="s">
        <v>45</v>
      </c>
      <c r="K94" s="24" t="s">
        <v>142</v>
      </c>
      <c r="L94" s="119" t="s">
        <v>233</v>
      </c>
      <c r="M94" s="158" t="s">
        <v>233</v>
      </c>
    </row>
    <row r="95" spans="1:13" ht="24.9" x14ac:dyDescent="0.3">
      <c r="A95" s="7" t="s">
        <v>234</v>
      </c>
      <c r="B95" s="22">
        <v>105</v>
      </c>
      <c r="C95" s="91"/>
      <c r="D95" s="22">
        <v>1</v>
      </c>
      <c r="E95" s="22">
        <v>1</v>
      </c>
      <c r="F95" s="22">
        <v>0</v>
      </c>
      <c r="G95" s="4"/>
      <c r="H95" s="4" t="s">
        <v>43</v>
      </c>
      <c r="I95" s="23" t="s">
        <v>44</v>
      </c>
      <c r="J95" s="25" t="s">
        <v>45</v>
      </c>
      <c r="K95" s="24" t="s">
        <v>142</v>
      </c>
      <c r="L95" s="119" t="s">
        <v>235</v>
      </c>
      <c r="M95" s="158" t="s">
        <v>235</v>
      </c>
    </row>
    <row r="96" spans="1:13" ht="24.9" x14ac:dyDescent="0.3">
      <c r="A96" s="7" t="s">
        <v>236</v>
      </c>
      <c r="B96" s="22">
        <v>106</v>
      </c>
      <c r="C96" s="91"/>
      <c r="D96" s="22">
        <v>1</v>
      </c>
      <c r="E96" s="22">
        <v>1</v>
      </c>
      <c r="F96" s="22">
        <v>0</v>
      </c>
      <c r="G96" s="4"/>
      <c r="H96" s="4" t="s">
        <v>43</v>
      </c>
      <c r="I96" s="23" t="s">
        <v>44</v>
      </c>
      <c r="J96" s="25" t="s">
        <v>45</v>
      </c>
      <c r="K96" s="24" t="s">
        <v>142</v>
      </c>
      <c r="L96" s="119" t="s">
        <v>237</v>
      </c>
      <c r="M96" s="158" t="s">
        <v>237</v>
      </c>
    </row>
    <row r="97" spans="1:13" ht="24.9" x14ac:dyDescent="0.3">
      <c r="A97" s="7" t="s">
        <v>238</v>
      </c>
      <c r="B97" s="22">
        <v>107</v>
      </c>
      <c r="C97" s="91"/>
      <c r="D97" s="22">
        <v>1</v>
      </c>
      <c r="E97" s="22">
        <v>1</v>
      </c>
      <c r="F97" s="22">
        <v>0</v>
      </c>
      <c r="G97" s="4"/>
      <c r="H97" s="4" t="s">
        <v>43</v>
      </c>
      <c r="I97" s="23" t="s">
        <v>44</v>
      </c>
      <c r="J97" s="25" t="s">
        <v>45</v>
      </c>
      <c r="K97" s="24" t="s">
        <v>142</v>
      </c>
      <c r="L97" s="119" t="s">
        <v>239</v>
      </c>
      <c r="M97" s="158" t="s">
        <v>239</v>
      </c>
    </row>
    <row r="98" spans="1:13" ht="24.9" x14ac:dyDescent="0.3">
      <c r="A98" s="7" t="s">
        <v>240</v>
      </c>
      <c r="B98" s="22">
        <v>108</v>
      </c>
      <c r="C98" s="91"/>
      <c r="D98" s="22">
        <v>1</v>
      </c>
      <c r="E98" s="22">
        <v>1</v>
      </c>
      <c r="F98" s="22">
        <v>0</v>
      </c>
      <c r="G98" s="4"/>
      <c r="H98" s="4" t="s">
        <v>43</v>
      </c>
      <c r="I98" s="23" t="s">
        <v>44</v>
      </c>
      <c r="J98" s="25" t="s">
        <v>45</v>
      </c>
      <c r="K98" s="24" t="s">
        <v>142</v>
      </c>
      <c r="L98" s="119" t="s">
        <v>241</v>
      </c>
      <c r="M98" s="158" t="s">
        <v>241</v>
      </c>
    </row>
    <row r="99" spans="1:13" ht="24.9" x14ac:dyDescent="0.3">
      <c r="A99" s="7" t="s">
        <v>242</v>
      </c>
      <c r="B99" s="22">
        <v>109</v>
      </c>
      <c r="C99" s="91"/>
      <c r="D99" s="22">
        <v>1</v>
      </c>
      <c r="E99" s="22">
        <v>1</v>
      </c>
      <c r="F99" s="22">
        <v>0</v>
      </c>
      <c r="G99" s="4"/>
      <c r="H99" s="4" t="s">
        <v>43</v>
      </c>
      <c r="I99" s="23" t="s">
        <v>44</v>
      </c>
      <c r="J99" s="25" t="s">
        <v>45</v>
      </c>
      <c r="K99" s="24" t="s">
        <v>142</v>
      </c>
      <c r="L99" s="119" t="s">
        <v>243</v>
      </c>
      <c r="M99" s="158" t="s">
        <v>243</v>
      </c>
    </row>
    <row r="100" spans="1:13" ht="24.9" x14ac:dyDescent="0.3">
      <c r="A100" s="7" t="s">
        <v>244</v>
      </c>
      <c r="B100" s="22">
        <v>110</v>
      </c>
      <c r="C100" s="91"/>
      <c r="D100" s="22">
        <v>1</v>
      </c>
      <c r="E100" s="22">
        <v>1</v>
      </c>
      <c r="F100" s="22">
        <v>0</v>
      </c>
      <c r="G100" s="4"/>
      <c r="H100" s="4" t="s">
        <v>43</v>
      </c>
      <c r="I100" s="23" t="s">
        <v>44</v>
      </c>
      <c r="J100" s="25" t="s">
        <v>45</v>
      </c>
      <c r="K100" s="24" t="s">
        <v>142</v>
      </c>
      <c r="L100" s="119" t="s">
        <v>245</v>
      </c>
      <c r="M100" s="158" t="s">
        <v>245</v>
      </c>
    </row>
    <row r="101" spans="1:13" ht="24.9" x14ac:dyDescent="0.3">
      <c r="A101" s="7" t="s">
        <v>246</v>
      </c>
      <c r="B101" s="22">
        <v>111</v>
      </c>
      <c r="C101" s="91"/>
      <c r="D101" s="22">
        <v>1</v>
      </c>
      <c r="E101" s="22">
        <v>1</v>
      </c>
      <c r="F101" s="22">
        <v>0</v>
      </c>
      <c r="G101" s="4"/>
      <c r="H101" s="4" t="s">
        <v>43</v>
      </c>
      <c r="I101" s="23" t="s">
        <v>44</v>
      </c>
      <c r="J101" s="25" t="s">
        <v>45</v>
      </c>
      <c r="K101" s="24" t="s">
        <v>142</v>
      </c>
      <c r="L101" s="119" t="s">
        <v>1182</v>
      </c>
      <c r="M101" s="158" t="s">
        <v>247</v>
      </c>
    </row>
    <row r="102" spans="1:13" ht="24.9" x14ac:dyDescent="0.3">
      <c r="A102" s="7" t="s">
        <v>248</v>
      </c>
      <c r="B102" s="22">
        <v>112</v>
      </c>
      <c r="C102" s="91"/>
      <c r="D102" s="22">
        <v>1</v>
      </c>
      <c r="E102" s="22">
        <v>1</v>
      </c>
      <c r="F102" s="22">
        <v>0</v>
      </c>
      <c r="G102" s="4"/>
      <c r="H102" s="4" t="s">
        <v>43</v>
      </c>
      <c r="I102" s="23" t="s">
        <v>44</v>
      </c>
      <c r="J102" s="25" t="s">
        <v>45</v>
      </c>
      <c r="K102" s="179" t="s">
        <v>142</v>
      </c>
      <c r="L102" s="180" t="s">
        <v>249</v>
      </c>
      <c r="M102" s="158" t="s">
        <v>249</v>
      </c>
    </row>
    <row r="103" spans="1:13" ht="24.9" x14ac:dyDescent="0.3">
      <c r="A103" s="164" t="s">
        <v>1179</v>
      </c>
      <c r="B103" s="22">
        <v>113</v>
      </c>
      <c r="C103" s="91"/>
      <c r="D103" s="22">
        <v>1</v>
      </c>
      <c r="E103" s="22">
        <v>1</v>
      </c>
      <c r="F103" s="22">
        <v>0</v>
      </c>
      <c r="G103" s="4"/>
      <c r="H103" s="4" t="s">
        <v>43</v>
      </c>
      <c r="I103" s="23" t="s">
        <v>44</v>
      </c>
      <c r="J103" s="25" t="s">
        <v>45</v>
      </c>
      <c r="K103" s="179" t="s">
        <v>1094</v>
      </c>
      <c r="L103" s="180" t="s">
        <v>1178</v>
      </c>
      <c r="M103" s="139"/>
    </row>
    <row r="104" spans="1:13" ht="24.9" x14ac:dyDescent="0.3">
      <c r="A104" s="7" t="s">
        <v>1091</v>
      </c>
      <c r="B104" s="22">
        <v>114</v>
      </c>
      <c r="C104" s="91"/>
      <c r="D104" s="22">
        <v>1</v>
      </c>
      <c r="E104" s="22">
        <v>1</v>
      </c>
      <c r="F104" s="22">
        <v>0</v>
      </c>
      <c r="G104" s="4"/>
      <c r="H104" s="4" t="s">
        <v>43</v>
      </c>
      <c r="I104" s="23" t="s">
        <v>44</v>
      </c>
      <c r="J104" s="25" t="s">
        <v>45</v>
      </c>
      <c r="K104" s="179" t="s">
        <v>1095</v>
      </c>
      <c r="L104" s="180" t="s">
        <v>745</v>
      </c>
      <c r="M104" s="158" t="s">
        <v>745</v>
      </c>
    </row>
    <row r="105" spans="1:13" ht="24.9" x14ac:dyDescent="0.3">
      <c r="A105" s="7" t="s">
        <v>1172</v>
      </c>
      <c r="B105" s="22">
        <v>115</v>
      </c>
      <c r="C105" s="91"/>
      <c r="D105" s="22">
        <v>1</v>
      </c>
      <c r="E105" s="22">
        <v>1</v>
      </c>
      <c r="F105" s="22">
        <v>0</v>
      </c>
      <c r="G105" s="4"/>
      <c r="H105" s="4" t="s">
        <v>43</v>
      </c>
      <c r="I105" s="23" t="s">
        <v>44</v>
      </c>
      <c r="J105" s="25" t="s">
        <v>45</v>
      </c>
      <c r="K105" s="24" t="s">
        <v>142</v>
      </c>
      <c r="L105" s="119" t="s">
        <v>1166</v>
      </c>
      <c r="M105" s="158" t="s">
        <v>1166</v>
      </c>
    </row>
    <row r="106" spans="1:13" ht="24.9" x14ac:dyDescent="0.3">
      <c r="A106" s="7" t="s">
        <v>250</v>
      </c>
      <c r="B106" s="22">
        <v>116</v>
      </c>
      <c r="C106" s="91"/>
      <c r="D106" s="22">
        <v>1</v>
      </c>
      <c r="E106" s="22">
        <v>1</v>
      </c>
      <c r="F106" s="22">
        <v>0</v>
      </c>
      <c r="G106" s="4"/>
      <c r="H106" s="4" t="s">
        <v>43</v>
      </c>
      <c r="I106" s="23" t="s">
        <v>44</v>
      </c>
      <c r="J106" s="25" t="s">
        <v>45</v>
      </c>
      <c r="K106" s="24" t="s">
        <v>142</v>
      </c>
      <c r="L106" s="119" t="s">
        <v>251</v>
      </c>
      <c r="M106" s="158" t="s">
        <v>251</v>
      </c>
    </row>
    <row r="107" spans="1:13" ht="24.9" x14ac:dyDescent="0.3">
      <c r="A107" s="7" t="s">
        <v>252</v>
      </c>
      <c r="B107" s="22">
        <v>117</v>
      </c>
      <c r="C107" s="91"/>
      <c r="D107" s="22">
        <v>1</v>
      </c>
      <c r="E107" s="22">
        <v>1</v>
      </c>
      <c r="F107" s="22">
        <v>0</v>
      </c>
      <c r="G107" s="4"/>
      <c r="H107" s="4" t="s">
        <v>43</v>
      </c>
      <c r="I107" s="23" t="s">
        <v>44</v>
      </c>
      <c r="J107" s="25" t="s">
        <v>45</v>
      </c>
      <c r="K107" s="24" t="s">
        <v>142</v>
      </c>
      <c r="L107" s="119" t="s">
        <v>253</v>
      </c>
      <c r="M107" s="158" t="s">
        <v>253</v>
      </c>
    </row>
    <row r="108" spans="1:13" ht="24.9" x14ac:dyDescent="0.3">
      <c r="A108" s="7" t="s">
        <v>254</v>
      </c>
      <c r="B108" s="22">
        <v>118</v>
      </c>
      <c r="C108" s="91"/>
      <c r="D108" s="22">
        <v>1</v>
      </c>
      <c r="E108" s="22">
        <v>1</v>
      </c>
      <c r="F108" s="22">
        <v>0</v>
      </c>
      <c r="G108" s="4"/>
      <c r="H108" s="4" t="s">
        <v>43</v>
      </c>
      <c r="I108" s="23" t="s">
        <v>44</v>
      </c>
      <c r="J108" s="25" t="s">
        <v>45</v>
      </c>
      <c r="K108" s="24" t="s">
        <v>142</v>
      </c>
      <c r="L108" s="119" t="s">
        <v>255</v>
      </c>
      <c r="M108" s="139"/>
    </row>
    <row r="109" spans="1:13" ht="24.9" x14ac:dyDescent="0.3">
      <c r="A109" s="7" t="s">
        <v>256</v>
      </c>
      <c r="B109" s="22">
        <v>119</v>
      </c>
      <c r="C109" s="91"/>
      <c r="D109" s="22">
        <v>1</v>
      </c>
      <c r="E109" s="22">
        <v>1</v>
      </c>
      <c r="F109" s="22">
        <v>0</v>
      </c>
      <c r="G109" s="4"/>
      <c r="H109" s="4" t="s">
        <v>43</v>
      </c>
      <c r="I109" s="23" t="s">
        <v>44</v>
      </c>
      <c r="J109" s="25" t="s">
        <v>45</v>
      </c>
      <c r="K109" s="24" t="s">
        <v>142</v>
      </c>
      <c r="L109" s="119" t="s">
        <v>257</v>
      </c>
      <c r="M109" s="139"/>
    </row>
    <row r="110" spans="1:13" ht="24.9" x14ac:dyDescent="0.3">
      <c r="A110" s="7" t="s">
        <v>258</v>
      </c>
      <c r="B110" s="22">
        <v>120</v>
      </c>
      <c r="C110" s="91"/>
      <c r="D110" s="22">
        <v>1</v>
      </c>
      <c r="E110" s="22">
        <v>1</v>
      </c>
      <c r="F110" s="22">
        <v>0</v>
      </c>
      <c r="G110" s="4"/>
      <c r="H110" s="4" t="s">
        <v>43</v>
      </c>
      <c r="I110" s="23" t="s">
        <v>44</v>
      </c>
      <c r="J110" s="25" t="s">
        <v>45</v>
      </c>
      <c r="K110" s="24" t="s">
        <v>142</v>
      </c>
      <c r="L110" s="119" t="s">
        <v>259</v>
      </c>
      <c r="M110" s="139"/>
    </row>
    <row r="111" spans="1:13" ht="24.9" x14ac:dyDescent="0.3">
      <c r="A111" s="7" t="s">
        <v>260</v>
      </c>
      <c r="B111" s="22">
        <v>121</v>
      </c>
      <c r="C111" s="91"/>
      <c r="D111" s="22">
        <v>1</v>
      </c>
      <c r="E111" s="22">
        <v>1</v>
      </c>
      <c r="F111" s="22">
        <v>0</v>
      </c>
      <c r="G111" s="4"/>
      <c r="H111" s="4" t="s">
        <v>43</v>
      </c>
      <c r="I111" s="23" t="s">
        <v>44</v>
      </c>
      <c r="J111" s="25" t="s">
        <v>45</v>
      </c>
      <c r="K111" s="24" t="s">
        <v>142</v>
      </c>
      <c r="L111" s="119" t="s">
        <v>261</v>
      </c>
      <c r="M111" s="139"/>
    </row>
    <row r="112" spans="1:13" ht="24.9" x14ac:dyDescent="0.3">
      <c r="A112" s="7" t="s">
        <v>1171</v>
      </c>
      <c r="B112" s="22">
        <v>122</v>
      </c>
      <c r="C112" s="91"/>
      <c r="D112" s="22">
        <v>1</v>
      </c>
      <c r="E112" s="22">
        <v>1</v>
      </c>
      <c r="F112" s="22">
        <v>0</v>
      </c>
      <c r="G112" s="4"/>
      <c r="H112" s="4" t="s">
        <v>43</v>
      </c>
      <c r="I112" s="23" t="s">
        <v>44</v>
      </c>
      <c r="J112" s="25" t="s">
        <v>45</v>
      </c>
      <c r="K112" s="24" t="s">
        <v>142</v>
      </c>
      <c r="L112" s="119" t="s">
        <v>1169</v>
      </c>
      <c r="M112" s="158"/>
    </row>
    <row r="113" spans="1:13" ht="24.9" x14ac:dyDescent="0.3">
      <c r="A113" s="84" t="s">
        <v>162</v>
      </c>
      <c r="B113" s="30" t="s">
        <v>1168</v>
      </c>
      <c r="C113" s="92"/>
      <c r="D113" s="30">
        <v>1</v>
      </c>
      <c r="E113" s="30">
        <v>1</v>
      </c>
      <c r="F113" s="30">
        <v>0</v>
      </c>
      <c r="G113" s="33"/>
      <c r="H113" s="33"/>
      <c r="I113" s="31"/>
      <c r="J113" s="32"/>
      <c r="K113" s="34"/>
      <c r="L113" s="156"/>
      <c r="M113" s="147"/>
    </row>
    <row r="114" spans="1:13" ht="24.9" x14ac:dyDescent="0.3">
      <c r="A114" s="81" t="s">
        <v>820</v>
      </c>
      <c r="B114" s="22" t="s">
        <v>262</v>
      </c>
      <c r="C114" s="91"/>
      <c r="D114" s="22">
        <v>1</v>
      </c>
      <c r="E114" s="22">
        <v>1</v>
      </c>
      <c r="F114" s="22">
        <v>0</v>
      </c>
      <c r="G114" s="4"/>
      <c r="H114" s="4" t="s">
        <v>43</v>
      </c>
      <c r="I114" s="23" t="s">
        <v>263</v>
      </c>
      <c r="J114" s="25" t="s">
        <v>45</v>
      </c>
      <c r="K114" s="24" t="s">
        <v>46</v>
      </c>
      <c r="L114" s="120" t="s">
        <v>264</v>
      </c>
      <c r="M114" s="139" t="s">
        <v>1101</v>
      </c>
    </row>
    <row r="115" spans="1:13" ht="24.9" x14ac:dyDescent="0.3">
      <c r="A115" s="81" t="s">
        <v>821</v>
      </c>
      <c r="B115" s="22" t="s">
        <v>265</v>
      </c>
      <c r="C115" s="91"/>
      <c r="D115" s="22">
        <v>1</v>
      </c>
      <c r="E115" s="22">
        <v>1</v>
      </c>
      <c r="F115" s="22">
        <v>0</v>
      </c>
      <c r="G115" s="4"/>
      <c r="H115" s="4" t="s">
        <v>43</v>
      </c>
      <c r="I115" s="23" t="s">
        <v>263</v>
      </c>
      <c r="J115" s="25" t="s">
        <v>45</v>
      </c>
      <c r="K115" s="24" t="s">
        <v>46</v>
      </c>
      <c r="L115" s="120" t="s">
        <v>47</v>
      </c>
      <c r="M115" s="139" t="s">
        <v>47</v>
      </c>
    </row>
    <row r="116" spans="1:13" ht="24.9" x14ac:dyDescent="0.3">
      <c r="A116" s="81" t="s">
        <v>822</v>
      </c>
      <c r="B116" s="22" t="s">
        <v>266</v>
      </c>
      <c r="C116" s="91"/>
      <c r="D116" s="22">
        <v>1</v>
      </c>
      <c r="E116" s="22">
        <v>1</v>
      </c>
      <c r="F116" s="22">
        <v>0</v>
      </c>
      <c r="G116" s="4"/>
      <c r="H116" s="4" t="s">
        <v>43</v>
      </c>
      <c r="I116" s="23" t="s">
        <v>263</v>
      </c>
      <c r="J116" s="25" t="s">
        <v>45</v>
      </c>
      <c r="K116" s="24" t="s">
        <v>46</v>
      </c>
      <c r="L116" s="120" t="s">
        <v>50</v>
      </c>
      <c r="M116" s="139" t="s">
        <v>50</v>
      </c>
    </row>
    <row r="117" spans="1:13" ht="24.9" x14ac:dyDescent="0.3">
      <c r="A117" s="81" t="s">
        <v>823</v>
      </c>
      <c r="B117" s="22" t="s">
        <v>267</v>
      </c>
      <c r="C117" s="91"/>
      <c r="D117" s="22">
        <v>1</v>
      </c>
      <c r="E117" s="22">
        <v>1</v>
      </c>
      <c r="F117" s="22">
        <v>0</v>
      </c>
      <c r="G117" s="4"/>
      <c r="H117" s="4" t="s">
        <v>43</v>
      </c>
      <c r="I117" s="23" t="s">
        <v>263</v>
      </c>
      <c r="J117" s="25" t="s">
        <v>45</v>
      </c>
      <c r="K117" s="24" t="s">
        <v>46</v>
      </c>
      <c r="L117" s="120" t="s">
        <v>52</v>
      </c>
      <c r="M117" s="139" t="s">
        <v>52</v>
      </c>
    </row>
    <row r="118" spans="1:13" ht="24.9" x14ac:dyDescent="0.3">
      <c r="A118" s="81" t="s">
        <v>824</v>
      </c>
      <c r="B118" s="22" t="s">
        <v>268</v>
      </c>
      <c r="C118" s="91"/>
      <c r="D118" s="22">
        <v>1</v>
      </c>
      <c r="E118" s="22">
        <v>1</v>
      </c>
      <c r="F118" s="22">
        <v>0</v>
      </c>
      <c r="G118" s="4"/>
      <c r="H118" s="4" t="s">
        <v>43</v>
      </c>
      <c r="I118" s="23" t="s">
        <v>263</v>
      </c>
      <c r="J118" s="25" t="s">
        <v>45</v>
      </c>
      <c r="K118" s="24" t="s">
        <v>46</v>
      </c>
      <c r="L118" s="120" t="s">
        <v>54</v>
      </c>
      <c r="M118" s="139" t="s">
        <v>54</v>
      </c>
    </row>
    <row r="119" spans="1:13" ht="24.9" x14ac:dyDescent="0.3">
      <c r="A119" s="81" t="s">
        <v>825</v>
      </c>
      <c r="B119" s="22" t="s">
        <v>269</v>
      </c>
      <c r="C119" s="91"/>
      <c r="D119" s="22">
        <v>1</v>
      </c>
      <c r="E119" s="22">
        <v>1</v>
      </c>
      <c r="F119" s="22">
        <v>0</v>
      </c>
      <c r="G119" s="4"/>
      <c r="H119" s="4" t="s">
        <v>43</v>
      </c>
      <c r="I119" s="23" t="s">
        <v>263</v>
      </c>
      <c r="J119" s="25" t="s">
        <v>45</v>
      </c>
      <c r="K119" s="24" t="s">
        <v>46</v>
      </c>
      <c r="L119" s="120" t="s">
        <v>56</v>
      </c>
      <c r="M119" s="139" t="s">
        <v>56</v>
      </c>
    </row>
    <row r="120" spans="1:13" ht="24.9" x14ac:dyDescent="0.3">
      <c r="A120" s="81" t="s">
        <v>826</v>
      </c>
      <c r="B120" s="22" t="s">
        <v>270</v>
      </c>
      <c r="C120" s="91"/>
      <c r="D120" s="22">
        <v>1</v>
      </c>
      <c r="E120" s="22">
        <v>1</v>
      </c>
      <c r="F120" s="22">
        <v>0</v>
      </c>
      <c r="G120" s="4"/>
      <c r="H120" s="4" t="s">
        <v>43</v>
      </c>
      <c r="I120" s="23" t="s">
        <v>263</v>
      </c>
      <c r="J120" s="25" t="s">
        <v>45</v>
      </c>
      <c r="K120" s="24" t="s">
        <v>46</v>
      </c>
      <c r="L120" s="120" t="s">
        <v>58</v>
      </c>
      <c r="M120" s="139" t="s">
        <v>58</v>
      </c>
    </row>
    <row r="121" spans="1:13" ht="24.9" x14ac:dyDescent="0.3">
      <c r="A121" s="81" t="s">
        <v>827</v>
      </c>
      <c r="B121" s="22" t="s">
        <v>271</v>
      </c>
      <c r="C121" s="91"/>
      <c r="D121" s="22">
        <v>1</v>
      </c>
      <c r="E121" s="22">
        <v>1</v>
      </c>
      <c r="F121" s="22">
        <v>0</v>
      </c>
      <c r="G121" s="4"/>
      <c r="H121" s="4" t="s">
        <v>43</v>
      </c>
      <c r="I121" s="23" t="s">
        <v>263</v>
      </c>
      <c r="J121" s="25" t="s">
        <v>45</v>
      </c>
      <c r="K121" s="24" t="s">
        <v>46</v>
      </c>
      <c r="L121" s="120" t="s">
        <v>60</v>
      </c>
      <c r="M121" s="139" t="s">
        <v>60</v>
      </c>
    </row>
    <row r="122" spans="1:13" ht="24.9" x14ac:dyDescent="0.3">
      <c r="A122" s="81" t="s">
        <v>828</v>
      </c>
      <c r="B122" s="22" t="s">
        <v>272</v>
      </c>
      <c r="C122" s="91"/>
      <c r="D122" s="22">
        <v>1</v>
      </c>
      <c r="E122" s="22">
        <v>1</v>
      </c>
      <c r="F122" s="22">
        <v>0</v>
      </c>
      <c r="G122" s="4"/>
      <c r="H122" s="4" t="s">
        <v>43</v>
      </c>
      <c r="I122" s="23" t="s">
        <v>263</v>
      </c>
      <c r="J122" s="25" t="s">
        <v>45</v>
      </c>
      <c r="K122" s="24" t="s">
        <v>46</v>
      </c>
      <c r="L122" s="120" t="s">
        <v>62</v>
      </c>
      <c r="M122" s="139" t="s">
        <v>62</v>
      </c>
    </row>
    <row r="123" spans="1:13" ht="24.9" x14ac:dyDescent="0.3">
      <c r="A123" s="81" t="s">
        <v>829</v>
      </c>
      <c r="B123" s="22" t="s">
        <v>273</v>
      </c>
      <c r="C123" s="91"/>
      <c r="D123" s="22">
        <v>1</v>
      </c>
      <c r="E123" s="22">
        <v>1</v>
      </c>
      <c r="F123" s="22">
        <v>0</v>
      </c>
      <c r="G123" s="4"/>
      <c r="H123" s="4" t="s">
        <v>43</v>
      </c>
      <c r="I123" s="23" t="s">
        <v>263</v>
      </c>
      <c r="J123" s="25" t="s">
        <v>45</v>
      </c>
      <c r="K123" s="24" t="s">
        <v>46</v>
      </c>
      <c r="L123" s="120" t="s">
        <v>64</v>
      </c>
      <c r="M123" s="139" t="s">
        <v>64</v>
      </c>
    </row>
    <row r="124" spans="1:13" ht="24.9" x14ac:dyDescent="0.3">
      <c r="A124" s="81" t="s">
        <v>830</v>
      </c>
      <c r="B124" s="22" t="s">
        <v>274</v>
      </c>
      <c r="C124" s="91"/>
      <c r="D124" s="22">
        <v>1</v>
      </c>
      <c r="E124" s="22">
        <v>1</v>
      </c>
      <c r="F124" s="22">
        <v>0</v>
      </c>
      <c r="G124" s="4"/>
      <c r="H124" s="4" t="s">
        <v>43</v>
      </c>
      <c r="I124" s="23" t="s">
        <v>263</v>
      </c>
      <c r="J124" s="25" t="s">
        <v>45</v>
      </c>
      <c r="K124" s="24" t="s">
        <v>46</v>
      </c>
      <c r="L124" s="120" t="s">
        <v>66</v>
      </c>
      <c r="M124" s="139" t="s">
        <v>66</v>
      </c>
    </row>
    <row r="125" spans="1:13" ht="24.9" x14ac:dyDescent="0.3">
      <c r="A125" s="81" t="s">
        <v>831</v>
      </c>
      <c r="B125" s="22" t="s">
        <v>275</v>
      </c>
      <c r="C125" s="91"/>
      <c r="D125" s="22">
        <v>1</v>
      </c>
      <c r="E125" s="22">
        <v>1</v>
      </c>
      <c r="F125" s="22">
        <v>0</v>
      </c>
      <c r="G125" s="4"/>
      <c r="H125" s="4" t="s">
        <v>43</v>
      </c>
      <c r="I125" s="23" t="s">
        <v>263</v>
      </c>
      <c r="J125" s="25" t="s">
        <v>45</v>
      </c>
      <c r="K125" s="24" t="s">
        <v>46</v>
      </c>
      <c r="L125" s="120" t="s">
        <v>68</v>
      </c>
      <c r="M125" s="139" t="s">
        <v>68</v>
      </c>
    </row>
    <row r="126" spans="1:13" ht="24.9" x14ac:dyDescent="0.3">
      <c r="A126" s="81" t="s">
        <v>832</v>
      </c>
      <c r="B126" s="22" t="s">
        <v>276</v>
      </c>
      <c r="C126" s="91"/>
      <c r="D126" s="22">
        <v>1</v>
      </c>
      <c r="E126" s="22">
        <v>1</v>
      </c>
      <c r="F126" s="22">
        <v>0</v>
      </c>
      <c r="G126" s="4"/>
      <c r="H126" s="4" t="s">
        <v>43</v>
      </c>
      <c r="I126" s="23" t="s">
        <v>263</v>
      </c>
      <c r="J126" s="25" t="s">
        <v>45</v>
      </c>
      <c r="K126" s="24" t="s">
        <v>46</v>
      </c>
      <c r="L126" s="120" t="s">
        <v>70</v>
      </c>
      <c r="M126" s="139" t="s">
        <v>70</v>
      </c>
    </row>
    <row r="127" spans="1:13" ht="24.9" x14ac:dyDescent="0.3">
      <c r="A127" s="81" t="s">
        <v>833</v>
      </c>
      <c r="B127" s="22" t="s">
        <v>277</v>
      </c>
      <c r="C127" s="91"/>
      <c r="D127" s="22">
        <v>1</v>
      </c>
      <c r="E127" s="22">
        <v>1</v>
      </c>
      <c r="F127" s="22">
        <v>0</v>
      </c>
      <c r="G127" s="4"/>
      <c r="H127" s="4" t="s">
        <v>43</v>
      </c>
      <c r="I127" s="23" t="s">
        <v>263</v>
      </c>
      <c r="J127" s="25" t="s">
        <v>45</v>
      </c>
      <c r="K127" s="24" t="s">
        <v>46</v>
      </c>
      <c r="L127" s="120" t="s">
        <v>84</v>
      </c>
      <c r="M127" s="139" t="s">
        <v>84</v>
      </c>
    </row>
    <row r="128" spans="1:13" ht="24.9" x14ac:dyDescent="0.3">
      <c r="A128" s="81" t="s">
        <v>834</v>
      </c>
      <c r="B128" s="22" t="s">
        <v>278</v>
      </c>
      <c r="C128" s="91"/>
      <c r="D128" s="22">
        <v>1</v>
      </c>
      <c r="E128" s="22">
        <v>1</v>
      </c>
      <c r="F128" s="22">
        <v>0</v>
      </c>
      <c r="G128" s="4"/>
      <c r="H128" s="4" t="s">
        <v>43</v>
      </c>
      <c r="I128" s="23" t="s">
        <v>263</v>
      </c>
      <c r="J128" s="25" t="s">
        <v>45</v>
      </c>
      <c r="K128" s="24" t="s">
        <v>46</v>
      </c>
      <c r="L128" s="120" t="s">
        <v>86</v>
      </c>
      <c r="M128" s="139" t="s">
        <v>86</v>
      </c>
    </row>
    <row r="129" spans="1:13" ht="24.9" x14ac:dyDescent="0.3">
      <c r="A129" s="81" t="s">
        <v>835</v>
      </c>
      <c r="B129" s="22" t="s">
        <v>279</v>
      </c>
      <c r="C129" s="91"/>
      <c r="D129" s="22">
        <v>1</v>
      </c>
      <c r="E129" s="22">
        <v>1</v>
      </c>
      <c r="F129" s="22">
        <v>0</v>
      </c>
      <c r="G129" s="4"/>
      <c r="H129" s="4" t="s">
        <v>43</v>
      </c>
      <c r="I129" s="23" t="s">
        <v>263</v>
      </c>
      <c r="J129" s="25" t="s">
        <v>45</v>
      </c>
      <c r="K129" s="24" t="s">
        <v>46</v>
      </c>
      <c r="L129" s="120" t="s">
        <v>88</v>
      </c>
      <c r="M129" s="139" t="s">
        <v>88</v>
      </c>
    </row>
    <row r="130" spans="1:13" ht="24.9" x14ac:dyDescent="0.3">
      <c r="A130" s="81" t="s">
        <v>836</v>
      </c>
      <c r="B130" s="22" t="s">
        <v>280</v>
      </c>
      <c r="C130" s="91"/>
      <c r="D130" s="22">
        <v>1</v>
      </c>
      <c r="E130" s="22">
        <v>1</v>
      </c>
      <c r="F130" s="22">
        <v>0</v>
      </c>
      <c r="G130" s="4"/>
      <c r="H130" s="4" t="s">
        <v>43</v>
      </c>
      <c r="I130" s="23" t="s">
        <v>263</v>
      </c>
      <c r="J130" s="25" t="s">
        <v>45</v>
      </c>
      <c r="K130" s="24" t="s">
        <v>46</v>
      </c>
      <c r="L130" s="120" t="s">
        <v>78</v>
      </c>
      <c r="M130" s="139" t="s">
        <v>78</v>
      </c>
    </row>
    <row r="131" spans="1:13" ht="24.9" x14ac:dyDescent="0.3">
      <c r="A131" s="81" t="s">
        <v>837</v>
      </c>
      <c r="B131" s="22" t="s">
        <v>281</v>
      </c>
      <c r="C131" s="91"/>
      <c r="D131" s="22">
        <v>1</v>
      </c>
      <c r="E131" s="22">
        <v>1</v>
      </c>
      <c r="F131" s="22">
        <v>0</v>
      </c>
      <c r="G131" s="4"/>
      <c r="H131" s="4" t="s">
        <v>43</v>
      </c>
      <c r="I131" s="23" t="s">
        <v>263</v>
      </c>
      <c r="J131" s="25" t="s">
        <v>45</v>
      </c>
      <c r="K131" s="24" t="s">
        <v>46</v>
      </c>
      <c r="L131" s="120" t="s">
        <v>80</v>
      </c>
      <c r="M131" s="139" t="s">
        <v>80</v>
      </c>
    </row>
    <row r="132" spans="1:13" ht="24.9" x14ac:dyDescent="0.3">
      <c r="A132" s="81" t="s">
        <v>838</v>
      </c>
      <c r="B132" s="22" t="s">
        <v>282</v>
      </c>
      <c r="C132" s="91"/>
      <c r="D132" s="22">
        <v>1</v>
      </c>
      <c r="E132" s="22">
        <v>1</v>
      </c>
      <c r="F132" s="22">
        <v>0</v>
      </c>
      <c r="G132" s="4"/>
      <c r="H132" s="4" t="s">
        <v>43</v>
      </c>
      <c r="I132" s="23" t="s">
        <v>263</v>
      </c>
      <c r="J132" s="25" t="s">
        <v>45</v>
      </c>
      <c r="K132" s="24" t="s">
        <v>46</v>
      </c>
      <c r="L132" s="120" t="s">
        <v>82</v>
      </c>
      <c r="M132" s="139" t="s">
        <v>82</v>
      </c>
    </row>
    <row r="133" spans="1:13" ht="24.9" x14ac:dyDescent="0.3">
      <c r="A133" s="81" t="s">
        <v>839</v>
      </c>
      <c r="B133" s="22" t="s">
        <v>283</v>
      </c>
      <c r="C133" s="91"/>
      <c r="D133" s="22">
        <v>1</v>
      </c>
      <c r="E133" s="22">
        <v>1</v>
      </c>
      <c r="F133" s="22">
        <v>0</v>
      </c>
      <c r="G133" s="4"/>
      <c r="H133" s="4" t="s">
        <v>43</v>
      </c>
      <c r="I133" s="23" t="s">
        <v>263</v>
      </c>
      <c r="J133" s="25" t="s">
        <v>45</v>
      </c>
      <c r="K133" s="24" t="s">
        <v>46</v>
      </c>
      <c r="L133" s="120" t="s">
        <v>96</v>
      </c>
      <c r="M133" s="139" t="s">
        <v>96</v>
      </c>
    </row>
    <row r="134" spans="1:13" ht="24.9" x14ac:dyDescent="0.3">
      <c r="A134" s="81" t="s">
        <v>840</v>
      </c>
      <c r="B134" s="22" t="s">
        <v>284</v>
      </c>
      <c r="C134" s="91"/>
      <c r="D134" s="22">
        <v>1</v>
      </c>
      <c r="E134" s="22">
        <v>1</v>
      </c>
      <c r="F134" s="22">
        <v>0</v>
      </c>
      <c r="G134" s="4"/>
      <c r="H134" s="4" t="s">
        <v>43</v>
      </c>
      <c r="I134" s="23" t="s">
        <v>263</v>
      </c>
      <c r="J134" s="25" t="s">
        <v>45</v>
      </c>
      <c r="K134" s="24" t="s">
        <v>46</v>
      </c>
      <c r="L134" s="120" t="s">
        <v>98</v>
      </c>
      <c r="M134" s="139" t="s">
        <v>98</v>
      </c>
    </row>
    <row r="135" spans="1:13" ht="24.9" x14ac:dyDescent="0.3">
      <c r="A135" s="81" t="s">
        <v>841</v>
      </c>
      <c r="B135" s="22" t="s">
        <v>285</v>
      </c>
      <c r="C135" s="91"/>
      <c r="D135" s="22">
        <v>1</v>
      </c>
      <c r="E135" s="22">
        <v>1</v>
      </c>
      <c r="F135" s="22">
        <v>0</v>
      </c>
      <c r="G135" s="4"/>
      <c r="H135" s="4" t="s">
        <v>43</v>
      </c>
      <c r="I135" s="23" t="s">
        <v>263</v>
      </c>
      <c r="J135" s="25" t="s">
        <v>45</v>
      </c>
      <c r="K135" s="24" t="s">
        <v>46</v>
      </c>
      <c r="L135" s="120" t="s">
        <v>100</v>
      </c>
      <c r="M135" s="139" t="s">
        <v>100</v>
      </c>
    </row>
    <row r="136" spans="1:13" ht="24.9" x14ac:dyDescent="0.3">
      <c r="A136" s="81" t="s">
        <v>842</v>
      </c>
      <c r="B136" s="22" t="s">
        <v>286</v>
      </c>
      <c r="C136" s="91"/>
      <c r="D136" s="22">
        <v>1</v>
      </c>
      <c r="E136" s="22">
        <v>1</v>
      </c>
      <c r="F136" s="22">
        <v>0</v>
      </c>
      <c r="G136" s="4"/>
      <c r="H136" s="4" t="s">
        <v>43</v>
      </c>
      <c r="I136" s="23" t="s">
        <v>263</v>
      </c>
      <c r="J136" s="25" t="s">
        <v>45</v>
      </c>
      <c r="K136" s="24" t="s">
        <v>46</v>
      </c>
      <c r="L136" s="120" t="s">
        <v>102</v>
      </c>
      <c r="M136" s="139" t="s">
        <v>102</v>
      </c>
    </row>
    <row r="137" spans="1:13" ht="24.9" x14ac:dyDescent="0.3">
      <c r="A137" s="81" t="s">
        <v>843</v>
      </c>
      <c r="B137" s="22" t="s">
        <v>287</v>
      </c>
      <c r="C137" s="91"/>
      <c r="D137" s="22">
        <v>1</v>
      </c>
      <c r="E137" s="22">
        <v>1</v>
      </c>
      <c r="F137" s="22">
        <v>0</v>
      </c>
      <c r="G137" s="4"/>
      <c r="H137" s="4" t="s">
        <v>43</v>
      </c>
      <c r="I137" s="23" t="s">
        <v>263</v>
      </c>
      <c r="J137" s="25" t="s">
        <v>45</v>
      </c>
      <c r="K137" s="24" t="s">
        <v>46</v>
      </c>
      <c r="L137" s="120" t="s">
        <v>104</v>
      </c>
      <c r="M137" s="139" t="s">
        <v>104</v>
      </c>
    </row>
    <row r="138" spans="1:13" ht="24.9" x14ac:dyDescent="0.3">
      <c r="A138" s="81" t="s">
        <v>844</v>
      </c>
      <c r="B138" s="22" t="s">
        <v>288</v>
      </c>
      <c r="C138" s="91"/>
      <c r="D138" s="22">
        <v>1</v>
      </c>
      <c r="E138" s="22">
        <v>1</v>
      </c>
      <c r="F138" s="22">
        <v>0</v>
      </c>
      <c r="G138" s="4"/>
      <c r="H138" s="4" t="s">
        <v>43</v>
      </c>
      <c r="I138" s="23" t="s">
        <v>263</v>
      </c>
      <c r="J138" s="25" t="s">
        <v>45</v>
      </c>
      <c r="K138" s="24" t="s">
        <v>46</v>
      </c>
      <c r="L138" s="120" t="s">
        <v>106</v>
      </c>
      <c r="M138" s="139" t="s">
        <v>106</v>
      </c>
    </row>
    <row r="139" spans="1:13" ht="24.9" x14ac:dyDescent="0.3">
      <c r="A139" s="81" t="s">
        <v>845</v>
      </c>
      <c r="B139" s="22" t="s">
        <v>289</v>
      </c>
      <c r="C139" s="91"/>
      <c r="D139" s="22">
        <v>1</v>
      </c>
      <c r="E139" s="22">
        <v>1</v>
      </c>
      <c r="F139" s="22">
        <v>0</v>
      </c>
      <c r="G139" s="4"/>
      <c r="H139" s="4" t="s">
        <v>43</v>
      </c>
      <c r="I139" s="23" t="s">
        <v>263</v>
      </c>
      <c r="J139" s="25" t="s">
        <v>45</v>
      </c>
      <c r="K139" s="24" t="s">
        <v>46</v>
      </c>
      <c r="L139" s="120" t="s">
        <v>108</v>
      </c>
      <c r="M139" s="139" t="s">
        <v>108</v>
      </c>
    </row>
    <row r="140" spans="1:13" ht="24.9" x14ac:dyDescent="0.3">
      <c r="A140" s="81" t="s">
        <v>846</v>
      </c>
      <c r="B140" s="22" t="s">
        <v>290</v>
      </c>
      <c r="C140" s="91"/>
      <c r="D140" s="22">
        <v>1</v>
      </c>
      <c r="E140" s="22">
        <v>1</v>
      </c>
      <c r="F140" s="22">
        <v>0</v>
      </c>
      <c r="G140" s="4"/>
      <c r="H140" s="4" t="s">
        <v>43</v>
      </c>
      <c r="I140" s="23" t="s">
        <v>263</v>
      </c>
      <c r="J140" s="25" t="s">
        <v>45</v>
      </c>
      <c r="K140" s="24" t="s">
        <v>46</v>
      </c>
      <c r="L140" s="120" t="s">
        <v>110</v>
      </c>
      <c r="M140" s="139" t="s">
        <v>110</v>
      </c>
    </row>
    <row r="141" spans="1:13" ht="24.9" x14ac:dyDescent="0.3">
      <c r="A141" s="81" t="s">
        <v>847</v>
      </c>
      <c r="B141" s="22" t="s">
        <v>291</v>
      </c>
      <c r="C141" s="91"/>
      <c r="D141" s="22">
        <v>1</v>
      </c>
      <c r="E141" s="22">
        <v>1</v>
      </c>
      <c r="F141" s="22">
        <v>0</v>
      </c>
      <c r="G141" s="4"/>
      <c r="H141" s="4" t="s">
        <v>43</v>
      </c>
      <c r="I141" s="23" t="s">
        <v>263</v>
      </c>
      <c r="J141" s="25" t="s">
        <v>45</v>
      </c>
      <c r="K141" s="24" t="s">
        <v>46</v>
      </c>
      <c r="L141" s="120" t="s">
        <v>112</v>
      </c>
      <c r="M141" s="139" t="s">
        <v>112</v>
      </c>
    </row>
    <row r="142" spans="1:13" ht="24.9" x14ac:dyDescent="0.3">
      <c r="A142" s="81" t="s">
        <v>848</v>
      </c>
      <c r="B142" s="22" t="s">
        <v>292</v>
      </c>
      <c r="C142" s="91"/>
      <c r="D142" s="22">
        <v>1</v>
      </c>
      <c r="E142" s="22">
        <v>1</v>
      </c>
      <c r="F142" s="22">
        <v>0</v>
      </c>
      <c r="G142" s="4"/>
      <c r="H142" s="4" t="s">
        <v>43</v>
      </c>
      <c r="I142" s="23" t="s">
        <v>263</v>
      </c>
      <c r="J142" s="25" t="s">
        <v>45</v>
      </c>
      <c r="K142" s="24" t="s">
        <v>46</v>
      </c>
      <c r="L142" s="120" t="s">
        <v>114</v>
      </c>
      <c r="M142" s="139" t="s">
        <v>114</v>
      </c>
    </row>
    <row r="143" spans="1:13" ht="24.9" x14ac:dyDescent="0.3">
      <c r="A143" s="81" t="s">
        <v>849</v>
      </c>
      <c r="B143" s="22" t="s">
        <v>293</v>
      </c>
      <c r="C143" s="91"/>
      <c r="D143" s="22">
        <v>1</v>
      </c>
      <c r="E143" s="22">
        <v>1</v>
      </c>
      <c r="F143" s="22">
        <v>0</v>
      </c>
      <c r="G143" s="4"/>
      <c r="H143" s="4" t="s">
        <v>43</v>
      </c>
      <c r="I143" s="23" t="s">
        <v>263</v>
      </c>
      <c r="J143" s="25" t="s">
        <v>45</v>
      </c>
      <c r="K143" s="24" t="s">
        <v>46</v>
      </c>
      <c r="L143" s="120" t="s">
        <v>116</v>
      </c>
      <c r="M143" s="139" t="s">
        <v>116</v>
      </c>
    </row>
    <row r="144" spans="1:13" ht="24.9" x14ac:dyDescent="0.3">
      <c r="A144" s="81" t="s">
        <v>850</v>
      </c>
      <c r="B144" s="22" t="s">
        <v>294</v>
      </c>
      <c r="C144" s="91"/>
      <c r="D144" s="22">
        <v>1</v>
      </c>
      <c r="E144" s="22">
        <v>1</v>
      </c>
      <c r="F144" s="22">
        <v>0</v>
      </c>
      <c r="G144" s="4"/>
      <c r="H144" s="4" t="s">
        <v>43</v>
      </c>
      <c r="I144" s="23" t="s">
        <v>263</v>
      </c>
      <c r="J144" s="25" t="s">
        <v>45</v>
      </c>
      <c r="K144" s="24" t="s">
        <v>46</v>
      </c>
      <c r="L144" s="120" t="s">
        <v>118</v>
      </c>
      <c r="M144" s="139" t="s">
        <v>118</v>
      </c>
    </row>
    <row r="145" spans="1:13" ht="24.9" x14ac:dyDescent="0.3">
      <c r="A145" s="81" t="s">
        <v>851</v>
      </c>
      <c r="B145" s="22" t="s">
        <v>295</v>
      </c>
      <c r="C145" s="91"/>
      <c r="D145" s="22">
        <v>1</v>
      </c>
      <c r="E145" s="22">
        <v>1</v>
      </c>
      <c r="F145" s="22">
        <v>0</v>
      </c>
      <c r="G145" s="4"/>
      <c r="H145" s="4" t="s">
        <v>43</v>
      </c>
      <c r="I145" s="23" t="s">
        <v>263</v>
      </c>
      <c r="J145" s="25" t="s">
        <v>45</v>
      </c>
      <c r="K145" s="24" t="s">
        <v>46</v>
      </c>
      <c r="L145" s="120" t="s">
        <v>124</v>
      </c>
      <c r="M145" s="139" t="s">
        <v>124</v>
      </c>
    </row>
    <row r="146" spans="1:13" ht="24.9" x14ac:dyDescent="0.3">
      <c r="A146" s="81" t="s">
        <v>852</v>
      </c>
      <c r="B146" s="22" t="s">
        <v>296</v>
      </c>
      <c r="C146" s="91"/>
      <c r="D146" s="22">
        <v>1</v>
      </c>
      <c r="E146" s="22">
        <v>1</v>
      </c>
      <c r="F146" s="22">
        <v>0</v>
      </c>
      <c r="G146" s="4"/>
      <c r="H146" s="4" t="s">
        <v>43</v>
      </c>
      <c r="I146" s="23" t="s">
        <v>263</v>
      </c>
      <c r="J146" s="25" t="s">
        <v>45</v>
      </c>
      <c r="K146" s="24" t="s">
        <v>46</v>
      </c>
      <c r="L146" s="120" t="s">
        <v>126</v>
      </c>
      <c r="M146" s="139" t="s">
        <v>126</v>
      </c>
    </row>
    <row r="147" spans="1:13" ht="24.9" x14ac:dyDescent="0.3">
      <c r="A147" s="81" t="s">
        <v>853</v>
      </c>
      <c r="B147" s="22" t="s">
        <v>297</v>
      </c>
      <c r="C147" s="91"/>
      <c r="D147" s="22">
        <v>1</v>
      </c>
      <c r="E147" s="22">
        <v>1</v>
      </c>
      <c r="F147" s="22">
        <v>0</v>
      </c>
      <c r="G147" s="4"/>
      <c r="H147" s="4" t="s">
        <v>43</v>
      </c>
      <c r="I147" s="23" t="s">
        <v>263</v>
      </c>
      <c r="J147" s="25" t="s">
        <v>45</v>
      </c>
      <c r="K147" s="24" t="s">
        <v>46</v>
      </c>
      <c r="L147" s="120" t="s">
        <v>128</v>
      </c>
      <c r="M147" s="139" t="s">
        <v>128</v>
      </c>
    </row>
    <row r="148" spans="1:13" ht="24.9" x14ac:dyDescent="0.3">
      <c r="A148" s="81" t="s">
        <v>854</v>
      </c>
      <c r="B148" s="22" t="s">
        <v>298</v>
      </c>
      <c r="C148" s="91"/>
      <c r="D148" s="22">
        <v>1</v>
      </c>
      <c r="E148" s="22">
        <v>1</v>
      </c>
      <c r="F148" s="22">
        <v>0</v>
      </c>
      <c r="G148" s="4"/>
      <c r="H148" s="4" t="s">
        <v>43</v>
      </c>
      <c r="I148" s="23" t="s">
        <v>263</v>
      </c>
      <c r="J148" s="25" t="s">
        <v>45</v>
      </c>
      <c r="K148" s="24" t="s">
        <v>46</v>
      </c>
      <c r="L148" s="120" t="s">
        <v>130</v>
      </c>
      <c r="M148" s="139" t="s">
        <v>130</v>
      </c>
    </row>
    <row r="149" spans="1:13" ht="24.9" x14ac:dyDescent="0.3">
      <c r="A149" s="81" t="s">
        <v>855</v>
      </c>
      <c r="B149" s="22" t="s">
        <v>299</v>
      </c>
      <c r="C149" s="91"/>
      <c r="D149" s="22">
        <v>1</v>
      </c>
      <c r="E149" s="22">
        <v>1</v>
      </c>
      <c r="F149" s="22">
        <v>0</v>
      </c>
      <c r="G149" s="4"/>
      <c r="H149" s="4" t="s">
        <v>43</v>
      </c>
      <c r="I149" s="23" t="s">
        <v>263</v>
      </c>
      <c r="J149" s="25" t="s">
        <v>45</v>
      </c>
      <c r="K149" s="24" t="s">
        <v>46</v>
      </c>
      <c r="L149" s="120" t="s">
        <v>132</v>
      </c>
      <c r="M149" s="139" t="s">
        <v>132</v>
      </c>
    </row>
    <row r="150" spans="1:13" ht="24.9" x14ac:dyDescent="0.3">
      <c r="A150" s="81" t="s">
        <v>856</v>
      </c>
      <c r="B150" s="22" t="s">
        <v>300</v>
      </c>
      <c r="C150" s="91"/>
      <c r="D150" s="22">
        <v>1</v>
      </c>
      <c r="E150" s="22">
        <v>1</v>
      </c>
      <c r="F150" s="22">
        <v>0</v>
      </c>
      <c r="G150" s="4"/>
      <c r="H150" s="4" t="s">
        <v>43</v>
      </c>
      <c r="I150" s="23" t="s">
        <v>263</v>
      </c>
      <c r="J150" s="25" t="s">
        <v>45</v>
      </c>
      <c r="K150" s="24" t="s">
        <v>46</v>
      </c>
      <c r="L150" s="120" t="s">
        <v>134</v>
      </c>
      <c r="M150" s="139" t="s">
        <v>134</v>
      </c>
    </row>
    <row r="151" spans="1:13" ht="24.9" x14ac:dyDescent="0.3">
      <c r="A151" s="81" t="s">
        <v>857</v>
      </c>
      <c r="B151" s="22" t="s">
        <v>301</v>
      </c>
      <c r="C151" s="91"/>
      <c r="D151" s="22">
        <v>1</v>
      </c>
      <c r="E151" s="22">
        <v>1</v>
      </c>
      <c r="F151" s="22">
        <v>0</v>
      </c>
      <c r="G151" s="4"/>
      <c r="H151" s="4" t="s">
        <v>43</v>
      </c>
      <c r="I151" s="23" t="s">
        <v>263</v>
      </c>
      <c r="J151" s="25" t="s">
        <v>45</v>
      </c>
      <c r="K151" s="24" t="s">
        <v>46</v>
      </c>
      <c r="L151" s="120" t="s">
        <v>136</v>
      </c>
      <c r="M151" s="139" t="s">
        <v>136</v>
      </c>
    </row>
    <row r="152" spans="1:13" ht="24.9" x14ac:dyDescent="0.3">
      <c r="A152" s="81" t="s">
        <v>858</v>
      </c>
      <c r="B152" s="22" t="s">
        <v>302</v>
      </c>
      <c r="C152" s="91"/>
      <c r="D152" s="22">
        <v>1</v>
      </c>
      <c r="E152" s="22">
        <v>1</v>
      </c>
      <c r="F152" s="22">
        <v>0</v>
      </c>
      <c r="G152" s="4"/>
      <c r="H152" s="4" t="s">
        <v>43</v>
      </c>
      <c r="I152" s="23" t="s">
        <v>263</v>
      </c>
      <c r="J152" s="25" t="s">
        <v>45</v>
      </c>
      <c r="K152" s="24" t="s">
        <v>46</v>
      </c>
      <c r="L152" s="120" t="s">
        <v>138</v>
      </c>
      <c r="M152" s="139" t="s">
        <v>138</v>
      </c>
    </row>
    <row r="153" spans="1:13" ht="24.9" x14ac:dyDescent="0.3">
      <c r="A153" s="81" t="s">
        <v>859</v>
      </c>
      <c r="B153" s="22" t="s">
        <v>303</v>
      </c>
      <c r="C153" s="91"/>
      <c r="D153" s="22">
        <v>1</v>
      </c>
      <c r="E153" s="22">
        <v>1</v>
      </c>
      <c r="F153" s="22">
        <v>0</v>
      </c>
      <c r="G153" s="4"/>
      <c r="H153" s="4" t="s">
        <v>43</v>
      </c>
      <c r="I153" s="23" t="s">
        <v>263</v>
      </c>
      <c r="J153" s="25" t="s">
        <v>45</v>
      </c>
      <c r="K153" s="24" t="s">
        <v>46</v>
      </c>
      <c r="L153" s="120" t="s">
        <v>140</v>
      </c>
      <c r="M153" s="139" t="s">
        <v>140</v>
      </c>
    </row>
    <row r="154" spans="1:13" ht="24.9" x14ac:dyDescent="0.3">
      <c r="A154" s="81" t="s">
        <v>860</v>
      </c>
      <c r="B154" s="22" t="s">
        <v>304</v>
      </c>
      <c r="C154" s="91"/>
      <c r="D154" s="22">
        <v>1</v>
      </c>
      <c r="E154" s="22">
        <v>1</v>
      </c>
      <c r="F154" s="22">
        <v>0</v>
      </c>
      <c r="G154" s="4"/>
      <c r="H154" s="4" t="s">
        <v>43</v>
      </c>
      <c r="I154" s="23" t="s">
        <v>263</v>
      </c>
      <c r="J154" s="25" t="s">
        <v>45</v>
      </c>
      <c r="K154" s="24" t="s">
        <v>46</v>
      </c>
      <c r="L154" s="120" t="s">
        <v>90</v>
      </c>
      <c r="M154" s="139" t="s">
        <v>90</v>
      </c>
    </row>
    <row r="155" spans="1:13" ht="24.9" x14ac:dyDescent="0.3">
      <c r="A155" s="81" t="s">
        <v>861</v>
      </c>
      <c r="B155" s="22" t="s">
        <v>305</v>
      </c>
      <c r="C155" s="91"/>
      <c r="D155" s="22">
        <v>1</v>
      </c>
      <c r="E155" s="22">
        <v>1</v>
      </c>
      <c r="F155" s="22">
        <v>0</v>
      </c>
      <c r="G155" s="4"/>
      <c r="H155" s="4" t="s">
        <v>43</v>
      </c>
      <c r="I155" s="23" t="s">
        <v>263</v>
      </c>
      <c r="J155" s="25" t="s">
        <v>45</v>
      </c>
      <c r="K155" s="24" t="s">
        <v>46</v>
      </c>
      <c r="L155" s="120" t="s">
        <v>92</v>
      </c>
      <c r="M155" s="139" t="s">
        <v>92</v>
      </c>
    </row>
    <row r="156" spans="1:13" ht="24.9" x14ac:dyDescent="0.3">
      <c r="A156" s="81" t="s">
        <v>862</v>
      </c>
      <c r="B156" s="22" t="s">
        <v>306</v>
      </c>
      <c r="C156" s="91"/>
      <c r="D156" s="22">
        <v>1</v>
      </c>
      <c r="E156" s="22">
        <v>1</v>
      </c>
      <c r="F156" s="22">
        <v>0</v>
      </c>
      <c r="G156" s="4"/>
      <c r="H156" s="4" t="s">
        <v>43</v>
      </c>
      <c r="I156" s="23" t="s">
        <v>263</v>
      </c>
      <c r="J156" s="25" t="s">
        <v>45</v>
      </c>
      <c r="K156" s="24" t="s">
        <v>46</v>
      </c>
      <c r="L156" s="120" t="s">
        <v>94</v>
      </c>
      <c r="M156" s="139" t="s">
        <v>94</v>
      </c>
    </row>
    <row r="157" spans="1:13" ht="24.9" x14ac:dyDescent="0.3">
      <c r="A157" s="81" t="s">
        <v>863</v>
      </c>
      <c r="B157" s="22" t="s">
        <v>307</v>
      </c>
      <c r="C157" s="91"/>
      <c r="D157" s="22">
        <v>1</v>
      </c>
      <c r="E157" s="22">
        <v>1</v>
      </c>
      <c r="F157" s="22">
        <v>0</v>
      </c>
      <c r="G157" s="4"/>
      <c r="H157" s="4" t="s">
        <v>43</v>
      </c>
      <c r="I157" s="23" t="s">
        <v>263</v>
      </c>
      <c r="J157" s="25" t="s">
        <v>45</v>
      </c>
      <c r="K157" s="24" t="s">
        <v>46</v>
      </c>
      <c r="L157" s="120" t="s">
        <v>120</v>
      </c>
      <c r="M157" s="139" t="s">
        <v>120</v>
      </c>
    </row>
    <row r="158" spans="1:13" ht="24.9" x14ac:dyDescent="0.3">
      <c r="A158" s="81" t="s">
        <v>864</v>
      </c>
      <c r="B158" s="22" t="s">
        <v>308</v>
      </c>
      <c r="C158" s="91"/>
      <c r="D158" s="22">
        <v>1</v>
      </c>
      <c r="E158" s="22">
        <v>1</v>
      </c>
      <c r="F158" s="22">
        <v>0</v>
      </c>
      <c r="G158" s="4"/>
      <c r="H158" s="4" t="s">
        <v>43</v>
      </c>
      <c r="I158" s="23" t="s">
        <v>263</v>
      </c>
      <c r="J158" s="25" t="s">
        <v>45</v>
      </c>
      <c r="K158" s="24" t="s">
        <v>46</v>
      </c>
      <c r="L158" s="120" t="s">
        <v>122</v>
      </c>
      <c r="M158" s="139" t="s">
        <v>122</v>
      </c>
    </row>
    <row r="159" spans="1:13" ht="24.9" x14ac:dyDescent="0.3">
      <c r="A159" s="81" t="s">
        <v>865</v>
      </c>
      <c r="B159" s="22" t="s">
        <v>309</v>
      </c>
      <c r="C159" s="91"/>
      <c r="D159" s="22">
        <v>1</v>
      </c>
      <c r="E159" s="22">
        <v>1</v>
      </c>
      <c r="F159" s="22">
        <v>0</v>
      </c>
      <c r="G159" s="4"/>
      <c r="H159" s="4" t="s">
        <v>43</v>
      </c>
      <c r="I159" s="23" t="s">
        <v>263</v>
      </c>
      <c r="J159" s="25" t="s">
        <v>45</v>
      </c>
      <c r="K159" s="24" t="s">
        <v>46</v>
      </c>
      <c r="L159" s="120" t="s">
        <v>123</v>
      </c>
      <c r="M159" s="139" t="s">
        <v>123</v>
      </c>
    </row>
    <row r="160" spans="1:13" ht="24.9" x14ac:dyDescent="0.3">
      <c r="A160" s="28" t="s">
        <v>866</v>
      </c>
      <c r="B160" s="22" t="s">
        <v>310</v>
      </c>
      <c r="C160" s="91"/>
      <c r="D160" s="22">
        <v>1</v>
      </c>
      <c r="E160" s="22">
        <v>1</v>
      </c>
      <c r="F160" s="22">
        <v>0</v>
      </c>
      <c r="G160" s="29"/>
      <c r="H160" s="29" t="s">
        <v>43</v>
      </c>
      <c r="I160" s="23" t="s">
        <v>263</v>
      </c>
      <c r="J160" s="25" t="s">
        <v>45</v>
      </c>
      <c r="K160" s="24" t="s">
        <v>46</v>
      </c>
      <c r="L160" s="121" t="s">
        <v>311</v>
      </c>
      <c r="M160" s="160" t="s">
        <v>311</v>
      </c>
    </row>
    <row r="161" spans="1:13" ht="24.9" x14ac:dyDescent="0.3">
      <c r="A161" s="28" t="s">
        <v>867</v>
      </c>
      <c r="B161" s="22" t="s">
        <v>312</v>
      </c>
      <c r="C161" s="91"/>
      <c r="D161" s="22">
        <v>1</v>
      </c>
      <c r="E161" s="22">
        <v>1</v>
      </c>
      <c r="F161" s="22">
        <v>0</v>
      </c>
      <c r="G161" s="29"/>
      <c r="H161" s="29" t="s">
        <v>43</v>
      </c>
      <c r="I161" s="23" t="s">
        <v>263</v>
      </c>
      <c r="J161" s="25" t="s">
        <v>45</v>
      </c>
      <c r="K161" s="24" t="s">
        <v>46</v>
      </c>
      <c r="L161" s="121" t="s">
        <v>313</v>
      </c>
      <c r="M161" s="160" t="s">
        <v>313</v>
      </c>
    </row>
    <row r="162" spans="1:13" ht="24.9" x14ac:dyDescent="0.3">
      <c r="A162" s="28" t="s">
        <v>868</v>
      </c>
      <c r="B162" s="22" t="s">
        <v>314</v>
      </c>
      <c r="C162" s="91"/>
      <c r="D162" s="22">
        <v>1</v>
      </c>
      <c r="E162" s="22">
        <v>1</v>
      </c>
      <c r="F162" s="22">
        <v>0</v>
      </c>
      <c r="G162" s="29"/>
      <c r="H162" s="29" t="s">
        <v>43</v>
      </c>
      <c r="I162" s="23" t="s">
        <v>263</v>
      </c>
      <c r="J162" s="25" t="s">
        <v>45</v>
      </c>
      <c r="K162" s="24" t="s">
        <v>46</v>
      </c>
      <c r="L162" s="121" t="s">
        <v>315</v>
      </c>
      <c r="M162" s="160" t="s">
        <v>315</v>
      </c>
    </row>
    <row r="163" spans="1:13" ht="24.9" x14ac:dyDescent="0.3">
      <c r="A163" s="28" t="s">
        <v>869</v>
      </c>
      <c r="B163" s="22" t="s">
        <v>316</v>
      </c>
      <c r="C163" s="91"/>
      <c r="D163" s="22">
        <v>1</v>
      </c>
      <c r="E163" s="22">
        <v>1</v>
      </c>
      <c r="F163" s="22">
        <v>0</v>
      </c>
      <c r="G163" s="29"/>
      <c r="H163" s="29" t="s">
        <v>43</v>
      </c>
      <c r="I163" s="23" t="s">
        <v>263</v>
      </c>
      <c r="J163" s="25" t="s">
        <v>45</v>
      </c>
      <c r="K163" s="24" t="s">
        <v>46</v>
      </c>
      <c r="L163" s="121" t="s">
        <v>317</v>
      </c>
      <c r="M163" s="160" t="s">
        <v>317</v>
      </c>
    </row>
    <row r="164" spans="1:13" ht="24.9" x14ac:dyDescent="0.3">
      <c r="A164" s="28" t="s">
        <v>870</v>
      </c>
      <c r="B164" s="22" t="s">
        <v>318</v>
      </c>
      <c r="C164" s="91"/>
      <c r="D164" s="22">
        <v>1</v>
      </c>
      <c r="E164" s="22">
        <v>1</v>
      </c>
      <c r="F164" s="22">
        <v>0</v>
      </c>
      <c r="G164" s="29"/>
      <c r="H164" s="29" t="s">
        <v>43</v>
      </c>
      <c r="I164" s="23" t="s">
        <v>263</v>
      </c>
      <c r="J164" s="25" t="s">
        <v>45</v>
      </c>
      <c r="K164" s="24" t="s">
        <v>46</v>
      </c>
      <c r="L164" s="121" t="s">
        <v>319</v>
      </c>
      <c r="M164" s="160" t="s">
        <v>319</v>
      </c>
    </row>
    <row r="165" spans="1:13" ht="24.9" x14ac:dyDescent="0.3">
      <c r="A165" s="28" t="s">
        <v>871</v>
      </c>
      <c r="B165" s="22" t="s">
        <v>320</v>
      </c>
      <c r="C165" s="91"/>
      <c r="D165" s="22">
        <v>1</v>
      </c>
      <c r="E165" s="22">
        <v>1</v>
      </c>
      <c r="F165" s="22">
        <v>0</v>
      </c>
      <c r="G165" s="29"/>
      <c r="H165" s="29" t="s">
        <v>43</v>
      </c>
      <c r="I165" s="23" t="s">
        <v>263</v>
      </c>
      <c r="J165" s="25" t="s">
        <v>45</v>
      </c>
      <c r="K165" s="24" t="s">
        <v>46</v>
      </c>
      <c r="L165" s="121" t="s">
        <v>321</v>
      </c>
      <c r="M165" s="160" t="s">
        <v>321</v>
      </c>
    </row>
    <row r="166" spans="1:13" ht="24.9" x14ac:dyDescent="0.3">
      <c r="A166" s="28" t="s">
        <v>872</v>
      </c>
      <c r="B166" s="22" t="s">
        <v>322</v>
      </c>
      <c r="C166" s="91"/>
      <c r="D166" s="22">
        <v>1</v>
      </c>
      <c r="E166" s="22">
        <v>1</v>
      </c>
      <c r="F166" s="22">
        <v>0</v>
      </c>
      <c r="G166" s="29"/>
      <c r="H166" s="29" t="s">
        <v>43</v>
      </c>
      <c r="I166" s="23" t="s">
        <v>263</v>
      </c>
      <c r="J166" s="25" t="s">
        <v>45</v>
      </c>
      <c r="K166" s="24" t="s">
        <v>46</v>
      </c>
      <c r="L166" s="121" t="s">
        <v>323</v>
      </c>
      <c r="M166" s="160" t="s">
        <v>323</v>
      </c>
    </row>
    <row r="167" spans="1:13" ht="24.9" x14ac:dyDescent="0.3">
      <c r="A167" s="28" t="s">
        <v>873</v>
      </c>
      <c r="B167" s="22" t="s">
        <v>324</v>
      </c>
      <c r="C167" s="91"/>
      <c r="D167" s="22">
        <v>1</v>
      </c>
      <c r="E167" s="22">
        <v>1</v>
      </c>
      <c r="F167" s="22">
        <v>0</v>
      </c>
      <c r="G167" s="29"/>
      <c r="H167" s="29" t="s">
        <v>43</v>
      </c>
      <c r="I167" s="23" t="s">
        <v>263</v>
      </c>
      <c r="J167" s="25" t="s">
        <v>45</v>
      </c>
      <c r="K167" s="24" t="s">
        <v>46</v>
      </c>
      <c r="L167" s="121" t="s">
        <v>145</v>
      </c>
      <c r="M167" s="160" t="s">
        <v>145</v>
      </c>
    </row>
    <row r="168" spans="1:13" ht="24.9" x14ac:dyDescent="0.3">
      <c r="A168" s="28" t="s">
        <v>874</v>
      </c>
      <c r="B168" s="22" t="s">
        <v>325</v>
      </c>
      <c r="C168" s="91"/>
      <c r="D168" s="22">
        <v>1</v>
      </c>
      <c r="E168" s="22">
        <v>1</v>
      </c>
      <c r="F168" s="22">
        <v>0</v>
      </c>
      <c r="G168" s="29"/>
      <c r="H168" s="29" t="s">
        <v>43</v>
      </c>
      <c r="I168" s="23" t="s">
        <v>263</v>
      </c>
      <c r="J168" s="25" t="s">
        <v>45</v>
      </c>
      <c r="K168" s="24" t="s">
        <v>46</v>
      </c>
      <c r="L168" s="121" t="s">
        <v>326</v>
      </c>
      <c r="M168" s="160" t="s">
        <v>326</v>
      </c>
    </row>
    <row r="169" spans="1:13" ht="24.9" x14ac:dyDescent="0.3">
      <c r="A169" s="28" t="s">
        <v>875</v>
      </c>
      <c r="B169" s="22" t="s">
        <v>327</v>
      </c>
      <c r="C169" s="91"/>
      <c r="D169" s="22">
        <v>1</v>
      </c>
      <c r="E169" s="22">
        <v>1</v>
      </c>
      <c r="F169" s="22">
        <v>0</v>
      </c>
      <c r="G169" s="29"/>
      <c r="H169" s="29" t="s">
        <v>43</v>
      </c>
      <c r="I169" s="23" t="s">
        <v>263</v>
      </c>
      <c r="J169" s="25" t="s">
        <v>45</v>
      </c>
      <c r="K169" s="24" t="s">
        <v>46</v>
      </c>
      <c r="L169" s="121" t="s">
        <v>328</v>
      </c>
      <c r="M169" s="160" t="s">
        <v>328</v>
      </c>
    </row>
    <row r="170" spans="1:13" ht="24.9" x14ac:dyDescent="0.3">
      <c r="A170" s="86" t="s">
        <v>876</v>
      </c>
      <c r="B170" s="22" t="s">
        <v>329</v>
      </c>
      <c r="C170" s="91"/>
      <c r="D170" s="22">
        <v>1</v>
      </c>
      <c r="E170" s="22">
        <v>1</v>
      </c>
      <c r="F170" s="22">
        <v>0</v>
      </c>
      <c r="G170" s="4"/>
      <c r="H170" s="4" t="s">
        <v>43</v>
      </c>
      <c r="I170" s="23" t="s">
        <v>263</v>
      </c>
      <c r="J170" s="25" t="s">
        <v>45</v>
      </c>
      <c r="K170" s="24" t="s">
        <v>46</v>
      </c>
      <c r="L170" s="120" t="s">
        <v>330</v>
      </c>
      <c r="M170" s="139" t="s">
        <v>330</v>
      </c>
    </row>
    <row r="171" spans="1:13" ht="24.9" x14ac:dyDescent="0.3">
      <c r="A171" s="86" t="s">
        <v>877</v>
      </c>
      <c r="B171" s="22" t="s">
        <v>331</v>
      </c>
      <c r="C171" s="91"/>
      <c r="D171" s="22">
        <v>1</v>
      </c>
      <c r="E171" s="22">
        <v>1</v>
      </c>
      <c r="F171" s="22">
        <v>0</v>
      </c>
      <c r="G171" s="4"/>
      <c r="H171" s="4" t="s">
        <v>43</v>
      </c>
      <c r="I171" s="23" t="s">
        <v>263</v>
      </c>
      <c r="J171" s="25" t="s">
        <v>45</v>
      </c>
      <c r="K171" s="24" t="s">
        <v>46</v>
      </c>
      <c r="L171" s="120" t="s">
        <v>332</v>
      </c>
      <c r="M171" s="139" t="s">
        <v>332</v>
      </c>
    </row>
    <row r="172" spans="1:13" ht="24.9" x14ac:dyDescent="0.3">
      <c r="A172" s="46" t="s">
        <v>878</v>
      </c>
      <c r="B172" s="22" t="s">
        <v>333</v>
      </c>
      <c r="C172" s="91"/>
      <c r="D172" s="22">
        <v>1</v>
      </c>
      <c r="E172" s="22">
        <v>1</v>
      </c>
      <c r="F172" s="22">
        <v>0</v>
      </c>
      <c r="G172" s="4"/>
      <c r="H172" s="4" t="s">
        <v>43</v>
      </c>
      <c r="I172" s="23" t="s">
        <v>263</v>
      </c>
      <c r="J172" s="25" t="s">
        <v>45</v>
      </c>
      <c r="K172" s="24" t="s">
        <v>46</v>
      </c>
      <c r="L172" s="120" t="s">
        <v>334</v>
      </c>
      <c r="M172" s="139" t="s">
        <v>334</v>
      </c>
    </row>
    <row r="173" spans="1:13" ht="24.9" x14ac:dyDescent="0.3">
      <c r="A173" s="86" t="s">
        <v>879</v>
      </c>
      <c r="B173" s="22" t="s">
        <v>335</v>
      </c>
      <c r="C173" s="91"/>
      <c r="D173" s="22">
        <v>1</v>
      </c>
      <c r="E173" s="22">
        <v>1</v>
      </c>
      <c r="F173" s="22">
        <v>0</v>
      </c>
      <c r="G173" s="4"/>
      <c r="H173" s="4" t="s">
        <v>43</v>
      </c>
      <c r="I173" s="23" t="s">
        <v>263</v>
      </c>
      <c r="J173" s="25" t="s">
        <v>45</v>
      </c>
      <c r="K173" s="24" t="s">
        <v>46</v>
      </c>
      <c r="L173" s="120" t="s">
        <v>336</v>
      </c>
      <c r="M173" s="139" t="s">
        <v>336</v>
      </c>
    </row>
    <row r="174" spans="1:13" ht="24.9" x14ac:dyDescent="0.3">
      <c r="A174" s="86" t="s">
        <v>880</v>
      </c>
      <c r="B174" s="22" t="s">
        <v>337</v>
      </c>
      <c r="C174" s="91"/>
      <c r="D174" s="22">
        <v>1</v>
      </c>
      <c r="E174" s="22">
        <v>1</v>
      </c>
      <c r="F174" s="22">
        <v>0</v>
      </c>
      <c r="G174" s="4"/>
      <c r="H174" s="4" t="s">
        <v>43</v>
      </c>
      <c r="I174" s="23" t="s">
        <v>263</v>
      </c>
      <c r="J174" s="25" t="s">
        <v>45</v>
      </c>
      <c r="K174" s="24" t="s">
        <v>46</v>
      </c>
      <c r="L174" s="120" t="s">
        <v>338</v>
      </c>
      <c r="M174" s="139" t="s">
        <v>338</v>
      </c>
    </row>
    <row r="175" spans="1:13" ht="24.9" x14ac:dyDescent="0.3">
      <c r="A175" s="86" t="s">
        <v>881</v>
      </c>
      <c r="B175" s="22" t="s">
        <v>339</v>
      </c>
      <c r="C175" s="91"/>
      <c r="D175" s="22">
        <v>1</v>
      </c>
      <c r="E175" s="22">
        <v>1</v>
      </c>
      <c r="F175" s="22">
        <v>0</v>
      </c>
      <c r="G175" s="4"/>
      <c r="H175" s="4" t="s">
        <v>43</v>
      </c>
      <c r="I175" s="23" t="s">
        <v>263</v>
      </c>
      <c r="J175" s="25" t="s">
        <v>45</v>
      </c>
      <c r="K175" s="24" t="s">
        <v>46</v>
      </c>
      <c r="L175" s="120" t="s">
        <v>340</v>
      </c>
      <c r="M175" s="139" t="s">
        <v>340</v>
      </c>
    </row>
    <row r="176" spans="1:13" ht="24.9" x14ac:dyDescent="0.3">
      <c r="A176" s="86" t="s">
        <v>882</v>
      </c>
      <c r="B176" s="22" t="s">
        <v>341</v>
      </c>
      <c r="C176" s="91"/>
      <c r="D176" s="22">
        <v>1</v>
      </c>
      <c r="E176" s="22">
        <v>1</v>
      </c>
      <c r="F176" s="22">
        <v>0</v>
      </c>
      <c r="G176" s="4"/>
      <c r="H176" s="4" t="s">
        <v>43</v>
      </c>
      <c r="I176" s="23" t="s">
        <v>263</v>
      </c>
      <c r="J176" s="25" t="s">
        <v>45</v>
      </c>
      <c r="K176" s="24" t="s">
        <v>46</v>
      </c>
      <c r="L176" s="120" t="s">
        <v>342</v>
      </c>
      <c r="M176" s="139" t="s">
        <v>342</v>
      </c>
    </row>
    <row r="177" spans="1:13" ht="24.9" x14ac:dyDescent="0.3">
      <c r="A177" s="86" t="s">
        <v>883</v>
      </c>
      <c r="B177" s="22" t="s">
        <v>343</v>
      </c>
      <c r="C177" s="91"/>
      <c r="D177" s="22">
        <v>1</v>
      </c>
      <c r="E177" s="22">
        <v>1</v>
      </c>
      <c r="F177" s="22">
        <v>0</v>
      </c>
      <c r="G177" s="4"/>
      <c r="H177" s="4" t="s">
        <v>43</v>
      </c>
      <c r="I177" s="23" t="s">
        <v>263</v>
      </c>
      <c r="J177" s="25" t="s">
        <v>45</v>
      </c>
      <c r="K177" s="24" t="s">
        <v>46</v>
      </c>
      <c r="L177" s="120" t="s">
        <v>344</v>
      </c>
      <c r="M177" s="139" t="s">
        <v>344</v>
      </c>
    </row>
    <row r="178" spans="1:13" ht="24.9" x14ac:dyDescent="0.3">
      <c r="A178" s="86" t="s">
        <v>884</v>
      </c>
      <c r="B178" s="22" t="s">
        <v>345</v>
      </c>
      <c r="C178" s="91"/>
      <c r="D178" s="22">
        <v>1</v>
      </c>
      <c r="E178" s="22">
        <v>1</v>
      </c>
      <c r="F178" s="22">
        <v>0</v>
      </c>
      <c r="G178" s="4"/>
      <c r="H178" s="4" t="s">
        <v>43</v>
      </c>
      <c r="I178" s="23" t="s">
        <v>263</v>
      </c>
      <c r="J178" s="25" t="s">
        <v>45</v>
      </c>
      <c r="K178" s="24" t="s">
        <v>46</v>
      </c>
      <c r="L178" s="120" t="s">
        <v>346</v>
      </c>
      <c r="M178" s="139" t="s">
        <v>346</v>
      </c>
    </row>
    <row r="179" spans="1:13" ht="24.9" x14ac:dyDescent="0.3">
      <c r="A179" s="86" t="s">
        <v>885</v>
      </c>
      <c r="B179" s="22" t="s">
        <v>347</v>
      </c>
      <c r="C179" s="91"/>
      <c r="D179" s="22">
        <v>1</v>
      </c>
      <c r="E179" s="22">
        <v>1</v>
      </c>
      <c r="F179" s="22">
        <v>0</v>
      </c>
      <c r="G179" s="4"/>
      <c r="H179" s="4" t="s">
        <v>43</v>
      </c>
      <c r="I179" s="23" t="s">
        <v>263</v>
      </c>
      <c r="J179" s="25" t="s">
        <v>45</v>
      </c>
      <c r="K179" s="24" t="s">
        <v>46</v>
      </c>
      <c r="L179" s="120" t="s">
        <v>348</v>
      </c>
      <c r="M179" s="139" t="s">
        <v>348</v>
      </c>
    </row>
    <row r="180" spans="1:13" ht="24.9" x14ac:dyDescent="0.3">
      <c r="A180" s="86" t="s">
        <v>886</v>
      </c>
      <c r="B180" s="22" t="s">
        <v>349</v>
      </c>
      <c r="C180" s="91"/>
      <c r="D180" s="22">
        <v>1</v>
      </c>
      <c r="E180" s="22">
        <v>1</v>
      </c>
      <c r="F180" s="22">
        <v>0</v>
      </c>
      <c r="G180" s="4"/>
      <c r="H180" s="4" t="s">
        <v>43</v>
      </c>
      <c r="I180" s="23" t="s">
        <v>263</v>
      </c>
      <c r="J180" s="25" t="s">
        <v>45</v>
      </c>
      <c r="K180" s="24" t="s">
        <v>46</v>
      </c>
      <c r="L180" s="120" t="s">
        <v>350</v>
      </c>
      <c r="M180" s="139" t="s">
        <v>350</v>
      </c>
    </row>
    <row r="181" spans="1:13" ht="24.9" x14ac:dyDescent="0.3">
      <c r="A181" s="86" t="s">
        <v>887</v>
      </c>
      <c r="B181" s="22" t="s">
        <v>351</v>
      </c>
      <c r="C181" s="91"/>
      <c r="D181" s="22">
        <v>1</v>
      </c>
      <c r="E181" s="22">
        <v>1</v>
      </c>
      <c r="F181" s="22">
        <v>0</v>
      </c>
      <c r="G181" s="4"/>
      <c r="H181" s="4" t="s">
        <v>43</v>
      </c>
      <c r="I181" s="23" t="s">
        <v>263</v>
      </c>
      <c r="J181" s="25" t="s">
        <v>45</v>
      </c>
      <c r="K181" s="24" t="s">
        <v>46</v>
      </c>
      <c r="L181" s="120" t="s">
        <v>352</v>
      </c>
      <c r="M181" s="139" t="s">
        <v>1102</v>
      </c>
    </row>
    <row r="182" spans="1:13" ht="24.9" x14ac:dyDescent="0.3">
      <c r="A182" s="86" t="s">
        <v>888</v>
      </c>
      <c r="B182" s="22" t="s">
        <v>353</v>
      </c>
      <c r="C182" s="91"/>
      <c r="D182" s="22">
        <v>1</v>
      </c>
      <c r="E182" s="22">
        <v>1</v>
      </c>
      <c r="F182" s="22">
        <v>0</v>
      </c>
      <c r="G182" s="4"/>
      <c r="H182" s="4" t="s">
        <v>43</v>
      </c>
      <c r="I182" s="23" t="s">
        <v>263</v>
      </c>
      <c r="J182" s="25" t="s">
        <v>45</v>
      </c>
      <c r="K182" s="24" t="s">
        <v>46</v>
      </c>
      <c r="L182" s="120" t="s">
        <v>354</v>
      </c>
      <c r="M182" s="139" t="s">
        <v>354</v>
      </c>
    </row>
    <row r="183" spans="1:13" ht="24.9" x14ac:dyDescent="0.3">
      <c r="A183" s="86" t="s">
        <v>889</v>
      </c>
      <c r="B183" s="22" t="s">
        <v>355</v>
      </c>
      <c r="C183" s="91"/>
      <c r="D183" s="22">
        <v>1</v>
      </c>
      <c r="E183" s="22">
        <v>1</v>
      </c>
      <c r="F183" s="22">
        <v>0</v>
      </c>
      <c r="G183" s="4"/>
      <c r="H183" s="4" t="s">
        <v>43</v>
      </c>
      <c r="I183" s="23" t="s">
        <v>263</v>
      </c>
      <c r="J183" s="25" t="s">
        <v>45</v>
      </c>
      <c r="K183" s="24" t="s">
        <v>46</v>
      </c>
      <c r="L183" s="120" t="s">
        <v>356</v>
      </c>
      <c r="M183" s="139" t="s">
        <v>356</v>
      </c>
    </row>
    <row r="184" spans="1:13" ht="24.9" x14ac:dyDescent="0.3">
      <c r="A184" s="87" t="s">
        <v>890</v>
      </c>
      <c r="B184" s="30" t="s">
        <v>357</v>
      </c>
      <c r="C184" s="92"/>
      <c r="D184" s="30">
        <v>1</v>
      </c>
      <c r="E184" s="30">
        <v>1</v>
      </c>
      <c r="F184" s="30">
        <v>0</v>
      </c>
      <c r="G184" s="33"/>
      <c r="H184" s="33"/>
      <c r="I184" s="31"/>
      <c r="J184" s="32"/>
      <c r="K184" s="34"/>
      <c r="L184" s="156"/>
      <c r="M184" s="147"/>
    </row>
    <row r="185" spans="1:13" ht="24.9" x14ac:dyDescent="0.3">
      <c r="A185" s="86" t="s">
        <v>891</v>
      </c>
      <c r="B185" s="22" t="s">
        <v>358</v>
      </c>
      <c r="C185" s="91"/>
      <c r="D185" s="22">
        <v>1</v>
      </c>
      <c r="E185" s="22">
        <v>1</v>
      </c>
      <c r="F185" s="22">
        <v>0</v>
      </c>
      <c r="G185" s="4"/>
      <c r="H185" s="4" t="s">
        <v>43</v>
      </c>
      <c r="I185" s="23" t="s">
        <v>263</v>
      </c>
      <c r="J185" s="25" t="s">
        <v>45</v>
      </c>
      <c r="K185" s="24" t="s">
        <v>46</v>
      </c>
      <c r="L185" s="120" t="s">
        <v>359</v>
      </c>
      <c r="M185" s="139" t="s">
        <v>359</v>
      </c>
    </row>
    <row r="186" spans="1:13" ht="24.9" x14ac:dyDescent="0.3">
      <c r="A186" s="86" t="s">
        <v>892</v>
      </c>
      <c r="B186" s="22" t="s">
        <v>360</v>
      </c>
      <c r="C186" s="91"/>
      <c r="D186" s="22">
        <v>1</v>
      </c>
      <c r="E186" s="22">
        <v>1</v>
      </c>
      <c r="F186" s="22">
        <v>0</v>
      </c>
      <c r="G186" s="4"/>
      <c r="H186" s="4" t="s">
        <v>43</v>
      </c>
      <c r="I186" s="23" t="s">
        <v>263</v>
      </c>
      <c r="J186" s="25" t="s">
        <v>45</v>
      </c>
      <c r="K186" s="24" t="s">
        <v>46</v>
      </c>
      <c r="L186" s="120" t="s">
        <v>361</v>
      </c>
      <c r="M186" s="139" t="s">
        <v>361</v>
      </c>
    </row>
    <row r="187" spans="1:13" ht="24.9" x14ac:dyDescent="0.3">
      <c r="A187" s="86" t="s">
        <v>893</v>
      </c>
      <c r="B187" s="22" t="s">
        <v>362</v>
      </c>
      <c r="C187" s="91"/>
      <c r="D187" s="22">
        <v>1</v>
      </c>
      <c r="E187" s="22">
        <v>1</v>
      </c>
      <c r="F187" s="22">
        <v>0</v>
      </c>
      <c r="G187" s="4"/>
      <c r="H187" s="4" t="s">
        <v>43</v>
      </c>
      <c r="I187" s="23" t="s">
        <v>263</v>
      </c>
      <c r="J187" s="25" t="s">
        <v>45</v>
      </c>
      <c r="K187" s="24" t="s">
        <v>46</v>
      </c>
      <c r="L187" s="120" t="s">
        <v>363</v>
      </c>
      <c r="M187" s="139" t="s">
        <v>363</v>
      </c>
    </row>
    <row r="188" spans="1:13" ht="24.9" x14ac:dyDescent="0.3">
      <c r="A188" s="86" t="s">
        <v>894</v>
      </c>
      <c r="B188" s="22" t="s">
        <v>364</v>
      </c>
      <c r="C188" s="91"/>
      <c r="D188" s="22">
        <v>1</v>
      </c>
      <c r="E188" s="22">
        <v>1</v>
      </c>
      <c r="F188" s="22">
        <v>0</v>
      </c>
      <c r="G188" s="4"/>
      <c r="H188" s="4" t="s">
        <v>43</v>
      </c>
      <c r="I188" s="23" t="s">
        <v>263</v>
      </c>
      <c r="J188" s="25" t="s">
        <v>45</v>
      </c>
      <c r="K188" s="24" t="s">
        <v>46</v>
      </c>
      <c r="L188" s="120" t="s">
        <v>365</v>
      </c>
      <c r="M188" s="139" t="s">
        <v>365</v>
      </c>
    </row>
    <row r="189" spans="1:13" ht="24.9" x14ac:dyDescent="0.3">
      <c r="A189" s="86" t="s">
        <v>895</v>
      </c>
      <c r="B189" s="22" t="s">
        <v>366</v>
      </c>
      <c r="C189" s="91"/>
      <c r="D189" s="22">
        <v>1</v>
      </c>
      <c r="E189" s="22">
        <v>1</v>
      </c>
      <c r="F189" s="22">
        <v>0</v>
      </c>
      <c r="G189" s="4"/>
      <c r="H189" s="4" t="s">
        <v>43</v>
      </c>
      <c r="I189" s="23" t="s">
        <v>263</v>
      </c>
      <c r="J189" s="25" t="s">
        <v>45</v>
      </c>
      <c r="K189" s="24" t="s">
        <v>46</v>
      </c>
      <c r="L189" s="120" t="s">
        <v>367</v>
      </c>
      <c r="M189" s="139" t="s">
        <v>367</v>
      </c>
    </row>
    <row r="190" spans="1:13" ht="24.9" x14ac:dyDescent="0.3">
      <c r="A190" s="86" t="s">
        <v>896</v>
      </c>
      <c r="B190" s="22" t="s">
        <v>368</v>
      </c>
      <c r="C190" s="91"/>
      <c r="D190" s="22">
        <v>1</v>
      </c>
      <c r="E190" s="22">
        <v>1</v>
      </c>
      <c r="F190" s="22">
        <v>0</v>
      </c>
      <c r="G190" s="4"/>
      <c r="H190" s="4" t="s">
        <v>43</v>
      </c>
      <c r="I190" s="23" t="s">
        <v>263</v>
      </c>
      <c r="J190" s="25" t="s">
        <v>45</v>
      </c>
      <c r="K190" s="24" t="s">
        <v>46</v>
      </c>
      <c r="L190" s="120" t="s">
        <v>369</v>
      </c>
      <c r="M190" s="139" t="s">
        <v>369</v>
      </c>
    </row>
    <row r="191" spans="1:13" ht="24.9" x14ac:dyDescent="0.3">
      <c r="A191" s="86" t="s">
        <v>897</v>
      </c>
      <c r="B191" s="22" t="s">
        <v>370</v>
      </c>
      <c r="C191" s="91"/>
      <c r="D191" s="22">
        <v>1</v>
      </c>
      <c r="E191" s="22">
        <v>1</v>
      </c>
      <c r="F191" s="22">
        <v>0</v>
      </c>
      <c r="G191" s="4"/>
      <c r="H191" s="4" t="s">
        <v>43</v>
      </c>
      <c r="I191" s="23" t="s">
        <v>263</v>
      </c>
      <c r="J191" s="25" t="s">
        <v>45</v>
      </c>
      <c r="K191" s="24" t="s">
        <v>46</v>
      </c>
      <c r="L191" s="120" t="s">
        <v>371</v>
      </c>
      <c r="M191" s="139" t="s">
        <v>371</v>
      </c>
    </row>
    <row r="192" spans="1:13" ht="24.9" x14ac:dyDescent="0.3">
      <c r="A192" s="86" t="s">
        <v>898</v>
      </c>
      <c r="B192" s="22" t="s">
        <v>372</v>
      </c>
      <c r="C192" s="91"/>
      <c r="D192" s="22">
        <v>1</v>
      </c>
      <c r="E192" s="22">
        <v>1</v>
      </c>
      <c r="F192" s="22">
        <v>0</v>
      </c>
      <c r="G192" s="4"/>
      <c r="H192" s="4" t="s">
        <v>43</v>
      </c>
      <c r="I192" s="23" t="s">
        <v>263</v>
      </c>
      <c r="J192" s="25" t="s">
        <v>45</v>
      </c>
      <c r="K192" s="24" t="s">
        <v>46</v>
      </c>
      <c r="L192" s="120" t="s">
        <v>76</v>
      </c>
      <c r="M192" s="139" t="s">
        <v>76</v>
      </c>
    </row>
    <row r="193" spans="1:13" ht="24.9" x14ac:dyDescent="0.3">
      <c r="A193" s="86" t="s">
        <v>899</v>
      </c>
      <c r="B193" s="22" t="s">
        <v>373</v>
      </c>
      <c r="C193" s="91"/>
      <c r="D193" s="22">
        <v>1</v>
      </c>
      <c r="E193" s="22">
        <v>1</v>
      </c>
      <c r="F193" s="22">
        <v>0</v>
      </c>
      <c r="G193" s="4"/>
      <c r="H193" s="4" t="s">
        <v>43</v>
      </c>
      <c r="I193" s="23" t="s">
        <v>263</v>
      </c>
      <c r="J193" s="25" t="s">
        <v>45</v>
      </c>
      <c r="K193" s="24" t="s">
        <v>46</v>
      </c>
      <c r="L193" s="119" t="s">
        <v>374</v>
      </c>
      <c r="M193" s="158" t="s">
        <v>374</v>
      </c>
    </row>
    <row r="194" spans="1:13" ht="24.9" x14ac:dyDescent="0.3">
      <c r="A194" s="86" t="s">
        <v>900</v>
      </c>
      <c r="B194" s="22" t="s">
        <v>375</v>
      </c>
      <c r="C194" s="91"/>
      <c r="D194" s="22">
        <v>1</v>
      </c>
      <c r="E194" s="22">
        <v>1</v>
      </c>
      <c r="F194" s="22">
        <v>0</v>
      </c>
      <c r="G194" s="4"/>
      <c r="H194" s="4" t="s">
        <v>43</v>
      </c>
      <c r="I194" s="23" t="s">
        <v>263</v>
      </c>
      <c r="J194" s="25" t="s">
        <v>45</v>
      </c>
      <c r="K194" s="24" t="s">
        <v>46</v>
      </c>
      <c r="L194" s="119" t="s">
        <v>376</v>
      </c>
      <c r="M194" s="158" t="s">
        <v>376</v>
      </c>
    </row>
    <row r="195" spans="1:13" ht="24.9" x14ac:dyDescent="0.3">
      <c r="A195" s="86" t="s">
        <v>901</v>
      </c>
      <c r="B195" s="22" t="s">
        <v>377</v>
      </c>
      <c r="C195" s="91"/>
      <c r="D195" s="22">
        <v>1</v>
      </c>
      <c r="E195" s="22">
        <v>1</v>
      </c>
      <c r="F195" s="22">
        <v>0</v>
      </c>
      <c r="G195" s="4"/>
      <c r="H195" s="4" t="s">
        <v>43</v>
      </c>
      <c r="I195" s="23" t="s">
        <v>263</v>
      </c>
      <c r="J195" s="25" t="s">
        <v>45</v>
      </c>
      <c r="K195" s="24" t="s">
        <v>46</v>
      </c>
      <c r="L195" s="119" t="s">
        <v>378</v>
      </c>
      <c r="M195" s="158" t="s">
        <v>1103</v>
      </c>
    </row>
    <row r="196" spans="1:13" ht="24.9" x14ac:dyDescent="0.3">
      <c r="A196" s="86" t="s">
        <v>902</v>
      </c>
      <c r="B196" s="22" t="s">
        <v>379</v>
      </c>
      <c r="C196" s="91"/>
      <c r="D196" s="22">
        <v>1</v>
      </c>
      <c r="E196" s="22">
        <v>1</v>
      </c>
      <c r="F196" s="22">
        <v>0</v>
      </c>
      <c r="G196" s="4"/>
      <c r="H196" s="4" t="s">
        <v>43</v>
      </c>
      <c r="I196" s="23" t="s">
        <v>263</v>
      </c>
      <c r="J196" s="25" t="s">
        <v>45</v>
      </c>
      <c r="K196" s="24" t="s">
        <v>46</v>
      </c>
      <c r="L196" s="119" t="s">
        <v>155</v>
      </c>
      <c r="M196" s="158" t="s">
        <v>155</v>
      </c>
    </row>
    <row r="197" spans="1:13" ht="24.9" x14ac:dyDescent="0.3">
      <c r="A197" s="86" t="s">
        <v>903</v>
      </c>
      <c r="B197" s="22" t="s">
        <v>380</v>
      </c>
      <c r="C197" s="91"/>
      <c r="D197" s="22">
        <v>1</v>
      </c>
      <c r="E197" s="22">
        <v>1</v>
      </c>
      <c r="F197" s="22">
        <v>0</v>
      </c>
      <c r="G197" s="4"/>
      <c r="H197" s="4" t="s">
        <v>43</v>
      </c>
      <c r="I197" s="23" t="s">
        <v>263</v>
      </c>
      <c r="J197" s="25" t="s">
        <v>45</v>
      </c>
      <c r="K197" s="24" t="s">
        <v>46</v>
      </c>
      <c r="L197" s="120" t="s">
        <v>151</v>
      </c>
      <c r="M197" s="139" t="s">
        <v>151</v>
      </c>
    </row>
    <row r="198" spans="1:13" ht="24.9" x14ac:dyDescent="0.3">
      <c r="A198" s="86" t="s">
        <v>904</v>
      </c>
      <c r="B198" s="22" t="s">
        <v>381</v>
      </c>
      <c r="C198" s="91"/>
      <c r="D198" s="22">
        <v>1</v>
      </c>
      <c r="E198" s="22">
        <v>1</v>
      </c>
      <c r="F198" s="22">
        <v>0</v>
      </c>
      <c r="G198" s="4"/>
      <c r="H198" s="4" t="s">
        <v>43</v>
      </c>
      <c r="I198" s="23" t="s">
        <v>263</v>
      </c>
      <c r="J198" s="25" t="s">
        <v>45</v>
      </c>
      <c r="K198" s="24" t="s">
        <v>46</v>
      </c>
      <c r="L198" s="120" t="s">
        <v>153</v>
      </c>
      <c r="M198" s="139" t="s">
        <v>153</v>
      </c>
    </row>
    <row r="199" spans="1:13" ht="24.9" x14ac:dyDescent="0.3">
      <c r="A199" s="86" t="s">
        <v>905</v>
      </c>
      <c r="B199" s="22" t="s">
        <v>382</v>
      </c>
      <c r="C199" s="91"/>
      <c r="D199" s="22">
        <v>1</v>
      </c>
      <c r="E199" s="22">
        <v>1</v>
      </c>
      <c r="F199" s="22">
        <v>0</v>
      </c>
      <c r="G199" s="4"/>
      <c r="H199" s="4" t="s">
        <v>43</v>
      </c>
      <c r="I199" s="23" t="s">
        <v>263</v>
      </c>
      <c r="J199" s="25" t="s">
        <v>45</v>
      </c>
      <c r="K199" s="24" t="s">
        <v>46</v>
      </c>
      <c r="L199" s="120" t="s">
        <v>149</v>
      </c>
      <c r="M199" s="139" t="s">
        <v>149</v>
      </c>
    </row>
    <row r="200" spans="1:13" ht="24.9" x14ac:dyDescent="0.3">
      <c r="A200" s="81" t="s">
        <v>906</v>
      </c>
      <c r="B200" s="22" t="s">
        <v>383</v>
      </c>
      <c r="C200" s="91"/>
      <c r="D200" s="22">
        <v>1</v>
      </c>
      <c r="E200" s="22">
        <v>1</v>
      </c>
      <c r="F200" s="22">
        <v>0</v>
      </c>
      <c r="G200" s="4"/>
      <c r="H200" s="4" t="s">
        <v>43</v>
      </c>
      <c r="I200" s="23" t="s">
        <v>263</v>
      </c>
      <c r="J200" s="25" t="s">
        <v>45</v>
      </c>
      <c r="K200" s="24" t="s">
        <v>46</v>
      </c>
      <c r="L200" s="120" t="s">
        <v>165</v>
      </c>
      <c r="M200" s="139" t="s">
        <v>165</v>
      </c>
    </row>
    <row r="201" spans="1:13" ht="24.9" x14ac:dyDescent="0.3">
      <c r="A201" s="81" t="s">
        <v>907</v>
      </c>
      <c r="B201" s="22" t="s">
        <v>384</v>
      </c>
      <c r="C201" s="91"/>
      <c r="D201" s="22">
        <v>1</v>
      </c>
      <c r="E201" s="22">
        <v>1</v>
      </c>
      <c r="F201" s="22">
        <v>0</v>
      </c>
      <c r="G201" s="4"/>
      <c r="H201" s="4" t="s">
        <v>43</v>
      </c>
      <c r="I201" s="23" t="s">
        <v>263</v>
      </c>
      <c r="J201" s="25" t="s">
        <v>45</v>
      </c>
      <c r="K201" s="24" t="s">
        <v>46</v>
      </c>
      <c r="L201" s="120" t="s">
        <v>167</v>
      </c>
      <c r="M201" s="139" t="s">
        <v>167</v>
      </c>
    </row>
    <row r="202" spans="1:13" ht="24.9" x14ac:dyDescent="0.3">
      <c r="A202" s="81" t="s">
        <v>908</v>
      </c>
      <c r="B202" s="22" t="s">
        <v>385</v>
      </c>
      <c r="C202" s="91"/>
      <c r="D202" s="22">
        <v>1</v>
      </c>
      <c r="E202" s="22">
        <v>1</v>
      </c>
      <c r="F202" s="22">
        <v>0</v>
      </c>
      <c r="G202" s="4"/>
      <c r="H202" s="4" t="s">
        <v>43</v>
      </c>
      <c r="I202" s="23" t="s">
        <v>263</v>
      </c>
      <c r="J202" s="25" t="s">
        <v>45</v>
      </c>
      <c r="K202" s="24" t="s">
        <v>46</v>
      </c>
      <c r="L202" s="120" t="s">
        <v>169</v>
      </c>
      <c r="M202" s="139" t="s">
        <v>169</v>
      </c>
    </row>
    <row r="203" spans="1:13" ht="24.9" x14ac:dyDescent="0.3">
      <c r="A203" s="81" t="s">
        <v>909</v>
      </c>
      <c r="B203" s="22" t="s">
        <v>386</v>
      </c>
      <c r="C203" s="91"/>
      <c r="D203" s="22">
        <v>1</v>
      </c>
      <c r="E203" s="22">
        <v>1</v>
      </c>
      <c r="F203" s="22">
        <v>0</v>
      </c>
      <c r="G203" s="4"/>
      <c r="H203" s="4" t="s">
        <v>43</v>
      </c>
      <c r="I203" s="23" t="s">
        <v>263</v>
      </c>
      <c r="J203" s="25" t="s">
        <v>45</v>
      </c>
      <c r="K203" s="24" t="s">
        <v>46</v>
      </c>
      <c r="L203" s="120" t="s">
        <v>171</v>
      </c>
      <c r="M203" s="139" t="s">
        <v>171</v>
      </c>
    </row>
    <row r="204" spans="1:13" ht="24.9" x14ac:dyDescent="0.3">
      <c r="A204" s="81" t="s">
        <v>910</v>
      </c>
      <c r="B204" s="22" t="s">
        <v>387</v>
      </c>
      <c r="C204" s="91"/>
      <c r="D204" s="22">
        <v>1</v>
      </c>
      <c r="E204" s="22">
        <v>1</v>
      </c>
      <c r="F204" s="22">
        <v>0</v>
      </c>
      <c r="G204" s="4"/>
      <c r="H204" s="4" t="s">
        <v>43</v>
      </c>
      <c r="I204" s="23" t="s">
        <v>263</v>
      </c>
      <c r="J204" s="25" t="s">
        <v>45</v>
      </c>
      <c r="K204" s="24" t="s">
        <v>46</v>
      </c>
      <c r="L204" s="120" t="s">
        <v>173</v>
      </c>
      <c r="M204" s="139" t="s">
        <v>173</v>
      </c>
    </row>
    <row r="205" spans="1:13" ht="24.9" x14ac:dyDescent="0.3">
      <c r="A205" s="81" t="s">
        <v>911</v>
      </c>
      <c r="B205" s="22" t="s">
        <v>388</v>
      </c>
      <c r="C205" s="91"/>
      <c r="D205" s="22">
        <v>1</v>
      </c>
      <c r="E205" s="22">
        <v>1</v>
      </c>
      <c r="F205" s="22">
        <v>0</v>
      </c>
      <c r="G205" s="4"/>
      <c r="H205" s="4" t="s">
        <v>43</v>
      </c>
      <c r="I205" s="23" t="s">
        <v>263</v>
      </c>
      <c r="J205" s="25" t="s">
        <v>45</v>
      </c>
      <c r="K205" s="24" t="s">
        <v>46</v>
      </c>
      <c r="L205" s="120" t="s">
        <v>175</v>
      </c>
      <c r="M205" s="139" t="s">
        <v>1104</v>
      </c>
    </row>
    <row r="206" spans="1:13" ht="24.9" x14ac:dyDescent="0.3">
      <c r="A206" s="81" t="s">
        <v>912</v>
      </c>
      <c r="B206" s="22" t="s">
        <v>389</v>
      </c>
      <c r="C206" s="91"/>
      <c r="D206" s="22">
        <v>1</v>
      </c>
      <c r="E206" s="22">
        <v>1</v>
      </c>
      <c r="F206" s="22">
        <v>0</v>
      </c>
      <c r="G206" s="4"/>
      <c r="H206" s="4" t="s">
        <v>43</v>
      </c>
      <c r="I206" s="23" t="s">
        <v>263</v>
      </c>
      <c r="J206" s="25" t="s">
        <v>45</v>
      </c>
      <c r="K206" s="24" t="s">
        <v>46</v>
      </c>
      <c r="L206" s="120" t="s">
        <v>177</v>
      </c>
      <c r="M206" s="139" t="s">
        <v>177</v>
      </c>
    </row>
    <row r="207" spans="1:13" ht="24.9" x14ac:dyDescent="0.3">
      <c r="A207" s="81" t="s">
        <v>913</v>
      </c>
      <c r="B207" s="22" t="s">
        <v>390</v>
      </c>
      <c r="C207" s="91"/>
      <c r="D207" s="22">
        <v>1</v>
      </c>
      <c r="E207" s="22">
        <v>1</v>
      </c>
      <c r="F207" s="22">
        <v>0</v>
      </c>
      <c r="G207" s="4"/>
      <c r="H207" s="4" t="s">
        <v>43</v>
      </c>
      <c r="I207" s="23" t="s">
        <v>263</v>
      </c>
      <c r="J207" s="25" t="s">
        <v>45</v>
      </c>
      <c r="K207" s="24" t="s">
        <v>46</v>
      </c>
      <c r="L207" s="120" t="s">
        <v>179</v>
      </c>
      <c r="M207" s="139" t="s">
        <v>179</v>
      </c>
    </row>
    <row r="208" spans="1:13" ht="24.9" x14ac:dyDescent="0.3">
      <c r="A208" s="81" t="s">
        <v>914</v>
      </c>
      <c r="B208" s="22" t="s">
        <v>391</v>
      </c>
      <c r="C208" s="91"/>
      <c r="D208" s="22">
        <v>1</v>
      </c>
      <c r="E208" s="22">
        <v>1</v>
      </c>
      <c r="F208" s="22">
        <v>0</v>
      </c>
      <c r="G208" s="4"/>
      <c r="H208" s="4" t="s">
        <v>43</v>
      </c>
      <c r="I208" s="23" t="s">
        <v>263</v>
      </c>
      <c r="J208" s="25" t="s">
        <v>45</v>
      </c>
      <c r="K208" s="24" t="s">
        <v>46</v>
      </c>
      <c r="L208" s="120" t="s">
        <v>181</v>
      </c>
      <c r="M208" s="139" t="s">
        <v>181</v>
      </c>
    </row>
    <row r="209" spans="1:13" ht="24.9" x14ac:dyDescent="0.3">
      <c r="A209" s="88" t="s">
        <v>915</v>
      </c>
      <c r="B209" s="22" t="s">
        <v>392</v>
      </c>
      <c r="C209" s="93"/>
      <c r="D209" s="37">
        <v>1</v>
      </c>
      <c r="E209" s="37">
        <v>1</v>
      </c>
      <c r="F209" s="37">
        <v>0</v>
      </c>
      <c r="G209" s="38"/>
      <c r="H209" s="38" t="s">
        <v>43</v>
      </c>
      <c r="I209" s="23" t="s">
        <v>263</v>
      </c>
      <c r="J209" s="25" t="s">
        <v>45</v>
      </c>
      <c r="K209" s="24" t="s">
        <v>46</v>
      </c>
      <c r="L209" s="122" t="s">
        <v>393</v>
      </c>
      <c r="M209" s="139" t="s">
        <v>393</v>
      </c>
    </row>
    <row r="210" spans="1:13" ht="24.9" x14ac:dyDescent="0.3">
      <c r="A210" s="86" t="s">
        <v>916</v>
      </c>
      <c r="B210" s="22" t="s">
        <v>394</v>
      </c>
      <c r="C210" s="91"/>
      <c r="D210" s="22">
        <v>1</v>
      </c>
      <c r="E210" s="22">
        <v>1</v>
      </c>
      <c r="F210" s="22">
        <v>0</v>
      </c>
      <c r="G210" s="4"/>
      <c r="H210" s="4" t="s">
        <v>43</v>
      </c>
      <c r="I210" s="23" t="s">
        <v>263</v>
      </c>
      <c r="J210" s="25" t="s">
        <v>45</v>
      </c>
      <c r="K210" s="24" t="s">
        <v>46</v>
      </c>
      <c r="L210" s="123" t="s">
        <v>395</v>
      </c>
      <c r="M210" s="139" t="s">
        <v>395</v>
      </c>
    </row>
    <row r="211" spans="1:13" ht="24.9" x14ac:dyDescent="0.3">
      <c r="A211" s="28" t="s">
        <v>917</v>
      </c>
      <c r="B211" s="22" t="s">
        <v>396</v>
      </c>
      <c r="C211" s="91"/>
      <c r="D211" s="22">
        <v>1</v>
      </c>
      <c r="E211" s="22">
        <v>1</v>
      </c>
      <c r="F211" s="22">
        <v>0</v>
      </c>
      <c r="G211" s="29"/>
      <c r="H211" s="29" t="s">
        <v>43</v>
      </c>
      <c r="I211" s="23" t="s">
        <v>263</v>
      </c>
      <c r="J211" s="25" t="s">
        <v>45</v>
      </c>
      <c r="K211" s="24" t="s">
        <v>46</v>
      </c>
      <c r="L211" s="121" t="s">
        <v>397</v>
      </c>
      <c r="M211" s="160" t="s">
        <v>1105</v>
      </c>
    </row>
    <row r="212" spans="1:13" ht="24.9" x14ac:dyDescent="0.3">
      <c r="A212" s="28" t="s">
        <v>918</v>
      </c>
      <c r="B212" s="22" t="s">
        <v>398</v>
      </c>
      <c r="C212" s="91"/>
      <c r="D212" s="22">
        <v>1</v>
      </c>
      <c r="E212" s="22">
        <v>1</v>
      </c>
      <c r="F212" s="22">
        <v>0</v>
      </c>
      <c r="G212" s="29"/>
      <c r="H212" s="29" t="s">
        <v>43</v>
      </c>
      <c r="I212" s="23" t="s">
        <v>263</v>
      </c>
      <c r="J212" s="25" t="s">
        <v>45</v>
      </c>
      <c r="K212" s="24" t="s">
        <v>46</v>
      </c>
      <c r="L212" s="121" t="s">
        <v>399</v>
      </c>
      <c r="M212" s="160" t="s">
        <v>1106</v>
      </c>
    </row>
    <row r="213" spans="1:13" ht="24.9" x14ac:dyDescent="0.3">
      <c r="A213" s="28" t="s">
        <v>919</v>
      </c>
      <c r="B213" s="22" t="s">
        <v>400</v>
      </c>
      <c r="C213" s="91"/>
      <c r="D213" s="22">
        <v>1</v>
      </c>
      <c r="E213" s="22">
        <v>1</v>
      </c>
      <c r="F213" s="22">
        <v>0</v>
      </c>
      <c r="G213" s="29"/>
      <c r="H213" s="29" t="s">
        <v>43</v>
      </c>
      <c r="I213" s="23" t="s">
        <v>263</v>
      </c>
      <c r="J213" s="25" t="s">
        <v>45</v>
      </c>
      <c r="K213" s="24" t="s">
        <v>46</v>
      </c>
      <c r="L213" s="121" t="s">
        <v>401</v>
      </c>
      <c r="M213" s="160" t="s">
        <v>401</v>
      </c>
    </row>
    <row r="214" spans="1:13" ht="24.9" x14ac:dyDescent="0.3">
      <c r="A214" s="28" t="s">
        <v>920</v>
      </c>
      <c r="B214" s="22" t="s">
        <v>402</v>
      </c>
      <c r="C214" s="91"/>
      <c r="D214" s="22">
        <v>1</v>
      </c>
      <c r="E214" s="22">
        <v>1</v>
      </c>
      <c r="F214" s="22">
        <v>0</v>
      </c>
      <c r="G214" s="29"/>
      <c r="H214" s="29" t="s">
        <v>43</v>
      </c>
      <c r="I214" s="23" t="s">
        <v>263</v>
      </c>
      <c r="J214" s="25" t="s">
        <v>45</v>
      </c>
      <c r="K214" s="24" t="s">
        <v>46</v>
      </c>
      <c r="L214" s="121" t="s">
        <v>403</v>
      </c>
      <c r="M214" s="160" t="s">
        <v>403</v>
      </c>
    </row>
    <row r="215" spans="1:13" ht="24.9" x14ac:dyDescent="0.3">
      <c r="A215" s="28" t="s">
        <v>921</v>
      </c>
      <c r="B215" s="22" t="s">
        <v>404</v>
      </c>
      <c r="C215" s="91"/>
      <c r="D215" s="22">
        <v>1</v>
      </c>
      <c r="E215" s="22">
        <v>1</v>
      </c>
      <c r="F215" s="22">
        <v>0</v>
      </c>
      <c r="G215" s="29"/>
      <c r="H215" s="29" t="s">
        <v>43</v>
      </c>
      <c r="I215" s="23" t="s">
        <v>263</v>
      </c>
      <c r="J215" s="25" t="s">
        <v>45</v>
      </c>
      <c r="K215" s="24" t="s">
        <v>46</v>
      </c>
      <c r="L215" s="121" t="s">
        <v>405</v>
      </c>
      <c r="M215" s="160" t="s">
        <v>405</v>
      </c>
    </row>
    <row r="216" spans="1:13" ht="24.9" x14ac:dyDescent="0.3">
      <c r="A216" s="28" t="s">
        <v>922</v>
      </c>
      <c r="B216" s="22" t="s">
        <v>406</v>
      </c>
      <c r="C216" s="91"/>
      <c r="D216" s="22">
        <v>1</v>
      </c>
      <c r="E216" s="22">
        <v>1</v>
      </c>
      <c r="F216" s="22">
        <v>0</v>
      </c>
      <c r="G216" s="29"/>
      <c r="H216" s="29" t="s">
        <v>43</v>
      </c>
      <c r="I216" s="23" t="s">
        <v>263</v>
      </c>
      <c r="J216" s="25" t="s">
        <v>45</v>
      </c>
      <c r="K216" s="24" t="s">
        <v>46</v>
      </c>
      <c r="L216" s="121" t="s">
        <v>407</v>
      </c>
      <c r="M216" s="160" t="s">
        <v>407</v>
      </c>
    </row>
    <row r="217" spans="1:13" ht="24.9" x14ac:dyDescent="0.3">
      <c r="A217" s="28" t="s">
        <v>923</v>
      </c>
      <c r="B217" s="22" t="s">
        <v>408</v>
      </c>
      <c r="C217" s="91"/>
      <c r="D217" s="22">
        <v>1</v>
      </c>
      <c r="E217" s="22">
        <v>1</v>
      </c>
      <c r="F217" s="22">
        <v>0</v>
      </c>
      <c r="G217" s="29"/>
      <c r="H217" s="29" t="s">
        <v>43</v>
      </c>
      <c r="I217" s="23" t="s">
        <v>263</v>
      </c>
      <c r="J217" s="25" t="s">
        <v>45</v>
      </c>
      <c r="K217" s="24" t="s">
        <v>46</v>
      </c>
      <c r="L217" s="121" t="s">
        <v>409</v>
      </c>
      <c r="M217" s="160" t="s">
        <v>409</v>
      </c>
    </row>
    <row r="218" spans="1:13" ht="24.9" x14ac:dyDescent="0.3">
      <c r="A218" s="28" t="s">
        <v>924</v>
      </c>
      <c r="B218" s="22" t="s">
        <v>410</v>
      </c>
      <c r="C218" s="91"/>
      <c r="D218" s="22">
        <v>1</v>
      </c>
      <c r="E218" s="22">
        <v>1</v>
      </c>
      <c r="F218" s="22">
        <v>0</v>
      </c>
      <c r="G218" s="29"/>
      <c r="H218" s="29" t="s">
        <v>43</v>
      </c>
      <c r="I218" s="23" t="s">
        <v>263</v>
      </c>
      <c r="J218" s="25" t="s">
        <v>45</v>
      </c>
      <c r="K218" s="24" t="s">
        <v>46</v>
      </c>
      <c r="L218" s="121" t="s">
        <v>411</v>
      </c>
      <c r="M218" s="160" t="s">
        <v>411</v>
      </c>
    </row>
    <row r="219" spans="1:13" ht="24.9" x14ac:dyDescent="0.3">
      <c r="A219" s="28" t="s">
        <v>925</v>
      </c>
      <c r="B219" s="22" t="s">
        <v>412</v>
      </c>
      <c r="C219" s="91"/>
      <c r="D219" s="22">
        <v>1</v>
      </c>
      <c r="E219" s="22">
        <v>1</v>
      </c>
      <c r="F219" s="22">
        <v>0</v>
      </c>
      <c r="G219" s="29"/>
      <c r="H219" s="29" t="s">
        <v>43</v>
      </c>
      <c r="I219" s="23" t="s">
        <v>263</v>
      </c>
      <c r="J219" s="25" t="s">
        <v>45</v>
      </c>
      <c r="K219" s="24" t="s">
        <v>46</v>
      </c>
      <c r="L219" s="121" t="s">
        <v>413</v>
      </c>
      <c r="M219" s="160" t="s">
        <v>413</v>
      </c>
    </row>
    <row r="220" spans="1:13" ht="24.9" x14ac:dyDescent="0.3">
      <c r="A220" s="28" t="s">
        <v>926</v>
      </c>
      <c r="B220" s="22" t="s">
        <v>414</v>
      </c>
      <c r="C220" s="91"/>
      <c r="D220" s="22">
        <v>1</v>
      </c>
      <c r="E220" s="22">
        <v>1</v>
      </c>
      <c r="F220" s="22">
        <v>0</v>
      </c>
      <c r="G220" s="29"/>
      <c r="H220" s="29" t="s">
        <v>43</v>
      </c>
      <c r="I220" s="23" t="s">
        <v>263</v>
      </c>
      <c r="J220" s="25" t="s">
        <v>45</v>
      </c>
      <c r="K220" s="24" t="s">
        <v>46</v>
      </c>
      <c r="L220" s="121" t="s">
        <v>811</v>
      </c>
      <c r="M220" s="160" t="s">
        <v>811</v>
      </c>
    </row>
    <row r="221" spans="1:13" ht="24.9" x14ac:dyDescent="0.3">
      <c r="A221" s="28" t="s">
        <v>927</v>
      </c>
      <c r="B221" s="22" t="s">
        <v>415</v>
      </c>
      <c r="C221" s="91"/>
      <c r="D221" s="22">
        <v>1</v>
      </c>
      <c r="E221" s="22">
        <v>1</v>
      </c>
      <c r="F221" s="22">
        <v>0</v>
      </c>
      <c r="G221" s="29"/>
      <c r="H221" s="29" t="s">
        <v>43</v>
      </c>
      <c r="I221" s="23" t="s">
        <v>263</v>
      </c>
      <c r="J221" s="25" t="s">
        <v>45</v>
      </c>
      <c r="K221" s="24" t="s">
        <v>46</v>
      </c>
      <c r="L221" s="121" t="s">
        <v>812</v>
      </c>
      <c r="M221" s="160" t="s">
        <v>812</v>
      </c>
    </row>
    <row r="222" spans="1:13" ht="24.9" x14ac:dyDescent="0.3">
      <c r="A222" s="28" t="s">
        <v>928</v>
      </c>
      <c r="B222" s="22" t="s">
        <v>416</v>
      </c>
      <c r="C222" s="91"/>
      <c r="D222" s="22">
        <v>1</v>
      </c>
      <c r="E222" s="22">
        <v>1</v>
      </c>
      <c r="F222" s="22">
        <v>0</v>
      </c>
      <c r="G222" s="29"/>
      <c r="H222" s="29" t="s">
        <v>43</v>
      </c>
      <c r="I222" s="23" t="s">
        <v>263</v>
      </c>
      <c r="J222" s="25" t="s">
        <v>45</v>
      </c>
      <c r="K222" s="24" t="s">
        <v>46</v>
      </c>
      <c r="L222" s="121" t="s">
        <v>813</v>
      </c>
      <c r="M222" s="160" t="s">
        <v>813</v>
      </c>
    </row>
    <row r="223" spans="1:13" ht="24.9" x14ac:dyDescent="0.3">
      <c r="A223" s="28" t="s">
        <v>929</v>
      </c>
      <c r="B223" s="22" t="s">
        <v>417</v>
      </c>
      <c r="C223" s="91"/>
      <c r="D223" s="22">
        <v>1</v>
      </c>
      <c r="E223" s="22">
        <v>1</v>
      </c>
      <c r="F223" s="22">
        <v>0</v>
      </c>
      <c r="G223" s="29"/>
      <c r="H223" s="29" t="s">
        <v>43</v>
      </c>
      <c r="I223" s="23" t="s">
        <v>263</v>
      </c>
      <c r="J223" s="25" t="s">
        <v>45</v>
      </c>
      <c r="K223" s="24" t="s">
        <v>46</v>
      </c>
      <c r="L223" s="121" t="s">
        <v>418</v>
      </c>
      <c r="M223" s="160" t="s">
        <v>418</v>
      </c>
    </row>
    <row r="224" spans="1:13" ht="24.9" x14ac:dyDescent="0.3">
      <c r="A224" s="28" t="s">
        <v>930</v>
      </c>
      <c r="B224" s="22" t="s">
        <v>419</v>
      </c>
      <c r="C224" s="91"/>
      <c r="D224" s="22">
        <v>1</v>
      </c>
      <c r="E224" s="22">
        <v>1</v>
      </c>
      <c r="F224" s="22">
        <v>0</v>
      </c>
      <c r="G224" s="29"/>
      <c r="H224" s="29" t="s">
        <v>43</v>
      </c>
      <c r="I224" s="23" t="s">
        <v>263</v>
      </c>
      <c r="J224" s="25" t="s">
        <v>45</v>
      </c>
      <c r="K224" s="24" t="s">
        <v>46</v>
      </c>
      <c r="L224" s="121" t="s">
        <v>420</v>
      </c>
      <c r="M224" s="160" t="s">
        <v>420</v>
      </c>
    </row>
    <row r="225" spans="1:13" ht="24.9" x14ac:dyDescent="0.3">
      <c r="A225" s="28" t="s">
        <v>931</v>
      </c>
      <c r="B225" s="22" t="s">
        <v>421</v>
      </c>
      <c r="C225" s="91"/>
      <c r="D225" s="22">
        <v>1</v>
      </c>
      <c r="E225" s="22">
        <v>1</v>
      </c>
      <c r="F225" s="22">
        <v>0</v>
      </c>
      <c r="G225" s="29"/>
      <c r="H225" s="29" t="s">
        <v>43</v>
      </c>
      <c r="I225" s="23" t="s">
        <v>263</v>
      </c>
      <c r="J225" s="25" t="s">
        <v>45</v>
      </c>
      <c r="K225" s="24" t="s">
        <v>46</v>
      </c>
      <c r="L225" s="121" t="s">
        <v>422</v>
      </c>
      <c r="M225" s="160" t="s">
        <v>422</v>
      </c>
    </row>
    <row r="226" spans="1:13" ht="24.9" x14ac:dyDescent="0.3">
      <c r="A226" s="28" t="s">
        <v>932</v>
      </c>
      <c r="B226" s="22" t="s">
        <v>423</v>
      </c>
      <c r="C226" s="91"/>
      <c r="D226" s="22">
        <v>1</v>
      </c>
      <c r="E226" s="22">
        <v>1</v>
      </c>
      <c r="F226" s="22">
        <v>0</v>
      </c>
      <c r="G226" s="29"/>
      <c r="H226" s="29" t="s">
        <v>43</v>
      </c>
      <c r="I226" s="23" t="s">
        <v>263</v>
      </c>
      <c r="J226" s="25" t="s">
        <v>45</v>
      </c>
      <c r="K226" s="24" t="s">
        <v>46</v>
      </c>
      <c r="L226" s="121" t="s">
        <v>424</v>
      </c>
      <c r="M226" s="160" t="s">
        <v>424</v>
      </c>
    </row>
    <row r="227" spans="1:13" ht="24.9" x14ac:dyDescent="0.3">
      <c r="A227" s="28" t="s">
        <v>933</v>
      </c>
      <c r="B227" s="22" t="s">
        <v>425</v>
      </c>
      <c r="C227" s="91"/>
      <c r="D227" s="22">
        <v>1</v>
      </c>
      <c r="E227" s="22">
        <v>1</v>
      </c>
      <c r="F227" s="22">
        <v>0</v>
      </c>
      <c r="G227" s="29"/>
      <c r="H227" s="29" t="s">
        <v>43</v>
      </c>
      <c r="I227" s="23" t="s">
        <v>263</v>
      </c>
      <c r="J227" s="25" t="s">
        <v>45</v>
      </c>
      <c r="K227" s="24" t="s">
        <v>46</v>
      </c>
      <c r="L227" s="121" t="s">
        <v>426</v>
      </c>
      <c r="M227" s="160" t="s">
        <v>426</v>
      </c>
    </row>
    <row r="228" spans="1:13" ht="24.9" x14ac:dyDescent="0.3">
      <c r="A228" s="28" t="s">
        <v>934</v>
      </c>
      <c r="B228" s="22" t="s">
        <v>427</v>
      </c>
      <c r="C228" s="91"/>
      <c r="D228" s="22">
        <v>1</v>
      </c>
      <c r="E228" s="22">
        <v>1</v>
      </c>
      <c r="F228" s="22">
        <v>0</v>
      </c>
      <c r="G228" s="29"/>
      <c r="H228" s="29" t="s">
        <v>43</v>
      </c>
      <c r="I228" s="23" t="s">
        <v>263</v>
      </c>
      <c r="J228" s="25" t="s">
        <v>45</v>
      </c>
      <c r="K228" s="24" t="s">
        <v>46</v>
      </c>
      <c r="L228" s="121" t="s">
        <v>428</v>
      </c>
      <c r="M228" s="160" t="s">
        <v>428</v>
      </c>
    </row>
    <row r="229" spans="1:13" ht="24.9" x14ac:dyDescent="0.3">
      <c r="A229" s="28" t="s">
        <v>935</v>
      </c>
      <c r="B229" s="22" t="s">
        <v>429</v>
      </c>
      <c r="C229" s="91"/>
      <c r="D229" s="22">
        <v>1</v>
      </c>
      <c r="E229" s="22">
        <v>1</v>
      </c>
      <c r="F229" s="22">
        <v>0</v>
      </c>
      <c r="G229" s="29"/>
      <c r="H229" s="29" t="s">
        <v>43</v>
      </c>
      <c r="I229" s="23" t="s">
        <v>263</v>
      </c>
      <c r="J229" s="25" t="s">
        <v>45</v>
      </c>
      <c r="K229" s="24" t="s">
        <v>46</v>
      </c>
      <c r="L229" s="121" t="s">
        <v>430</v>
      </c>
      <c r="M229" s="160" t="s">
        <v>430</v>
      </c>
    </row>
    <row r="230" spans="1:13" ht="24.9" x14ac:dyDescent="0.3">
      <c r="A230" s="28" t="s">
        <v>936</v>
      </c>
      <c r="B230" s="22" t="s">
        <v>431</v>
      </c>
      <c r="C230" s="91"/>
      <c r="D230" s="22">
        <v>1</v>
      </c>
      <c r="E230" s="22">
        <v>1</v>
      </c>
      <c r="F230" s="22">
        <v>0</v>
      </c>
      <c r="G230" s="29"/>
      <c r="H230" s="29" t="s">
        <v>43</v>
      </c>
      <c r="I230" s="23" t="s">
        <v>263</v>
      </c>
      <c r="J230" s="25" t="s">
        <v>45</v>
      </c>
      <c r="K230" s="24" t="s">
        <v>46</v>
      </c>
      <c r="L230" s="121" t="s">
        <v>432</v>
      </c>
      <c r="M230" s="160" t="s">
        <v>432</v>
      </c>
    </row>
    <row r="231" spans="1:13" ht="24.9" x14ac:dyDescent="0.3">
      <c r="A231" s="28" t="s">
        <v>937</v>
      </c>
      <c r="B231" s="22" t="s">
        <v>433</v>
      </c>
      <c r="C231" s="91"/>
      <c r="D231" s="22">
        <v>1</v>
      </c>
      <c r="E231" s="22">
        <v>1</v>
      </c>
      <c r="F231" s="22">
        <v>0</v>
      </c>
      <c r="G231" s="29"/>
      <c r="H231" s="29" t="s">
        <v>43</v>
      </c>
      <c r="I231" s="23" t="s">
        <v>263</v>
      </c>
      <c r="J231" s="25" t="s">
        <v>45</v>
      </c>
      <c r="K231" s="24" t="s">
        <v>46</v>
      </c>
      <c r="L231" s="121" t="s">
        <v>434</v>
      </c>
      <c r="M231" s="160" t="s">
        <v>434</v>
      </c>
    </row>
    <row r="232" spans="1:13" ht="24.9" x14ac:dyDescent="0.3">
      <c r="A232" s="28" t="s">
        <v>938</v>
      </c>
      <c r="B232" s="22" t="s">
        <v>435</v>
      </c>
      <c r="C232" s="91"/>
      <c r="D232" s="22">
        <v>1</v>
      </c>
      <c r="E232" s="22">
        <v>1</v>
      </c>
      <c r="F232" s="22">
        <v>0</v>
      </c>
      <c r="G232" s="29"/>
      <c r="H232" s="29" t="s">
        <v>43</v>
      </c>
      <c r="I232" s="23" t="s">
        <v>263</v>
      </c>
      <c r="J232" s="25" t="s">
        <v>45</v>
      </c>
      <c r="K232" s="24" t="s">
        <v>46</v>
      </c>
      <c r="L232" s="121" t="s">
        <v>436</v>
      </c>
      <c r="M232" s="160" t="s">
        <v>436</v>
      </c>
    </row>
    <row r="233" spans="1:13" ht="24.9" x14ac:dyDescent="0.3">
      <c r="A233" s="28" t="s">
        <v>939</v>
      </c>
      <c r="B233" s="22" t="s">
        <v>437</v>
      </c>
      <c r="C233" s="91"/>
      <c r="D233" s="22">
        <v>1</v>
      </c>
      <c r="E233" s="22">
        <v>1</v>
      </c>
      <c r="F233" s="22">
        <v>0</v>
      </c>
      <c r="G233" s="29"/>
      <c r="H233" s="29" t="s">
        <v>43</v>
      </c>
      <c r="I233" s="23" t="s">
        <v>263</v>
      </c>
      <c r="J233" s="25" t="s">
        <v>45</v>
      </c>
      <c r="K233" s="24" t="s">
        <v>46</v>
      </c>
      <c r="L233" s="121" t="s">
        <v>438</v>
      </c>
      <c r="M233" s="160" t="s">
        <v>438</v>
      </c>
    </row>
    <row r="234" spans="1:13" ht="24.9" x14ac:dyDescent="0.3">
      <c r="A234" s="28" t="s">
        <v>940</v>
      </c>
      <c r="B234" s="22" t="s">
        <v>439</v>
      </c>
      <c r="C234" s="91"/>
      <c r="D234" s="22">
        <v>1</v>
      </c>
      <c r="E234" s="22">
        <v>1</v>
      </c>
      <c r="F234" s="22">
        <v>0</v>
      </c>
      <c r="G234" s="29"/>
      <c r="H234" s="29" t="s">
        <v>43</v>
      </c>
      <c r="I234" s="23" t="s">
        <v>263</v>
      </c>
      <c r="J234" s="25" t="s">
        <v>45</v>
      </c>
      <c r="K234" s="24" t="s">
        <v>46</v>
      </c>
      <c r="L234" s="121" t="s">
        <v>440</v>
      </c>
      <c r="M234" s="160" t="s">
        <v>440</v>
      </c>
    </row>
    <row r="235" spans="1:13" ht="24.9" x14ac:dyDescent="0.3">
      <c r="A235" s="28" t="s">
        <v>941</v>
      </c>
      <c r="B235" s="22" t="s">
        <v>441</v>
      </c>
      <c r="C235" s="91"/>
      <c r="D235" s="22">
        <v>1</v>
      </c>
      <c r="E235" s="22">
        <v>1</v>
      </c>
      <c r="F235" s="22">
        <v>0</v>
      </c>
      <c r="G235" s="29"/>
      <c r="H235" s="29" t="s">
        <v>43</v>
      </c>
      <c r="I235" s="23" t="s">
        <v>263</v>
      </c>
      <c r="J235" s="25" t="s">
        <v>45</v>
      </c>
      <c r="K235" s="24" t="s">
        <v>46</v>
      </c>
      <c r="L235" s="121" t="s">
        <v>442</v>
      </c>
      <c r="M235" s="160" t="s">
        <v>442</v>
      </c>
    </row>
    <row r="236" spans="1:13" ht="24.9" x14ac:dyDescent="0.3">
      <c r="A236" s="28" t="s">
        <v>942</v>
      </c>
      <c r="B236" s="22" t="s">
        <v>443</v>
      </c>
      <c r="C236" s="91"/>
      <c r="D236" s="22">
        <v>1</v>
      </c>
      <c r="E236" s="22">
        <v>1</v>
      </c>
      <c r="F236" s="22">
        <v>0</v>
      </c>
      <c r="G236" s="29"/>
      <c r="H236" s="29" t="s">
        <v>43</v>
      </c>
      <c r="I236" s="23" t="s">
        <v>263</v>
      </c>
      <c r="J236" s="25" t="s">
        <v>45</v>
      </c>
      <c r="K236" s="24" t="s">
        <v>46</v>
      </c>
      <c r="L236" s="121" t="s">
        <v>444</v>
      </c>
      <c r="M236" s="160" t="s">
        <v>444</v>
      </c>
    </row>
    <row r="237" spans="1:13" ht="24.9" x14ac:dyDescent="0.3">
      <c r="A237" s="28" t="s">
        <v>943</v>
      </c>
      <c r="B237" s="22" t="s">
        <v>445</v>
      </c>
      <c r="C237" s="91"/>
      <c r="D237" s="22">
        <v>1</v>
      </c>
      <c r="E237" s="22">
        <v>1</v>
      </c>
      <c r="F237" s="22">
        <v>0</v>
      </c>
      <c r="G237" s="29"/>
      <c r="H237" s="29" t="s">
        <v>43</v>
      </c>
      <c r="I237" s="23" t="s">
        <v>263</v>
      </c>
      <c r="J237" s="25" t="s">
        <v>45</v>
      </c>
      <c r="K237" s="24" t="s">
        <v>46</v>
      </c>
      <c r="L237" s="121" t="s">
        <v>446</v>
      </c>
      <c r="M237" s="160" t="s">
        <v>446</v>
      </c>
    </row>
    <row r="238" spans="1:13" ht="24.9" x14ac:dyDescent="0.3">
      <c r="A238" s="28" t="s">
        <v>944</v>
      </c>
      <c r="B238" s="22" t="s">
        <v>447</v>
      </c>
      <c r="C238" s="91"/>
      <c r="D238" s="22">
        <v>1</v>
      </c>
      <c r="E238" s="22">
        <v>1</v>
      </c>
      <c r="F238" s="22">
        <v>0</v>
      </c>
      <c r="G238" s="29"/>
      <c r="H238" s="29" t="s">
        <v>43</v>
      </c>
      <c r="I238" s="23" t="s">
        <v>263</v>
      </c>
      <c r="J238" s="25" t="s">
        <v>45</v>
      </c>
      <c r="K238" s="24" t="s">
        <v>46</v>
      </c>
      <c r="L238" s="121" t="s">
        <v>448</v>
      </c>
      <c r="M238" s="160" t="s">
        <v>448</v>
      </c>
    </row>
    <row r="239" spans="1:13" ht="24.9" x14ac:dyDescent="0.3">
      <c r="A239" s="28" t="s">
        <v>945</v>
      </c>
      <c r="B239" s="22" t="s">
        <v>449</v>
      </c>
      <c r="C239" s="91"/>
      <c r="D239" s="22">
        <v>1</v>
      </c>
      <c r="E239" s="22">
        <v>1</v>
      </c>
      <c r="F239" s="22">
        <v>0</v>
      </c>
      <c r="G239" s="29"/>
      <c r="H239" s="29" t="s">
        <v>43</v>
      </c>
      <c r="I239" s="23" t="s">
        <v>263</v>
      </c>
      <c r="J239" s="25" t="s">
        <v>45</v>
      </c>
      <c r="K239" s="24" t="s">
        <v>46</v>
      </c>
      <c r="L239" s="121" t="s">
        <v>450</v>
      </c>
      <c r="M239" s="160" t="s">
        <v>450</v>
      </c>
    </row>
    <row r="240" spans="1:13" ht="24.9" x14ac:dyDescent="0.3">
      <c r="A240" s="28" t="s">
        <v>946</v>
      </c>
      <c r="B240" s="22" t="s">
        <v>451</v>
      </c>
      <c r="C240" s="91"/>
      <c r="D240" s="22">
        <v>1</v>
      </c>
      <c r="E240" s="22">
        <v>1</v>
      </c>
      <c r="F240" s="22">
        <v>0</v>
      </c>
      <c r="G240" s="29"/>
      <c r="H240" s="29" t="s">
        <v>43</v>
      </c>
      <c r="I240" s="23" t="s">
        <v>263</v>
      </c>
      <c r="J240" s="25" t="s">
        <v>45</v>
      </c>
      <c r="K240" s="24" t="s">
        <v>46</v>
      </c>
      <c r="L240" s="121" t="s">
        <v>452</v>
      </c>
      <c r="M240" s="160" t="s">
        <v>452</v>
      </c>
    </row>
    <row r="241" spans="1:13" ht="24.9" x14ac:dyDescent="0.3">
      <c r="A241" s="28" t="s">
        <v>947</v>
      </c>
      <c r="B241" s="22" t="s">
        <v>453</v>
      </c>
      <c r="C241" s="91"/>
      <c r="D241" s="22">
        <v>1</v>
      </c>
      <c r="E241" s="22">
        <v>1</v>
      </c>
      <c r="F241" s="22">
        <v>0</v>
      </c>
      <c r="G241" s="29"/>
      <c r="H241" s="29" t="s">
        <v>43</v>
      </c>
      <c r="I241" s="23" t="s">
        <v>263</v>
      </c>
      <c r="J241" s="25" t="s">
        <v>45</v>
      </c>
      <c r="K241" s="24" t="s">
        <v>46</v>
      </c>
      <c r="L241" s="121" t="s">
        <v>454</v>
      </c>
      <c r="M241" s="160" t="s">
        <v>454</v>
      </c>
    </row>
    <row r="242" spans="1:13" ht="24.9" x14ac:dyDescent="0.3">
      <c r="A242" s="28" t="s">
        <v>948</v>
      </c>
      <c r="B242" s="22" t="s">
        <v>455</v>
      </c>
      <c r="C242" s="91"/>
      <c r="D242" s="22">
        <v>1</v>
      </c>
      <c r="E242" s="22">
        <v>1</v>
      </c>
      <c r="F242" s="22">
        <v>0</v>
      </c>
      <c r="G242" s="29"/>
      <c r="H242" s="29" t="s">
        <v>43</v>
      </c>
      <c r="I242" s="23" t="s">
        <v>263</v>
      </c>
      <c r="J242" s="25" t="s">
        <v>45</v>
      </c>
      <c r="K242" s="24" t="s">
        <v>46</v>
      </c>
      <c r="L242" s="121" t="s">
        <v>456</v>
      </c>
      <c r="M242" s="160" t="s">
        <v>456</v>
      </c>
    </row>
    <row r="243" spans="1:13" ht="24.9" x14ac:dyDescent="0.3">
      <c r="A243" s="28" t="s">
        <v>949</v>
      </c>
      <c r="B243" s="22" t="s">
        <v>457</v>
      </c>
      <c r="C243" s="91"/>
      <c r="D243" s="22">
        <v>1</v>
      </c>
      <c r="E243" s="22">
        <v>1</v>
      </c>
      <c r="F243" s="22">
        <v>0</v>
      </c>
      <c r="G243" s="29"/>
      <c r="H243" s="29" t="s">
        <v>43</v>
      </c>
      <c r="I243" s="23" t="s">
        <v>263</v>
      </c>
      <c r="J243" s="25" t="s">
        <v>45</v>
      </c>
      <c r="K243" s="24" t="s">
        <v>46</v>
      </c>
      <c r="L243" s="121" t="s">
        <v>458</v>
      </c>
      <c r="M243" s="160" t="s">
        <v>458</v>
      </c>
    </row>
    <row r="244" spans="1:13" ht="24.9" x14ac:dyDescent="0.3">
      <c r="A244" s="28" t="s">
        <v>950</v>
      </c>
      <c r="B244" s="22" t="s">
        <v>459</v>
      </c>
      <c r="C244" s="91"/>
      <c r="D244" s="22">
        <v>1</v>
      </c>
      <c r="E244" s="22">
        <v>1</v>
      </c>
      <c r="F244" s="22">
        <v>0</v>
      </c>
      <c r="G244" s="29"/>
      <c r="H244" s="29" t="s">
        <v>43</v>
      </c>
      <c r="I244" s="23" t="s">
        <v>263</v>
      </c>
      <c r="J244" s="25" t="s">
        <v>45</v>
      </c>
      <c r="K244" s="24" t="s">
        <v>46</v>
      </c>
      <c r="L244" s="121" t="s">
        <v>460</v>
      </c>
      <c r="M244" s="160" t="s">
        <v>460</v>
      </c>
    </row>
    <row r="245" spans="1:13" ht="24.9" x14ac:dyDescent="0.3">
      <c r="A245" s="28" t="s">
        <v>951</v>
      </c>
      <c r="B245" s="22" t="s">
        <v>461</v>
      </c>
      <c r="C245" s="91"/>
      <c r="D245" s="22">
        <v>1</v>
      </c>
      <c r="E245" s="22">
        <v>1</v>
      </c>
      <c r="F245" s="22">
        <v>0</v>
      </c>
      <c r="G245" s="29"/>
      <c r="H245" s="29" t="s">
        <v>43</v>
      </c>
      <c r="I245" s="23" t="s">
        <v>263</v>
      </c>
      <c r="J245" s="25" t="s">
        <v>45</v>
      </c>
      <c r="K245" s="24" t="s">
        <v>46</v>
      </c>
      <c r="L245" s="121" t="s">
        <v>462</v>
      </c>
      <c r="M245" s="160" t="s">
        <v>462</v>
      </c>
    </row>
    <row r="246" spans="1:13" ht="24.9" x14ac:dyDescent="0.3">
      <c r="A246" s="28" t="s">
        <v>952</v>
      </c>
      <c r="B246" s="22" t="s">
        <v>463</v>
      </c>
      <c r="C246" s="91"/>
      <c r="D246" s="22">
        <v>1</v>
      </c>
      <c r="E246" s="22">
        <v>1</v>
      </c>
      <c r="F246" s="22">
        <v>0</v>
      </c>
      <c r="G246" s="29"/>
      <c r="H246" s="29" t="s">
        <v>43</v>
      </c>
      <c r="I246" s="23" t="s">
        <v>263</v>
      </c>
      <c r="J246" s="25" t="s">
        <v>45</v>
      </c>
      <c r="K246" s="24" t="s">
        <v>46</v>
      </c>
      <c r="L246" s="121" t="s">
        <v>72</v>
      </c>
      <c r="M246" s="160" t="s">
        <v>72</v>
      </c>
    </row>
    <row r="247" spans="1:13" ht="24.9" x14ac:dyDescent="0.3">
      <c r="A247" s="28" t="s">
        <v>953</v>
      </c>
      <c r="B247" s="22" t="s">
        <v>464</v>
      </c>
      <c r="C247" s="91"/>
      <c r="D247" s="22">
        <v>1</v>
      </c>
      <c r="E247" s="22">
        <v>1</v>
      </c>
      <c r="F247" s="22">
        <v>0</v>
      </c>
      <c r="G247" s="29"/>
      <c r="H247" s="29" t="s">
        <v>43</v>
      </c>
      <c r="I247" s="23" t="s">
        <v>263</v>
      </c>
      <c r="J247" s="25" t="s">
        <v>45</v>
      </c>
      <c r="K247" s="24" t="s">
        <v>46</v>
      </c>
      <c r="L247" s="121" t="s">
        <v>74</v>
      </c>
      <c r="M247" s="160" t="s">
        <v>74</v>
      </c>
    </row>
    <row r="248" spans="1:13" ht="24.9" x14ac:dyDescent="0.3">
      <c r="A248" s="28" t="s">
        <v>954</v>
      </c>
      <c r="B248" s="22" t="s">
        <v>465</v>
      </c>
      <c r="C248" s="91"/>
      <c r="D248" s="22">
        <v>1</v>
      </c>
      <c r="E248" s="22">
        <v>1</v>
      </c>
      <c r="F248" s="22">
        <v>0</v>
      </c>
      <c r="G248" s="29"/>
      <c r="H248" s="29" t="s">
        <v>43</v>
      </c>
      <c r="I248" s="23" t="s">
        <v>263</v>
      </c>
      <c r="J248" s="25" t="s">
        <v>45</v>
      </c>
      <c r="K248" s="24" t="s">
        <v>46</v>
      </c>
      <c r="L248" s="121" t="s">
        <v>466</v>
      </c>
      <c r="M248" s="160" t="s">
        <v>466</v>
      </c>
    </row>
    <row r="249" spans="1:13" ht="24.9" x14ac:dyDescent="0.3">
      <c r="A249" s="28" t="s">
        <v>955</v>
      </c>
      <c r="B249" s="22" t="s">
        <v>467</v>
      </c>
      <c r="C249" s="91"/>
      <c r="D249" s="22">
        <v>1</v>
      </c>
      <c r="E249" s="22">
        <v>1</v>
      </c>
      <c r="F249" s="22">
        <v>0</v>
      </c>
      <c r="G249" s="29"/>
      <c r="H249" s="29" t="s">
        <v>43</v>
      </c>
      <c r="I249" s="23" t="s">
        <v>263</v>
      </c>
      <c r="J249" s="25" t="s">
        <v>45</v>
      </c>
      <c r="K249" s="24" t="s">
        <v>46</v>
      </c>
      <c r="L249" s="121" t="s">
        <v>468</v>
      </c>
      <c r="M249" s="160" t="s">
        <v>468</v>
      </c>
    </row>
    <row r="250" spans="1:13" ht="24.9" x14ac:dyDescent="0.3">
      <c r="A250" s="28" t="s">
        <v>956</v>
      </c>
      <c r="B250" s="22" t="s">
        <v>469</v>
      </c>
      <c r="C250" s="91"/>
      <c r="D250" s="22">
        <v>1</v>
      </c>
      <c r="E250" s="22">
        <v>1</v>
      </c>
      <c r="F250" s="22">
        <v>0</v>
      </c>
      <c r="G250" s="29"/>
      <c r="H250" s="29" t="s">
        <v>43</v>
      </c>
      <c r="I250" s="23" t="s">
        <v>263</v>
      </c>
      <c r="J250" s="25" t="s">
        <v>45</v>
      </c>
      <c r="K250" s="24" t="s">
        <v>46</v>
      </c>
      <c r="L250" s="121" t="s">
        <v>470</v>
      </c>
      <c r="M250" s="160" t="s">
        <v>470</v>
      </c>
    </row>
    <row r="251" spans="1:13" ht="24.9" x14ac:dyDescent="0.3">
      <c r="A251" s="28" t="s">
        <v>957</v>
      </c>
      <c r="B251" s="22" t="s">
        <v>471</v>
      </c>
      <c r="C251" s="91"/>
      <c r="D251" s="22">
        <v>1</v>
      </c>
      <c r="E251" s="22">
        <v>1</v>
      </c>
      <c r="F251" s="22">
        <v>0</v>
      </c>
      <c r="G251" s="29"/>
      <c r="H251" s="29" t="s">
        <v>43</v>
      </c>
      <c r="I251" s="23" t="s">
        <v>263</v>
      </c>
      <c r="J251" s="25" t="s">
        <v>45</v>
      </c>
      <c r="K251" s="24" t="s">
        <v>46</v>
      </c>
      <c r="L251" s="121" t="s">
        <v>472</v>
      </c>
      <c r="M251" s="160" t="s">
        <v>472</v>
      </c>
    </row>
    <row r="252" spans="1:13" ht="24.9" x14ac:dyDescent="0.3">
      <c r="A252" s="28" t="s">
        <v>958</v>
      </c>
      <c r="B252" s="22" t="s">
        <v>473</v>
      </c>
      <c r="C252" s="91"/>
      <c r="D252" s="22">
        <v>1</v>
      </c>
      <c r="E252" s="22">
        <v>1</v>
      </c>
      <c r="F252" s="22">
        <v>0</v>
      </c>
      <c r="G252" s="29"/>
      <c r="H252" s="29" t="s">
        <v>43</v>
      </c>
      <c r="I252" s="23" t="s">
        <v>263</v>
      </c>
      <c r="J252" s="25" t="s">
        <v>45</v>
      </c>
      <c r="K252" s="24" t="s">
        <v>46</v>
      </c>
      <c r="L252" s="121" t="s">
        <v>474</v>
      </c>
      <c r="M252" s="160" t="s">
        <v>474</v>
      </c>
    </row>
    <row r="253" spans="1:13" ht="24.9" x14ac:dyDescent="0.3">
      <c r="A253" s="28" t="s">
        <v>959</v>
      </c>
      <c r="B253" s="22" t="s">
        <v>475</v>
      </c>
      <c r="C253" s="91"/>
      <c r="D253" s="22">
        <v>1</v>
      </c>
      <c r="E253" s="22">
        <v>1</v>
      </c>
      <c r="F253" s="22">
        <v>0</v>
      </c>
      <c r="G253" s="29"/>
      <c r="H253" s="29" t="s">
        <v>43</v>
      </c>
      <c r="I253" s="23" t="s">
        <v>263</v>
      </c>
      <c r="J253" s="25" t="s">
        <v>45</v>
      </c>
      <c r="K253" s="24" t="s">
        <v>46</v>
      </c>
      <c r="L253" s="121" t="s">
        <v>476</v>
      </c>
      <c r="M253" s="160" t="s">
        <v>476</v>
      </c>
    </row>
    <row r="254" spans="1:13" ht="24.9" x14ac:dyDescent="0.3">
      <c r="A254" s="28" t="s">
        <v>960</v>
      </c>
      <c r="B254" s="22" t="s">
        <v>477</v>
      </c>
      <c r="C254" s="91"/>
      <c r="D254" s="22">
        <v>1</v>
      </c>
      <c r="E254" s="22">
        <v>1</v>
      </c>
      <c r="F254" s="22">
        <v>0</v>
      </c>
      <c r="G254" s="29"/>
      <c r="H254" s="29" t="s">
        <v>43</v>
      </c>
      <c r="I254" s="23" t="s">
        <v>263</v>
      </c>
      <c r="J254" s="25" t="s">
        <v>45</v>
      </c>
      <c r="K254" s="24" t="s">
        <v>46</v>
      </c>
      <c r="L254" s="121" t="s">
        <v>478</v>
      </c>
      <c r="M254" s="160" t="s">
        <v>478</v>
      </c>
    </row>
    <row r="255" spans="1:13" ht="24.9" x14ac:dyDescent="0.3">
      <c r="A255" s="28" t="s">
        <v>961</v>
      </c>
      <c r="B255" s="22" t="s">
        <v>479</v>
      </c>
      <c r="C255" s="91"/>
      <c r="D255" s="22">
        <v>1</v>
      </c>
      <c r="E255" s="22">
        <v>1</v>
      </c>
      <c r="F255" s="22">
        <v>0</v>
      </c>
      <c r="G255" s="29"/>
      <c r="H255" s="29" t="s">
        <v>43</v>
      </c>
      <c r="I255" s="23" t="s">
        <v>263</v>
      </c>
      <c r="J255" s="25" t="s">
        <v>45</v>
      </c>
      <c r="K255" s="24" t="s">
        <v>46</v>
      </c>
      <c r="L255" s="121" t="s">
        <v>480</v>
      </c>
      <c r="M255" s="160" t="s">
        <v>480</v>
      </c>
    </row>
    <row r="256" spans="1:13" ht="24.9" x14ac:dyDescent="0.3">
      <c r="A256" s="28" t="s">
        <v>962</v>
      </c>
      <c r="B256" s="22" t="s">
        <v>481</v>
      </c>
      <c r="C256" s="91"/>
      <c r="D256" s="22">
        <v>1</v>
      </c>
      <c r="E256" s="22">
        <v>1</v>
      </c>
      <c r="F256" s="22">
        <v>0</v>
      </c>
      <c r="G256" s="29"/>
      <c r="H256" s="29" t="s">
        <v>43</v>
      </c>
      <c r="I256" s="23" t="s">
        <v>263</v>
      </c>
      <c r="J256" s="25" t="s">
        <v>45</v>
      </c>
      <c r="K256" s="24" t="s">
        <v>46</v>
      </c>
      <c r="L256" s="121" t="s">
        <v>482</v>
      </c>
      <c r="M256" s="160" t="s">
        <v>482</v>
      </c>
    </row>
    <row r="257" spans="1:13" ht="24.9" x14ac:dyDescent="0.3">
      <c r="A257" s="28" t="s">
        <v>963</v>
      </c>
      <c r="B257" s="22" t="s">
        <v>483</v>
      </c>
      <c r="C257" s="91"/>
      <c r="D257" s="22">
        <v>1</v>
      </c>
      <c r="E257" s="22">
        <v>1</v>
      </c>
      <c r="F257" s="22">
        <v>0</v>
      </c>
      <c r="G257" s="29"/>
      <c r="H257" s="29" t="s">
        <v>43</v>
      </c>
      <c r="I257" s="23" t="s">
        <v>263</v>
      </c>
      <c r="J257" s="25" t="s">
        <v>45</v>
      </c>
      <c r="K257" s="24" t="s">
        <v>46</v>
      </c>
      <c r="L257" s="121" t="s">
        <v>484</v>
      </c>
      <c r="M257" s="160" t="s">
        <v>484</v>
      </c>
    </row>
    <row r="258" spans="1:13" ht="24.9" x14ac:dyDescent="0.3">
      <c r="A258" s="28" t="s">
        <v>964</v>
      </c>
      <c r="B258" s="22" t="s">
        <v>485</v>
      </c>
      <c r="C258" s="91"/>
      <c r="D258" s="22">
        <v>1</v>
      </c>
      <c r="E258" s="22">
        <v>1</v>
      </c>
      <c r="F258" s="22">
        <v>0</v>
      </c>
      <c r="G258" s="29"/>
      <c r="H258" s="29" t="s">
        <v>43</v>
      </c>
      <c r="I258" s="23" t="s">
        <v>263</v>
      </c>
      <c r="J258" s="25" t="s">
        <v>45</v>
      </c>
      <c r="K258" s="24" t="s">
        <v>46</v>
      </c>
      <c r="L258" s="121" t="s">
        <v>486</v>
      </c>
      <c r="M258" s="160" t="s">
        <v>486</v>
      </c>
    </row>
    <row r="259" spans="1:13" ht="24.9" x14ac:dyDescent="0.3">
      <c r="A259" s="28" t="s">
        <v>965</v>
      </c>
      <c r="B259" s="22" t="s">
        <v>487</v>
      </c>
      <c r="C259" s="91"/>
      <c r="D259" s="22">
        <v>1</v>
      </c>
      <c r="E259" s="22">
        <v>1</v>
      </c>
      <c r="F259" s="22">
        <v>0</v>
      </c>
      <c r="G259" s="29"/>
      <c r="H259" s="29" t="s">
        <v>43</v>
      </c>
      <c r="I259" s="23" t="s">
        <v>263</v>
      </c>
      <c r="J259" s="25" t="s">
        <v>45</v>
      </c>
      <c r="K259" s="24" t="s">
        <v>46</v>
      </c>
      <c r="L259" s="121" t="s">
        <v>488</v>
      </c>
      <c r="M259" s="160" t="s">
        <v>488</v>
      </c>
    </row>
    <row r="260" spans="1:13" ht="24.9" x14ac:dyDescent="0.3">
      <c r="A260" s="28" t="s">
        <v>966</v>
      </c>
      <c r="B260" s="22" t="s">
        <v>489</v>
      </c>
      <c r="C260" s="91"/>
      <c r="D260" s="22">
        <v>1</v>
      </c>
      <c r="E260" s="22">
        <v>1</v>
      </c>
      <c r="F260" s="22">
        <v>0</v>
      </c>
      <c r="G260" s="29"/>
      <c r="H260" s="29" t="s">
        <v>43</v>
      </c>
      <c r="I260" s="23" t="s">
        <v>263</v>
      </c>
      <c r="J260" s="25" t="s">
        <v>45</v>
      </c>
      <c r="K260" s="24" t="s">
        <v>46</v>
      </c>
      <c r="L260" s="121" t="s">
        <v>490</v>
      </c>
      <c r="M260" s="160" t="s">
        <v>490</v>
      </c>
    </row>
    <row r="261" spans="1:13" ht="24.9" x14ac:dyDescent="0.3">
      <c r="A261" s="28" t="s">
        <v>967</v>
      </c>
      <c r="B261" s="22" t="s">
        <v>491</v>
      </c>
      <c r="C261" s="91"/>
      <c r="D261" s="22">
        <v>1</v>
      </c>
      <c r="E261" s="22">
        <v>1</v>
      </c>
      <c r="F261" s="22">
        <v>0</v>
      </c>
      <c r="G261" s="29"/>
      <c r="H261" s="29" t="s">
        <v>43</v>
      </c>
      <c r="I261" s="23" t="s">
        <v>263</v>
      </c>
      <c r="J261" s="25" t="s">
        <v>45</v>
      </c>
      <c r="K261" s="24" t="s">
        <v>46</v>
      </c>
      <c r="L261" s="121" t="s">
        <v>492</v>
      </c>
      <c r="M261" s="160" t="s">
        <v>492</v>
      </c>
    </row>
    <row r="262" spans="1:13" ht="24.9" x14ac:dyDescent="0.3">
      <c r="A262" s="28" t="s">
        <v>968</v>
      </c>
      <c r="B262" s="22" t="s">
        <v>493</v>
      </c>
      <c r="C262" s="91"/>
      <c r="D262" s="22">
        <v>1</v>
      </c>
      <c r="E262" s="22">
        <v>1</v>
      </c>
      <c r="F262" s="22">
        <v>0</v>
      </c>
      <c r="G262" s="29"/>
      <c r="H262" s="29" t="s">
        <v>43</v>
      </c>
      <c r="I262" s="23" t="s">
        <v>263</v>
      </c>
      <c r="J262" s="25" t="s">
        <v>45</v>
      </c>
      <c r="K262" s="24" t="s">
        <v>46</v>
      </c>
      <c r="L262" s="121" t="s">
        <v>494</v>
      </c>
      <c r="M262" s="160" t="s">
        <v>494</v>
      </c>
    </row>
    <row r="263" spans="1:13" ht="24.9" x14ac:dyDescent="0.3">
      <c r="A263" s="28" t="s">
        <v>969</v>
      </c>
      <c r="B263" s="22" t="s">
        <v>495</v>
      </c>
      <c r="C263" s="91"/>
      <c r="D263" s="22">
        <v>1</v>
      </c>
      <c r="E263" s="22">
        <v>1</v>
      </c>
      <c r="F263" s="22">
        <v>0</v>
      </c>
      <c r="G263" s="29"/>
      <c r="H263" s="29" t="s">
        <v>43</v>
      </c>
      <c r="I263" s="23" t="s">
        <v>263</v>
      </c>
      <c r="J263" s="25" t="s">
        <v>45</v>
      </c>
      <c r="K263" s="24" t="s">
        <v>46</v>
      </c>
      <c r="L263" s="121" t="s">
        <v>496</v>
      </c>
      <c r="M263" s="160" t="s">
        <v>496</v>
      </c>
    </row>
    <row r="264" spans="1:13" ht="24.9" x14ac:dyDescent="0.3">
      <c r="A264" s="28" t="s">
        <v>970</v>
      </c>
      <c r="B264" s="22" t="s">
        <v>497</v>
      </c>
      <c r="C264" s="91"/>
      <c r="D264" s="22">
        <v>1</v>
      </c>
      <c r="E264" s="22">
        <v>1</v>
      </c>
      <c r="F264" s="22">
        <v>0</v>
      </c>
      <c r="G264" s="29"/>
      <c r="H264" s="29" t="s">
        <v>43</v>
      </c>
      <c r="I264" s="23" t="s">
        <v>263</v>
      </c>
      <c r="J264" s="25" t="s">
        <v>45</v>
      </c>
      <c r="K264" s="24" t="s">
        <v>46</v>
      </c>
      <c r="L264" s="121" t="s">
        <v>498</v>
      </c>
      <c r="M264" s="160" t="s">
        <v>498</v>
      </c>
    </row>
    <row r="265" spans="1:13" ht="24.9" x14ac:dyDescent="0.3">
      <c r="A265" s="28" t="s">
        <v>971</v>
      </c>
      <c r="B265" s="22" t="s">
        <v>499</v>
      </c>
      <c r="C265" s="91"/>
      <c r="D265" s="22">
        <v>1</v>
      </c>
      <c r="E265" s="22">
        <v>1</v>
      </c>
      <c r="F265" s="22">
        <v>0</v>
      </c>
      <c r="G265" s="29"/>
      <c r="H265" s="29" t="s">
        <v>43</v>
      </c>
      <c r="I265" s="23" t="s">
        <v>263</v>
      </c>
      <c r="J265" s="25" t="s">
        <v>45</v>
      </c>
      <c r="K265" s="24" t="s">
        <v>46</v>
      </c>
      <c r="L265" s="121"/>
      <c r="M265" s="160" t="s">
        <v>1107</v>
      </c>
    </row>
    <row r="266" spans="1:13" ht="24.9" x14ac:dyDescent="0.3">
      <c r="A266" s="28" t="s">
        <v>972</v>
      </c>
      <c r="B266" s="22" t="s">
        <v>500</v>
      </c>
      <c r="C266" s="91"/>
      <c r="D266" s="22">
        <v>1</v>
      </c>
      <c r="E266" s="22">
        <v>1</v>
      </c>
      <c r="F266" s="22">
        <v>0</v>
      </c>
      <c r="G266" s="29"/>
      <c r="H266" s="29" t="s">
        <v>43</v>
      </c>
      <c r="I266" s="23" t="s">
        <v>263</v>
      </c>
      <c r="J266" s="25" t="s">
        <v>45</v>
      </c>
      <c r="K266" s="24" t="s">
        <v>46</v>
      </c>
      <c r="L266" s="121"/>
      <c r="M266" s="160" t="s">
        <v>1108</v>
      </c>
    </row>
    <row r="267" spans="1:13" ht="24.9" x14ac:dyDescent="0.3">
      <c r="A267" s="130" t="s">
        <v>1142</v>
      </c>
      <c r="B267" s="91" t="s">
        <v>501</v>
      </c>
      <c r="C267" s="91"/>
      <c r="D267" s="91">
        <v>1</v>
      </c>
      <c r="E267" s="91">
        <v>1</v>
      </c>
      <c r="F267" s="91">
        <v>0</v>
      </c>
      <c r="G267" s="126"/>
      <c r="H267" s="126" t="s">
        <v>43</v>
      </c>
      <c r="I267" s="127" t="s">
        <v>263</v>
      </c>
      <c r="J267" s="128" t="s">
        <v>45</v>
      </c>
      <c r="K267" s="129" t="s">
        <v>46</v>
      </c>
      <c r="L267" s="121"/>
      <c r="M267" s="160" t="s">
        <v>1109</v>
      </c>
    </row>
    <row r="268" spans="1:13" ht="24.9" x14ac:dyDescent="0.3">
      <c r="A268" s="7" t="s">
        <v>973</v>
      </c>
      <c r="B268" s="22" t="s">
        <v>502</v>
      </c>
      <c r="C268" s="91"/>
      <c r="D268" s="22">
        <v>1</v>
      </c>
      <c r="E268" s="22">
        <v>1</v>
      </c>
      <c r="F268" s="22">
        <v>0</v>
      </c>
      <c r="G268" s="29"/>
      <c r="H268" s="29" t="s">
        <v>43</v>
      </c>
      <c r="I268" s="23" t="s">
        <v>263</v>
      </c>
      <c r="J268" s="25" t="s">
        <v>45</v>
      </c>
      <c r="K268" s="24" t="s">
        <v>46</v>
      </c>
      <c r="L268" s="121"/>
      <c r="M268" s="160" t="s">
        <v>1110</v>
      </c>
    </row>
    <row r="269" spans="1:13" ht="24.9" x14ac:dyDescent="0.3">
      <c r="A269" s="7" t="s">
        <v>974</v>
      </c>
      <c r="B269" s="22" t="s">
        <v>503</v>
      </c>
      <c r="C269" s="91"/>
      <c r="D269" s="22">
        <v>1</v>
      </c>
      <c r="E269" s="22">
        <v>1</v>
      </c>
      <c r="F269" s="22">
        <v>0</v>
      </c>
      <c r="G269" s="29"/>
      <c r="H269" s="29" t="s">
        <v>43</v>
      </c>
      <c r="I269" s="23" t="s">
        <v>263</v>
      </c>
      <c r="J269" s="25" t="s">
        <v>45</v>
      </c>
      <c r="K269" s="24" t="s">
        <v>46</v>
      </c>
      <c r="L269" s="121"/>
      <c r="M269" s="160" t="s">
        <v>1111</v>
      </c>
    </row>
    <row r="270" spans="1:13" ht="24.9" x14ac:dyDescent="0.3">
      <c r="A270" s="28" t="s">
        <v>975</v>
      </c>
      <c r="B270" s="22" t="s">
        <v>504</v>
      </c>
      <c r="C270" s="91"/>
      <c r="D270" s="22">
        <v>1</v>
      </c>
      <c r="E270" s="22">
        <v>1</v>
      </c>
      <c r="F270" s="22">
        <v>0</v>
      </c>
      <c r="G270" s="29"/>
      <c r="H270" s="29" t="s">
        <v>43</v>
      </c>
      <c r="I270" s="23" t="s">
        <v>263</v>
      </c>
      <c r="J270" s="25" t="s">
        <v>45</v>
      </c>
      <c r="K270" s="24" t="s">
        <v>46</v>
      </c>
      <c r="L270" s="121"/>
      <c r="M270" s="160" t="s">
        <v>1112</v>
      </c>
    </row>
    <row r="271" spans="1:13" ht="24.9" x14ac:dyDescent="0.3">
      <c r="A271" s="28" t="s">
        <v>976</v>
      </c>
      <c r="B271" s="22" t="s">
        <v>505</v>
      </c>
      <c r="C271" s="91"/>
      <c r="D271" s="22">
        <v>1</v>
      </c>
      <c r="E271" s="22">
        <v>1</v>
      </c>
      <c r="F271" s="22">
        <v>0</v>
      </c>
      <c r="G271" s="29"/>
      <c r="H271" s="29" t="s">
        <v>43</v>
      </c>
      <c r="I271" s="23" t="s">
        <v>263</v>
      </c>
      <c r="J271" s="25" t="s">
        <v>45</v>
      </c>
      <c r="K271" s="24" t="s">
        <v>46</v>
      </c>
      <c r="L271" s="121"/>
      <c r="M271" s="160" t="s">
        <v>1113</v>
      </c>
    </row>
    <row r="272" spans="1:13" ht="24.9" x14ac:dyDescent="0.3">
      <c r="A272" s="28" t="s">
        <v>977</v>
      </c>
      <c r="B272" s="22" t="s">
        <v>506</v>
      </c>
      <c r="C272" s="91"/>
      <c r="D272" s="22">
        <v>1</v>
      </c>
      <c r="E272" s="22">
        <v>1</v>
      </c>
      <c r="F272" s="22">
        <v>0</v>
      </c>
      <c r="G272" s="29"/>
      <c r="H272" s="29" t="s">
        <v>43</v>
      </c>
      <c r="I272" s="23" t="s">
        <v>263</v>
      </c>
      <c r="J272" s="25" t="s">
        <v>45</v>
      </c>
      <c r="K272" s="24" t="s">
        <v>46</v>
      </c>
      <c r="L272" s="121"/>
      <c r="M272" s="160"/>
    </row>
    <row r="273" spans="1:13" ht="24.9" x14ac:dyDescent="0.3">
      <c r="A273" s="28" t="s">
        <v>978</v>
      </c>
      <c r="B273" s="22" t="s">
        <v>507</v>
      </c>
      <c r="C273" s="91"/>
      <c r="D273" s="22">
        <v>1</v>
      </c>
      <c r="E273" s="22">
        <v>1</v>
      </c>
      <c r="F273" s="22">
        <v>0</v>
      </c>
      <c r="G273" s="29"/>
      <c r="H273" s="29" t="s">
        <v>43</v>
      </c>
      <c r="I273" s="23" t="s">
        <v>263</v>
      </c>
      <c r="J273" s="25" t="s">
        <v>45</v>
      </c>
      <c r="K273" s="24" t="s">
        <v>46</v>
      </c>
      <c r="L273" s="121"/>
      <c r="M273" s="160"/>
    </row>
    <row r="274" spans="1:13" ht="24.9" x14ac:dyDescent="0.3">
      <c r="A274" s="28" t="s">
        <v>979</v>
      </c>
      <c r="B274" s="22" t="s">
        <v>508</v>
      </c>
      <c r="C274" s="91"/>
      <c r="D274" s="22">
        <v>1</v>
      </c>
      <c r="E274" s="22">
        <v>1</v>
      </c>
      <c r="F274" s="22">
        <v>0</v>
      </c>
      <c r="G274" s="29"/>
      <c r="H274" s="29" t="s">
        <v>43</v>
      </c>
      <c r="I274" s="23" t="s">
        <v>263</v>
      </c>
      <c r="J274" s="25" t="s">
        <v>45</v>
      </c>
      <c r="K274" s="24" t="s">
        <v>46</v>
      </c>
      <c r="L274" s="121"/>
      <c r="M274" s="160"/>
    </row>
    <row r="275" spans="1:13" ht="24.9" x14ac:dyDescent="0.3">
      <c r="A275" s="28" t="s">
        <v>980</v>
      </c>
      <c r="B275" s="22" t="s">
        <v>509</v>
      </c>
      <c r="C275" s="91"/>
      <c r="D275" s="22">
        <v>1</v>
      </c>
      <c r="E275" s="22">
        <v>1</v>
      </c>
      <c r="F275" s="22">
        <v>0</v>
      </c>
      <c r="G275" s="29"/>
      <c r="H275" s="29" t="s">
        <v>43</v>
      </c>
      <c r="I275" s="23" t="s">
        <v>263</v>
      </c>
      <c r="J275" s="25" t="s">
        <v>45</v>
      </c>
      <c r="K275" s="24" t="s">
        <v>46</v>
      </c>
      <c r="L275" s="121"/>
      <c r="M275" s="160"/>
    </row>
    <row r="276" spans="1:13" ht="24.9" x14ac:dyDescent="0.3">
      <c r="A276" s="7" t="s">
        <v>981</v>
      </c>
      <c r="B276" s="22" t="s">
        <v>510</v>
      </c>
      <c r="C276" s="91"/>
      <c r="D276" s="22">
        <v>1</v>
      </c>
      <c r="E276" s="22">
        <v>1</v>
      </c>
      <c r="F276" s="22">
        <v>0</v>
      </c>
      <c r="G276" s="29"/>
      <c r="H276" s="29" t="s">
        <v>43</v>
      </c>
      <c r="I276" s="23" t="s">
        <v>263</v>
      </c>
      <c r="J276" s="25" t="s">
        <v>45</v>
      </c>
      <c r="K276" s="24" t="s">
        <v>46</v>
      </c>
      <c r="L276" s="121"/>
      <c r="M276" s="160" t="s">
        <v>1114</v>
      </c>
    </row>
    <row r="277" spans="1:13" ht="24.9" x14ac:dyDescent="0.3">
      <c r="A277" s="7" t="s">
        <v>982</v>
      </c>
      <c r="B277" s="22" t="s">
        <v>511</v>
      </c>
      <c r="C277" s="91"/>
      <c r="D277" s="22">
        <v>1</v>
      </c>
      <c r="E277" s="22">
        <v>1</v>
      </c>
      <c r="F277" s="22">
        <v>0</v>
      </c>
      <c r="G277" s="29"/>
      <c r="H277" s="29" t="s">
        <v>43</v>
      </c>
      <c r="I277" s="23" t="s">
        <v>263</v>
      </c>
      <c r="J277" s="25" t="s">
        <v>45</v>
      </c>
      <c r="K277" s="24" t="s">
        <v>46</v>
      </c>
      <c r="L277" s="121"/>
      <c r="M277" s="160" t="s">
        <v>1115</v>
      </c>
    </row>
    <row r="278" spans="1:13" ht="24.9" x14ac:dyDescent="0.3">
      <c r="A278" s="7" t="s">
        <v>983</v>
      </c>
      <c r="B278" s="22" t="s">
        <v>512</v>
      </c>
      <c r="C278" s="91"/>
      <c r="D278" s="22">
        <v>1</v>
      </c>
      <c r="E278" s="22">
        <v>1</v>
      </c>
      <c r="F278" s="22">
        <v>0</v>
      </c>
      <c r="G278" s="29"/>
      <c r="H278" s="29" t="s">
        <v>43</v>
      </c>
      <c r="I278" s="23" t="s">
        <v>263</v>
      </c>
      <c r="J278" s="25" t="s">
        <v>45</v>
      </c>
      <c r="K278" s="24" t="s">
        <v>46</v>
      </c>
      <c r="L278" s="121"/>
      <c r="M278" s="160" t="s">
        <v>1116</v>
      </c>
    </row>
    <row r="279" spans="1:13" ht="24.9" x14ac:dyDescent="0.3">
      <c r="A279" s="7" t="s">
        <v>984</v>
      </c>
      <c r="B279" s="22" t="s">
        <v>513</v>
      </c>
      <c r="C279" s="91"/>
      <c r="D279" s="22">
        <v>1</v>
      </c>
      <c r="E279" s="22">
        <v>1</v>
      </c>
      <c r="F279" s="22">
        <v>0</v>
      </c>
      <c r="G279" s="29"/>
      <c r="H279" s="29" t="s">
        <v>43</v>
      </c>
      <c r="I279" s="23" t="s">
        <v>263</v>
      </c>
      <c r="J279" s="25" t="s">
        <v>45</v>
      </c>
      <c r="K279" s="24" t="s">
        <v>46</v>
      </c>
      <c r="L279" s="121"/>
      <c r="M279" s="160" t="s">
        <v>1117</v>
      </c>
    </row>
    <row r="280" spans="1:13" ht="24.9" x14ac:dyDescent="0.3">
      <c r="A280" s="28" t="s">
        <v>985</v>
      </c>
      <c r="B280" s="22" t="s">
        <v>514</v>
      </c>
      <c r="C280" s="91"/>
      <c r="D280" s="22">
        <v>1</v>
      </c>
      <c r="E280" s="22">
        <v>1</v>
      </c>
      <c r="F280" s="22">
        <v>0</v>
      </c>
      <c r="G280" s="29"/>
      <c r="H280" s="29" t="s">
        <v>43</v>
      </c>
      <c r="I280" s="23" t="s">
        <v>263</v>
      </c>
      <c r="J280" s="25" t="s">
        <v>45</v>
      </c>
      <c r="K280" s="24" t="s">
        <v>46</v>
      </c>
      <c r="L280" s="121"/>
      <c r="M280" s="160" t="s">
        <v>1118</v>
      </c>
    </row>
    <row r="281" spans="1:13" ht="24.9" x14ac:dyDescent="0.3">
      <c r="A281" s="94" t="s">
        <v>986</v>
      </c>
      <c r="B281" s="22" t="s">
        <v>515</v>
      </c>
      <c r="C281" s="91"/>
      <c r="D281" s="22">
        <v>1</v>
      </c>
      <c r="E281" s="22">
        <v>1</v>
      </c>
      <c r="F281" s="22">
        <v>0</v>
      </c>
      <c r="G281" s="29"/>
      <c r="H281" s="29" t="s">
        <v>43</v>
      </c>
      <c r="I281" s="23" t="s">
        <v>263</v>
      </c>
      <c r="J281" s="25" t="s">
        <v>45</v>
      </c>
      <c r="K281" s="24" t="s">
        <v>46</v>
      </c>
      <c r="L281" s="121"/>
      <c r="M281" s="160" t="s">
        <v>1119</v>
      </c>
    </row>
    <row r="282" spans="1:13" ht="24.9" x14ac:dyDescent="0.3">
      <c r="A282" s="94" t="s">
        <v>987</v>
      </c>
      <c r="B282" s="22" t="s">
        <v>516</v>
      </c>
      <c r="C282" s="91"/>
      <c r="D282" s="22">
        <v>1</v>
      </c>
      <c r="E282" s="22">
        <v>1</v>
      </c>
      <c r="F282" s="22">
        <v>0</v>
      </c>
      <c r="G282" s="29"/>
      <c r="H282" s="29" t="s">
        <v>43</v>
      </c>
      <c r="I282" s="23" t="s">
        <v>263</v>
      </c>
      <c r="J282" s="25" t="s">
        <v>45</v>
      </c>
      <c r="K282" s="24" t="s">
        <v>46</v>
      </c>
      <c r="L282" s="121"/>
      <c r="M282" s="160" t="s">
        <v>1120</v>
      </c>
    </row>
    <row r="283" spans="1:13" ht="24.9" x14ac:dyDescent="0.3">
      <c r="A283" s="94" t="s">
        <v>988</v>
      </c>
      <c r="B283" s="22" t="s">
        <v>517</v>
      </c>
      <c r="C283" s="91"/>
      <c r="D283" s="22">
        <v>1</v>
      </c>
      <c r="E283" s="22">
        <v>1</v>
      </c>
      <c r="F283" s="22">
        <v>0</v>
      </c>
      <c r="G283" s="29"/>
      <c r="H283" s="29" t="s">
        <v>43</v>
      </c>
      <c r="I283" s="23" t="s">
        <v>263</v>
      </c>
      <c r="J283" s="25" t="s">
        <v>45</v>
      </c>
      <c r="K283" s="24" t="s">
        <v>46</v>
      </c>
      <c r="L283" s="121"/>
      <c r="M283" s="160" t="s">
        <v>1121</v>
      </c>
    </row>
    <row r="284" spans="1:13" ht="24.9" x14ac:dyDescent="0.3">
      <c r="A284" s="94" t="s">
        <v>989</v>
      </c>
      <c r="B284" s="22" t="s">
        <v>750</v>
      </c>
      <c r="C284" s="91"/>
      <c r="D284" s="22">
        <v>1</v>
      </c>
      <c r="E284" s="22">
        <v>1</v>
      </c>
      <c r="F284" s="22">
        <v>0</v>
      </c>
      <c r="G284" s="29"/>
      <c r="H284" s="29" t="s">
        <v>43</v>
      </c>
      <c r="I284" s="23" t="s">
        <v>263</v>
      </c>
      <c r="J284" s="25" t="s">
        <v>45</v>
      </c>
      <c r="K284" s="24" t="s">
        <v>46</v>
      </c>
      <c r="L284" s="121"/>
      <c r="M284" s="160" t="s">
        <v>1122</v>
      </c>
    </row>
    <row r="285" spans="1:13" ht="24.9" x14ac:dyDescent="0.3">
      <c r="A285" s="94" t="s">
        <v>990</v>
      </c>
      <c r="B285" s="22" t="s">
        <v>751</v>
      </c>
      <c r="C285" s="91"/>
      <c r="D285" s="22">
        <v>1</v>
      </c>
      <c r="E285" s="22">
        <v>1</v>
      </c>
      <c r="F285" s="22">
        <v>0</v>
      </c>
      <c r="G285" s="29"/>
      <c r="H285" s="29" t="s">
        <v>43</v>
      </c>
      <c r="I285" s="23" t="s">
        <v>263</v>
      </c>
      <c r="J285" s="25" t="s">
        <v>45</v>
      </c>
      <c r="K285" s="24" t="s">
        <v>46</v>
      </c>
      <c r="L285" s="121"/>
      <c r="M285" s="160" t="s">
        <v>1123</v>
      </c>
    </row>
    <row r="286" spans="1:13" ht="24.9" x14ac:dyDescent="0.3">
      <c r="A286" s="125" t="s">
        <v>1130</v>
      </c>
      <c r="B286" s="91" t="s">
        <v>1131</v>
      </c>
      <c r="C286" s="91"/>
      <c r="D286" s="91">
        <v>1</v>
      </c>
      <c r="E286" s="91">
        <v>1</v>
      </c>
      <c r="F286" s="91">
        <v>0</v>
      </c>
      <c r="G286" s="126"/>
      <c r="H286" s="126" t="s">
        <v>43</v>
      </c>
      <c r="I286" s="127" t="s">
        <v>263</v>
      </c>
      <c r="J286" s="128" t="s">
        <v>45</v>
      </c>
      <c r="K286" s="129" t="s">
        <v>46</v>
      </c>
      <c r="L286" s="157"/>
      <c r="M286" s="124" t="s">
        <v>1124</v>
      </c>
    </row>
    <row r="287" spans="1:13" ht="24.9" x14ac:dyDescent="0.3">
      <c r="A287" s="125" t="s">
        <v>1132</v>
      </c>
      <c r="B287" s="91" t="s">
        <v>1133</v>
      </c>
      <c r="C287" s="91"/>
      <c r="D287" s="91">
        <v>1</v>
      </c>
      <c r="E287" s="91">
        <v>1</v>
      </c>
      <c r="F287" s="91">
        <v>0</v>
      </c>
      <c r="G287" s="126"/>
      <c r="H287" s="126" t="s">
        <v>43</v>
      </c>
      <c r="I287" s="127" t="s">
        <v>263</v>
      </c>
      <c r="J287" s="128" t="s">
        <v>45</v>
      </c>
      <c r="K287" s="129" t="s">
        <v>46</v>
      </c>
      <c r="L287" s="157"/>
      <c r="M287" s="124" t="s">
        <v>1125</v>
      </c>
    </row>
    <row r="288" spans="1:13" ht="24.9" x14ac:dyDescent="0.3">
      <c r="A288" s="125" t="s">
        <v>1134</v>
      </c>
      <c r="B288" s="91" t="s">
        <v>1135</v>
      </c>
      <c r="C288" s="91"/>
      <c r="D288" s="91">
        <v>1</v>
      </c>
      <c r="E288" s="91">
        <v>1</v>
      </c>
      <c r="F288" s="91">
        <v>0</v>
      </c>
      <c r="G288" s="126"/>
      <c r="H288" s="126" t="s">
        <v>43</v>
      </c>
      <c r="I288" s="127" t="s">
        <v>263</v>
      </c>
      <c r="J288" s="128" t="s">
        <v>45</v>
      </c>
      <c r="K288" s="129" t="s">
        <v>46</v>
      </c>
      <c r="L288" s="157"/>
      <c r="M288" s="124" t="s">
        <v>1126</v>
      </c>
    </row>
    <row r="289" spans="1:13" ht="24.9" x14ac:dyDescent="0.3">
      <c r="A289" s="125" t="s">
        <v>1136</v>
      </c>
      <c r="B289" s="91" t="s">
        <v>1137</v>
      </c>
      <c r="C289" s="91"/>
      <c r="D289" s="91">
        <v>1</v>
      </c>
      <c r="E289" s="91">
        <v>1</v>
      </c>
      <c r="F289" s="91">
        <v>0</v>
      </c>
      <c r="G289" s="126"/>
      <c r="H289" s="126" t="s">
        <v>43</v>
      </c>
      <c r="I289" s="127" t="s">
        <v>263</v>
      </c>
      <c r="J289" s="128" t="s">
        <v>45</v>
      </c>
      <c r="K289" s="129" t="s">
        <v>46</v>
      </c>
      <c r="L289" s="157"/>
      <c r="M289" s="124" t="s">
        <v>1127</v>
      </c>
    </row>
    <row r="290" spans="1:13" ht="24.9" x14ac:dyDescent="0.3">
      <c r="A290" s="125" t="s">
        <v>1138</v>
      </c>
      <c r="B290" s="91" t="s">
        <v>1139</v>
      </c>
      <c r="C290" s="91"/>
      <c r="D290" s="91">
        <v>1</v>
      </c>
      <c r="E290" s="91">
        <v>1</v>
      </c>
      <c r="F290" s="91">
        <v>0</v>
      </c>
      <c r="G290" s="126"/>
      <c r="H290" s="126" t="s">
        <v>43</v>
      </c>
      <c r="I290" s="127" t="s">
        <v>263</v>
      </c>
      <c r="J290" s="128" t="s">
        <v>45</v>
      </c>
      <c r="K290" s="129" t="s">
        <v>46</v>
      </c>
      <c r="L290" s="157"/>
      <c r="M290" s="124" t="s">
        <v>1128</v>
      </c>
    </row>
    <row r="291" spans="1:13" ht="24.9" x14ac:dyDescent="0.3">
      <c r="A291" s="125" t="s">
        <v>1140</v>
      </c>
      <c r="B291" s="91" t="s">
        <v>1141</v>
      </c>
      <c r="C291" s="91"/>
      <c r="D291" s="91">
        <v>1</v>
      </c>
      <c r="E291" s="91">
        <v>1</v>
      </c>
      <c r="F291" s="91">
        <v>0</v>
      </c>
      <c r="G291" s="126"/>
      <c r="H291" s="126" t="s">
        <v>43</v>
      </c>
      <c r="I291" s="127" t="s">
        <v>263</v>
      </c>
      <c r="J291" s="128" t="s">
        <v>45</v>
      </c>
      <c r="K291" s="129" t="s">
        <v>46</v>
      </c>
      <c r="L291" s="157"/>
      <c r="M291" s="124" t="s">
        <v>1129</v>
      </c>
    </row>
    <row r="292" spans="1:13" x14ac:dyDescent="0.3">
      <c r="A292" s="28"/>
      <c r="B292" s="22"/>
      <c r="C292" s="91"/>
      <c r="D292" s="22"/>
      <c r="E292" s="22"/>
      <c r="F292" s="22"/>
      <c r="G292" s="29"/>
      <c r="H292" s="29"/>
      <c r="I292" s="18"/>
      <c r="J292" s="18"/>
      <c r="K292" s="3"/>
      <c r="L292" s="121"/>
      <c r="M292" s="160"/>
    </row>
    <row r="293" spans="1:13" x14ac:dyDescent="0.3">
      <c r="A293" s="28"/>
      <c r="B293" s="22"/>
      <c r="C293" s="91"/>
      <c r="D293" s="22"/>
      <c r="E293" s="22"/>
      <c r="F293" s="22"/>
      <c r="G293" s="29"/>
      <c r="H293" s="29"/>
      <c r="I293" s="18"/>
      <c r="J293" s="18"/>
      <c r="K293" s="3"/>
      <c r="L293" s="121"/>
      <c r="M293" s="160"/>
    </row>
    <row r="294" spans="1:13" x14ac:dyDescent="0.3">
      <c r="A294" s="28"/>
      <c r="B294" s="22"/>
      <c r="C294" s="91"/>
      <c r="D294" s="22"/>
      <c r="E294" s="22"/>
      <c r="F294" s="22"/>
      <c r="G294" s="29"/>
      <c r="H294" s="29"/>
      <c r="I294" s="18"/>
      <c r="J294" s="18"/>
      <c r="K294" s="3"/>
      <c r="L294" s="121"/>
      <c r="M294" s="160"/>
    </row>
    <row r="295" spans="1:13" x14ac:dyDescent="0.3">
      <c r="A295" s="28"/>
      <c r="B295" s="22"/>
      <c r="C295" s="91"/>
      <c r="D295" s="22"/>
      <c r="E295" s="22"/>
      <c r="F295" s="22"/>
      <c r="G295" s="29"/>
      <c r="H295" s="29"/>
      <c r="I295" s="18"/>
      <c r="J295" s="18"/>
      <c r="K295" s="3"/>
      <c r="L295" s="121"/>
      <c r="M295" s="160"/>
    </row>
    <row r="296" spans="1:13" x14ac:dyDescent="0.3">
      <c r="A296" s="28"/>
      <c r="B296" s="22"/>
      <c r="C296" s="91"/>
      <c r="D296" s="22"/>
      <c r="E296" s="22"/>
      <c r="F296" s="22"/>
      <c r="G296" s="29"/>
      <c r="H296" s="29"/>
      <c r="I296" s="18"/>
      <c r="J296" s="18"/>
      <c r="K296" s="3"/>
      <c r="L296" s="121"/>
      <c r="M296" s="160"/>
    </row>
    <row r="297" spans="1:13" x14ac:dyDescent="0.3">
      <c r="A297" s="28"/>
      <c r="B297" s="22"/>
      <c r="C297" s="91"/>
      <c r="D297" s="22"/>
      <c r="E297" s="22"/>
      <c r="F297" s="22"/>
      <c r="G297" s="29"/>
      <c r="H297" s="29"/>
      <c r="I297" s="18"/>
      <c r="J297" s="18"/>
      <c r="K297" s="3"/>
      <c r="L297" s="121"/>
      <c r="M297" s="160"/>
    </row>
    <row r="298" spans="1:13" x14ac:dyDescent="0.3">
      <c r="A298" s="28"/>
      <c r="B298" s="22"/>
      <c r="C298" s="91"/>
      <c r="D298" s="22"/>
      <c r="E298" s="22"/>
      <c r="F298" s="22"/>
      <c r="G298" s="29"/>
      <c r="H298" s="29"/>
      <c r="I298" s="18"/>
      <c r="J298" s="18"/>
      <c r="K298" s="3"/>
      <c r="L298" s="121"/>
      <c r="M298" s="160"/>
    </row>
    <row r="299" spans="1:13" x14ac:dyDescent="0.3">
      <c r="A299" s="28"/>
      <c r="B299" s="22"/>
      <c r="C299" s="91"/>
      <c r="D299" s="22"/>
      <c r="E299" s="22"/>
      <c r="F299" s="22"/>
      <c r="G299" s="29"/>
      <c r="H299" s="29"/>
      <c r="I299" s="18"/>
      <c r="J299" s="18"/>
      <c r="K299" s="3"/>
      <c r="L299" s="121"/>
      <c r="M299" s="160"/>
    </row>
    <row r="300" spans="1:13" x14ac:dyDescent="0.3">
      <c r="A300" s="28"/>
      <c r="B300" s="22"/>
      <c r="C300" s="91"/>
      <c r="D300" s="22"/>
      <c r="E300" s="22"/>
      <c r="F300" s="22"/>
      <c r="G300" s="29"/>
      <c r="H300" s="29"/>
      <c r="I300" s="18"/>
      <c r="J300" s="18"/>
      <c r="K300" s="3"/>
      <c r="L300" s="121"/>
      <c r="M300" s="160"/>
    </row>
    <row r="301" spans="1:13" x14ac:dyDescent="0.3">
      <c r="A301" s="28"/>
      <c r="B301" s="22"/>
      <c r="C301" s="91"/>
      <c r="D301" s="22"/>
      <c r="E301" s="22"/>
      <c r="F301" s="22"/>
      <c r="G301" s="29"/>
      <c r="H301" s="29"/>
      <c r="I301" s="18"/>
      <c r="J301" s="18"/>
      <c r="K301" s="3"/>
      <c r="L301" s="121"/>
      <c r="M301" s="160"/>
    </row>
    <row r="302" spans="1:13" x14ac:dyDescent="0.3">
      <c r="A302" s="28"/>
      <c r="B302" s="22"/>
      <c r="C302" s="91"/>
      <c r="D302" s="22"/>
      <c r="E302" s="22"/>
      <c r="F302" s="22"/>
      <c r="G302" s="29"/>
      <c r="H302" s="29"/>
      <c r="I302" s="18"/>
      <c r="J302" s="18"/>
      <c r="K302" s="3"/>
      <c r="L302" s="121"/>
      <c r="M302" s="160"/>
    </row>
    <row r="303" spans="1:13" x14ac:dyDescent="0.3">
      <c r="A303" s="28"/>
      <c r="B303" s="22"/>
      <c r="C303" s="91"/>
      <c r="D303" s="22"/>
      <c r="E303" s="22"/>
      <c r="F303" s="22"/>
      <c r="G303" s="29"/>
      <c r="H303" s="29"/>
      <c r="I303" s="18"/>
      <c r="J303" s="18"/>
      <c r="K303" s="3"/>
      <c r="L303" s="121"/>
      <c r="M303" s="160"/>
    </row>
    <row r="304" spans="1:13" x14ac:dyDescent="0.3">
      <c r="A304" s="28"/>
      <c r="B304" s="22"/>
      <c r="C304" s="91"/>
      <c r="D304" s="22"/>
      <c r="E304" s="22"/>
      <c r="F304" s="22"/>
      <c r="G304" s="29"/>
      <c r="H304" s="29"/>
      <c r="I304" s="18"/>
      <c r="J304" s="18"/>
      <c r="K304" s="3"/>
      <c r="L304" s="121"/>
      <c r="M304" s="160"/>
    </row>
  </sheetData>
  <phoneticPr fontId="6" type="noConversion"/>
  <pageMargins left="0.7" right="0.7" top="0.75" bottom="0.75" header="0.3" footer="0.3"/>
  <pageSetup paperSize="9" orientation="portrait" r:id="rId1"/>
  <picture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G198"/>
  <sheetViews>
    <sheetView workbookViewId="0">
      <pane ySplit="1" topLeftCell="A2" activePane="bottomLeft" state="frozen"/>
      <selection pane="bottomLeft" activeCell="B8" sqref="B8"/>
    </sheetView>
  </sheetViews>
  <sheetFormatPr defaultColWidth="24.75" defaultRowHeight="12.45" x14ac:dyDescent="0.3"/>
  <cols>
    <col min="1" max="1" width="54.1640625" customWidth="1"/>
    <col min="2" max="2" width="22.1640625" bestFit="1" customWidth="1"/>
    <col min="3" max="3" width="9.6640625" bestFit="1" customWidth="1"/>
    <col min="4" max="4" width="14.4140625" bestFit="1" customWidth="1"/>
    <col min="5" max="5" width="10.4140625" bestFit="1" customWidth="1"/>
    <col min="6" max="6" width="6.33203125" bestFit="1" customWidth="1"/>
    <col min="7" max="7" width="66.4140625" bestFit="1" customWidth="1"/>
  </cols>
  <sheetData>
    <row r="1" spans="1:7" x14ac:dyDescent="0.3">
      <c r="A1" s="11" t="s">
        <v>31</v>
      </c>
      <c r="B1" s="39" t="s">
        <v>32</v>
      </c>
      <c r="C1" s="11" t="s">
        <v>518</v>
      </c>
      <c r="D1" s="39" t="s">
        <v>33</v>
      </c>
      <c r="E1" s="39" t="s">
        <v>34</v>
      </c>
      <c r="F1" s="39" t="s">
        <v>35</v>
      </c>
      <c r="G1" s="11" t="s">
        <v>37</v>
      </c>
    </row>
    <row r="2" spans="1:7" x14ac:dyDescent="0.3">
      <c r="A2" s="33" t="s">
        <v>162</v>
      </c>
      <c r="B2" s="48">
        <v>500</v>
      </c>
      <c r="C2" s="48" t="s">
        <v>519</v>
      </c>
      <c r="D2" s="48">
        <v>16</v>
      </c>
      <c r="E2" s="48">
        <v>1</v>
      </c>
      <c r="F2" s="48">
        <v>0</v>
      </c>
      <c r="G2" s="49"/>
    </row>
    <row r="3" spans="1:7" ht="37.299999999999997" x14ac:dyDescent="0.3">
      <c r="A3" s="176" t="s">
        <v>520</v>
      </c>
      <c r="B3" s="177">
        <v>501</v>
      </c>
      <c r="C3" s="177" t="s">
        <v>519</v>
      </c>
      <c r="D3" s="177">
        <v>16</v>
      </c>
      <c r="E3" s="177">
        <v>1</v>
      </c>
      <c r="F3" s="177">
        <v>0</v>
      </c>
      <c r="G3" s="190" t="s">
        <v>1200</v>
      </c>
    </row>
    <row r="4" spans="1:7" x14ac:dyDescent="0.3">
      <c r="A4" s="33" t="s">
        <v>162</v>
      </c>
      <c r="B4" s="48">
        <v>502</v>
      </c>
      <c r="C4" s="48" t="s">
        <v>519</v>
      </c>
      <c r="D4" s="48">
        <v>16</v>
      </c>
      <c r="E4" s="48">
        <v>1</v>
      </c>
      <c r="F4" s="48">
        <v>0</v>
      </c>
      <c r="G4" s="49"/>
    </row>
    <row r="5" spans="1:7" ht="74.599999999999994" x14ac:dyDescent="0.3">
      <c r="A5" s="176" t="s">
        <v>521</v>
      </c>
      <c r="B5" s="177">
        <v>503</v>
      </c>
      <c r="C5" s="177" t="s">
        <v>519</v>
      </c>
      <c r="D5" s="177">
        <v>16</v>
      </c>
      <c r="E5" s="177">
        <v>1</v>
      </c>
      <c r="F5" s="177">
        <v>0</v>
      </c>
      <c r="G5" s="190" t="s">
        <v>1201</v>
      </c>
    </row>
    <row r="6" spans="1:7" x14ac:dyDescent="0.3">
      <c r="A6" s="33" t="s">
        <v>162</v>
      </c>
      <c r="B6" s="48" t="s">
        <v>522</v>
      </c>
      <c r="C6" s="48" t="s">
        <v>519</v>
      </c>
      <c r="D6" s="48">
        <v>16</v>
      </c>
      <c r="E6" s="48">
        <v>1</v>
      </c>
      <c r="F6" s="48">
        <v>0</v>
      </c>
      <c r="G6" s="49"/>
    </row>
    <row r="7" spans="1:7" ht="24.9" x14ac:dyDescent="0.3">
      <c r="A7" s="26" t="s">
        <v>523</v>
      </c>
      <c r="B7" s="50">
        <v>524</v>
      </c>
      <c r="C7" s="50" t="s">
        <v>519</v>
      </c>
      <c r="D7" s="50">
        <v>16</v>
      </c>
      <c r="E7" s="50">
        <v>1</v>
      </c>
      <c r="F7" s="50">
        <v>2000</v>
      </c>
      <c r="G7" s="52" t="s">
        <v>524</v>
      </c>
    </row>
    <row r="8" spans="1:7" ht="24.9" x14ac:dyDescent="0.3">
      <c r="A8" s="26" t="s">
        <v>525</v>
      </c>
      <c r="B8" s="50">
        <v>525</v>
      </c>
      <c r="C8" s="50" t="s">
        <v>519</v>
      </c>
      <c r="D8" s="50">
        <v>16</v>
      </c>
      <c r="E8" s="50">
        <v>1</v>
      </c>
      <c r="F8" s="50">
        <v>0</v>
      </c>
      <c r="G8" s="52" t="s">
        <v>526</v>
      </c>
    </row>
    <row r="9" spans="1:7" ht="24.9" x14ac:dyDescent="0.3">
      <c r="A9" s="26" t="s">
        <v>527</v>
      </c>
      <c r="B9" s="50">
        <v>526</v>
      </c>
      <c r="C9" s="50" t="s">
        <v>519</v>
      </c>
      <c r="D9" s="50">
        <v>16</v>
      </c>
      <c r="E9" s="50">
        <v>1</v>
      </c>
      <c r="F9" s="50">
        <v>0</v>
      </c>
      <c r="G9" s="52" t="s">
        <v>528</v>
      </c>
    </row>
    <row r="10" spans="1:7" ht="24.9" x14ac:dyDescent="0.3">
      <c r="A10" s="26" t="s">
        <v>529</v>
      </c>
      <c r="B10" s="50">
        <v>527</v>
      </c>
      <c r="C10" s="50" t="s">
        <v>519</v>
      </c>
      <c r="D10" s="50">
        <v>16</v>
      </c>
      <c r="E10" s="50">
        <v>1</v>
      </c>
      <c r="F10" s="50">
        <v>0</v>
      </c>
      <c r="G10" s="52" t="s">
        <v>530</v>
      </c>
    </row>
    <row r="11" spans="1:7" ht="24.9" x14ac:dyDescent="0.3">
      <c r="A11" s="26" t="s">
        <v>531</v>
      </c>
      <c r="B11" s="50">
        <v>528</v>
      </c>
      <c r="C11" s="50" t="s">
        <v>519</v>
      </c>
      <c r="D11" s="50">
        <v>16</v>
      </c>
      <c r="E11" s="50">
        <v>1</v>
      </c>
      <c r="F11" s="50">
        <v>0</v>
      </c>
      <c r="G11" s="52" t="s">
        <v>532</v>
      </c>
    </row>
    <row r="12" spans="1:7" ht="24.9" x14ac:dyDescent="0.3">
      <c r="A12" s="26" t="s">
        <v>533</v>
      </c>
      <c r="B12" s="50">
        <v>529</v>
      </c>
      <c r="C12" s="50" t="s">
        <v>519</v>
      </c>
      <c r="D12" s="50">
        <v>16</v>
      </c>
      <c r="E12" s="50">
        <v>1</v>
      </c>
      <c r="F12" s="50">
        <v>0</v>
      </c>
      <c r="G12" s="52" t="s">
        <v>534</v>
      </c>
    </row>
    <row r="13" spans="1:7" x14ac:dyDescent="0.3">
      <c r="A13" s="5"/>
      <c r="G13" s="5"/>
    </row>
    <row r="14" spans="1:7" x14ac:dyDescent="0.3">
      <c r="A14" s="5"/>
      <c r="G14" s="5"/>
    </row>
    <row r="15" spans="1:7" x14ac:dyDescent="0.3">
      <c r="A15" s="5"/>
      <c r="G15" s="5"/>
    </row>
    <row r="16" spans="1:7" x14ac:dyDescent="0.3">
      <c r="A16" s="5"/>
      <c r="G16" s="5"/>
    </row>
    <row r="17" spans="1:7" x14ac:dyDescent="0.3">
      <c r="A17" s="5"/>
      <c r="G17" s="5"/>
    </row>
    <row r="18" spans="1:7" x14ac:dyDescent="0.3">
      <c r="A18" s="5"/>
      <c r="G18" s="5"/>
    </row>
    <row r="19" spans="1:7" x14ac:dyDescent="0.3">
      <c r="A19" s="5"/>
      <c r="G19" s="5"/>
    </row>
    <row r="20" spans="1:7" x14ac:dyDescent="0.3">
      <c r="A20" s="5"/>
      <c r="G20" s="5"/>
    </row>
    <row r="21" spans="1:7" x14ac:dyDescent="0.3">
      <c r="A21" s="5"/>
      <c r="G21" s="5"/>
    </row>
    <row r="22" spans="1:7" x14ac:dyDescent="0.3">
      <c r="A22" s="5"/>
      <c r="G22" s="5"/>
    </row>
    <row r="23" spans="1:7" x14ac:dyDescent="0.3">
      <c r="A23" s="5"/>
      <c r="G23" s="5"/>
    </row>
    <row r="24" spans="1:7" x14ac:dyDescent="0.3">
      <c r="A24" s="5"/>
      <c r="G24" s="5"/>
    </row>
    <row r="25" spans="1:7" x14ac:dyDescent="0.3">
      <c r="A25" s="5"/>
      <c r="G25" s="5"/>
    </row>
    <row r="26" spans="1:7" x14ac:dyDescent="0.3">
      <c r="A26" s="5"/>
      <c r="G26" s="5"/>
    </row>
    <row r="27" spans="1:7" x14ac:dyDescent="0.3">
      <c r="A27" s="5"/>
      <c r="G27" s="5"/>
    </row>
    <row r="28" spans="1:7" x14ac:dyDescent="0.3">
      <c r="A28" s="5"/>
      <c r="G28" s="5"/>
    </row>
    <row r="29" spans="1:7" x14ac:dyDescent="0.3">
      <c r="A29" s="5"/>
      <c r="G29" s="5"/>
    </row>
    <row r="30" spans="1:7" x14ac:dyDescent="0.3">
      <c r="A30" s="5"/>
      <c r="G30" s="5"/>
    </row>
    <row r="31" spans="1:7" x14ac:dyDescent="0.3">
      <c r="A31" s="5"/>
      <c r="G31" s="5"/>
    </row>
    <row r="32" spans="1:7" x14ac:dyDescent="0.3">
      <c r="A32" s="5"/>
      <c r="G32" s="5"/>
    </row>
    <row r="33" spans="1:7" x14ac:dyDescent="0.3">
      <c r="A33" s="5"/>
      <c r="G33" s="5"/>
    </row>
    <row r="34" spans="1:7" x14ac:dyDescent="0.3">
      <c r="A34" s="5"/>
      <c r="G34" s="5"/>
    </row>
    <row r="35" spans="1:7" x14ac:dyDescent="0.3">
      <c r="A35" s="5"/>
      <c r="G35" s="5"/>
    </row>
    <row r="36" spans="1:7" x14ac:dyDescent="0.3">
      <c r="A36" s="5"/>
      <c r="G36" s="5"/>
    </row>
    <row r="37" spans="1:7" x14ac:dyDescent="0.3">
      <c r="A37" s="5"/>
      <c r="G37" s="5"/>
    </row>
    <row r="38" spans="1:7" x14ac:dyDescent="0.3">
      <c r="A38" s="5"/>
      <c r="G38" s="5"/>
    </row>
    <row r="39" spans="1:7" x14ac:dyDescent="0.3">
      <c r="A39" s="5"/>
      <c r="G39" s="5"/>
    </row>
    <row r="40" spans="1:7" x14ac:dyDescent="0.3">
      <c r="A40" s="5"/>
      <c r="G40" s="5"/>
    </row>
    <row r="41" spans="1:7" x14ac:dyDescent="0.3">
      <c r="A41" s="5"/>
      <c r="G41" s="5"/>
    </row>
    <row r="42" spans="1:7" x14ac:dyDescent="0.3">
      <c r="A42" s="5"/>
      <c r="G42" s="5"/>
    </row>
    <row r="43" spans="1:7" x14ac:dyDescent="0.3">
      <c r="A43" s="5"/>
      <c r="G43" s="5"/>
    </row>
    <row r="44" spans="1:7" x14ac:dyDescent="0.3">
      <c r="A44" s="5"/>
      <c r="G44" s="5"/>
    </row>
    <row r="45" spans="1:7" x14ac:dyDescent="0.3">
      <c r="A45" s="5"/>
      <c r="G45" s="5"/>
    </row>
    <row r="46" spans="1:7" x14ac:dyDescent="0.3">
      <c r="A46" s="5"/>
      <c r="G46" s="5"/>
    </row>
    <row r="47" spans="1:7" x14ac:dyDescent="0.3">
      <c r="A47" s="5"/>
      <c r="G47" s="5"/>
    </row>
    <row r="48" spans="1:7" x14ac:dyDescent="0.3">
      <c r="A48" s="5"/>
      <c r="G48" s="5"/>
    </row>
    <row r="49" spans="1:7" x14ac:dyDescent="0.3">
      <c r="A49" s="5"/>
      <c r="G49" s="5"/>
    </row>
    <row r="50" spans="1:7" x14ac:dyDescent="0.3">
      <c r="A50" s="5"/>
      <c r="G50" s="5"/>
    </row>
    <row r="51" spans="1:7" x14ac:dyDescent="0.3">
      <c r="A51" s="5"/>
      <c r="G51" s="5"/>
    </row>
    <row r="52" spans="1:7" x14ac:dyDescent="0.3">
      <c r="A52" s="5"/>
      <c r="G52" s="5"/>
    </row>
    <row r="53" spans="1:7" x14ac:dyDescent="0.3">
      <c r="A53" s="5"/>
      <c r="G53" s="5"/>
    </row>
    <row r="54" spans="1:7" x14ac:dyDescent="0.3">
      <c r="A54" s="5"/>
      <c r="G54" s="5"/>
    </row>
    <row r="55" spans="1:7" x14ac:dyDescent="0.3">
      <c r="A55" s="5"/>
      <c r="G55" s="5"/>
    </row>
    <row r="56" spans="1:7" x14ac:dyDescent="0.3">
      <c r="A56" s="5"/>
      <c r="G56" s="5"/>
    </row>
    <row r="57" spans="1:7" x14ac:dyDescent="0.3">
      <c r="A57" s="5"/>
      <c r="G57" s="5"/>
    </row>
    <row r="58" spans="1:7" x14ac:dyDescent="0.3">
      <c r="A58" s="5"/>
      <c r="G58" s="5"/>
    </row>
    <row r="59" spans="1:7" x14ac:dyDescent="0.3">
      <c r="A59" s="5"/>
      <c r="G59" s="5"/>
    </row>
    <row r="60" spans="1:7" x14ac:dyDescent="0.3">
      <c r="A60" s="5"/>
      <c r="G60" s="5"/>
    </row>
    <row r="61" spans="1:7" x14ac:dyDescent="0.3">
      <c r="A61" s="5"/>
      <c r="G61" s="5"/>
    </row>
    <row r="62" spans="1:7" x14ac:dyDescent="0.3">
      <c r="A62" s="5"/>
      <c r="G62" s="5"/>
    </row>
    <row r="63" spans="1:7" x14ac:dyDescent="0.3">
      <c r="A63" s="5"/>
      <c r="G63" s="5"/>
    </row>
    <row r="64" spans="1:7" x14ac:dyDescent="0.3">
      <c r="A64" s="5"/>
      <c r="G64" s="5"/>
    </row>
    <row r="65" spans="1:7" x14ac:dyDescent="0.3">
      <c r="A65" s="5"/>
      <c r="G65" s="5"/>
    </row>
    <row r="66" spans="1:7" x14ac:dyDescent="0.3">
      <c r="A66" s="5"/>
      <c r="G66" s="5"/>
    </row>
    <row r="67" spans="1:7" x14ac:dyDescent="0.3">
      <c r="A67" s="5"/>
      <c r="G67" s="5"/>
    </row>
    <row r="68" spans="1:7" x14ac:dyDescent="0.3">
      <c r="A68" s="5"/>
      <c r="G68" s="5"/>
    </row>
    <row r="69" spans="1:7" x14ac:dyDescent="0.3">
      <c r="A69" s="5"/>
      <c r="G69" s="5"/>
    </row>
    <row r="70" spans="1:7" x14ac:dyDescent="0.3">
      <c r="A70" s="5"/>
      <c r="G70" s="5"/>
    </row>
    <row r="71" spans="1:7" x14ac:dyDescent="0.3">
      <c r="A71" s="5"/>
      <c r="G71" s="5"/>
    </row>
    <row r="72" spans="1:7" x14ac:dyDescent="0.3">
      <c r="A72" s="5"/>
      <c r="G72" s="5"/>
    </row>
    <row r="73" spans="1:7" x14ac:dyDescent="0.3">
      <c r="A73" s="5"/>
      <c r="G73" s="5"/>
    </row>
    <row r="74" spans="1:7" x14ac:dyDescent="0.3">
      <c r="A74" s="5"/>
      <c r="G74" s="5"/>
    </row>
    <row r="75" spans="1:7" x14ac:dyDescent="0.3">
      <c r="A75" s="5"/>
      <c r="G75" s="5"/>
    </row>
    <row r="76" spans="1:7" x14ac:dyDescent="0.3">
      <c r="A76" s="5"/>
      <c r="G76" s="5"/>
    </row>
    <row r="77" spans="1:7" x14ac:dyDescent="0.3">
      <c r="A77" s="5"/>
      <c r="G77" s="5"/>
    </row>
    <row r="78" spans="1:7" x14ac:dyDescent="0.3">
      <c r="A78" s="5"/>
      <c r="G78" s="5"/>
    </row>
    <row r="79" spans="1:7" x14ac:dyDescent="0.3">
      <c r="A79" s="5"/>
      <c r="G79" s="5"/>
    </row>
    <row r="80" spans="1:7" x14ac:dyDescent="0.3">
      <c r="A80" s="5"/>
      <c r="G80" s="5"/>
    </row>
    <row r="81" spans="1:7" x14ac:dyDescent="0.3">
      <c r="A81" s="5"/>
      <c r="G81" s="5"/>
    </row>
    <row r="82" spans="1:7" x14ac:dyDescent="0.3">
      <c r="A82" s="5"/>
      <c r="G82" s="5"/>
    </row>
    <row r="83" spans="1:7" x14ac:dyDescent="0.3">
      <c r="A83" s="5"/>
      <c r="G83" s="5"/>
    </row>
    <row r="84" spans="1:7" x14ac:dyDescent="0.3">
      <c r="A84" s="5"/>
      <c r="G84" s="5"/>
    </row>
    <row r="85" spans="1:7" x14ac:dyDescent="0.3">
      <c r="A85" s="5"/>
      <c r="G85" s="5"/>
    </row>
    <row r="86" spans="1:7" x14ac:dyDescent="0.3">
      <c r="A86" s="5"/>
      <c r="G86" s="5"/>
    </row>
    <row r="87" spans="1:7" x14ac:dyDescent="0.3">
      <c r="A87" s="5"/>
      <c r="G87" s="5"/>
    </row>
    <row r="88" spans="1:7" x14ac:dyDescent="0.3">
      <c r="A88" s="5"/>
      <c r="G88" s="5"/>
    </row>
    <row r="89" spans="1:7" x14ac:dyDescent="0.3">
      <c r="A89" s="5"/>
      <c r="G89" s="5"/>
    </row>
    <row r="90" spans="1:7" x14ac:dyDescent="0.3">
      <c r="A90" s="5"/>
      <c r="G90" s="5"/>
    </row>
    <row r="91" spans="1:7" x14ac:dyDescent="0.3">
      <c r="A91" s="5"/>
      <c r="G91" s="5"/>
    </row>
    <row r="92" spans="1:7" x14ac:dyDescent="0.3">
      <c r="A92" s="5"/>
      <c r="G92" s="5"/>
    </row>
    <row r="93" spans="1:7" x14ac:dyDescent="0.3">
      <c r="A93" s="5"/>
      <c r="G93" s="5"/>
    </row>
    <row r="94" spans="1:7" x14ac:dyDescent="0.3">
      <c r="A94" s="5"/>
      <c r="G94" s="5"/>
    </row>
    <row r="95" spans="1:7" x14ac:dyDescent="0.3">
      <c r="A95" s="5"/>
      <c r="G95" s="5"/>
    </row>
    <row r="96" spans="1:7" x14ac:dyDescent="0.3">
      <c r="A96" s="5"/>
      <c r="G96" s="5"/>
    </row>
    <row r="97" spans="1:7" x14ac:dyDescent="0.3">
      <c r="A97" s="5"/>
      <c r="G97" s="5"/>
    </row>
    <row r="98" spans="1:7" x14ac:dyDescent="0.3">
      <c r="A98" s="5"/>
      <c r="G98" s="5"/>
    </row>
    <row r="99" spans="1:7" x14ac:dyDescent="0.3">
      <c r="A99" s="5"/>
      <c r="G99" s="5"/>
    </row>
    <row r="100" spans="1:7" x14ac:dyDescent="0.3">
      <c r="A100" s="5"/>
      <c r="G100" s="5"/>
    </row>
    <row r="101" spans="1:7" x14ac:dyDescent="0.3">
      <c r="A101" s="5"/>
      <c r="G101" s="5"/>
    </row>
    <row r="102" spans="1:7" x14ac:dyDescent="0.3">
      <c r="A102" s="5"/>
      <c r="G102" s="5"/>
    </row>
    <row r="103" spans="1:7" x14ac:dyDescent="0.3">
      <c r="A103" s="5"/>
      <c r="G103" s="5"/>
    </row>
    <row r="104" spans="1:7" x14ac:dyDescent="0.3">
      <c r="A104" s="5"/>
      <c r="G104" s="5"/>
    </row>
    <row r="105" spans="1:7" x14ac:dyDescent="0.3">
      <c r="A105" s="5"/>
      <c r="G105" s="5"/>
    </row>
    <row r="106" spans="1:7" x14ac:dyDescent="0.3">
      <c r="A106" s="5"/>
      <c r="G106" s="5"/>
    </row>
    <row r="107" spans="1:7" x14ac:dyDescent="0.3">
      <c r="A107" s="5"/>
      <c r="G107" s="5"/>
    </row>
    <row r="108" spans="1:7" x14ac:dyDescent="0.3">
      <c r="A108" s="5"/>
      <c r="G108" s="5"/>
    </row>
    <row r="109" spans="1:7" x14ac:dyDescent="0.3">
      <c r="A109" s="5"/>
      <c r="G109" s="5"/>
    </row>
    <row r="110" spans="1:7" x14ac:dyDescent="0.3">
      <c r="A110" s="5"/>
      <c r="G110" s="5"/>
    </row>
    <row r="111" spans="1:7" x14ac:dyDescent="0.3">
      <c r="A111" s="5"/>
      <c r="G111" s="5"/>
    </row>
    <row r="112" spans="1:7" x14ac:dyDescent="0.3">
      <c r="A112" s="5"/>
      <c r="G112" s="5"/>
    </row>
    <row r="113" spans="1:7" x14ac:dyDescent="0.3">
      <c r="A113" s="5"/>
      <c r="G113" s="5"/>
    </row>
    <row r="114" spans="1:7" x14ac:dyDescent="0.3">
      <c r="A114" s="5"/>
      <c r="G114" s="5"/>
    </row>
    <row r="115" spans="1:7" x14ac:dyDescent="0.3">
      <c r="A115" s="5"/>
      <c r="G115" s="5"/>
    </row>
    <row r="116" spans="1:7" x14ac:dyDescent="0.3">
      <c r="A116" s="5"/>
      <c r="G116" s="5"/>
    </row>
    <row r="117" spans="1:7" x14ac:dyDescent="0.3">
      <c r="A117" s="5"/>
      <c r="G117" s="5"/>
    </row>
    <row r="118" spans="1:7" x14ac:dyDescent="0.3">
      <c r="A118" s="5"/>
      <c r="G118" s="5"/>
    </row>
    <row r="119" spans="1:7" x14ac:dyDescent="0.3">
      <c r="A119" s="5"/>
      <c r="G119" s="5"/>
    </row>
    <row r="120" spans="1:7" x14ac:dyDescent="0.3">
      <c r="A120" s="5"/>
      <c r="G120" s="5"/>
    </row>
    <row r="121" spans="1:7" x14ac:dyDescent="0.3">
      <c r="A121" s="5"/>
      <c r="G121" s="5"/>
    </row>
    <row r="122" spans="1:7" x14ac:dyDescent="0.3">
      <c r="A122" s="5"/>
      <c r="G122" s="5"/>
    </row>
    <row r="123" spans="1:7" x14ac:dyDescent="0.3">
      <c r="A123" s="5"/>
      <c r="G123" s="5"/>
    </row>
    <row r="124" spans="1:7" x14ac:dyDescent="0.3">
      <c r="A124" s="5"/>
      <c r="G124" s="5"/>
    </row>
    <row r="125" spans="1:7" x14ac:dyDescent="0.3">
      <c r="A125" s="5"/>
      <c r="G125" s="5"/>
    </row>
    <row r="126" spans="1:7" x14ac:dyDescent="0.3">
      <c r="A126" s="5"/>
      <c r="G126" s="5"/>
    </row>
    <row r="127" spans="1:7" x14ac:dyDescent="0.3">
      <c r="A127" s="5"/>
      <c r="G127" s="5"/>
    </row>
    <row r="128" spans="1:7" x14ac:dyDescent="0.3">
      <c r="A128" s="5"/>
      <c r="G128" s="5"/>
    </row>
    <row r="129" spans="1:7" x14ac:dyDescent="0.3">
      <c r="A129" s="5"/>
      <c r="G129" s="5"/>
    </row>
    <row r="130" spans="1:7" x14ac:dyDescent="0.3">
      <c r="A130" s="5"/>
      <c r="G130" s="5"/>
    </row>
    <row r="131" spans="1:7" x14ac:dyDescent="0.3">
      <c r="A131" s="5"/>
      <c r="G131" s="5"/>
    </row>
    <row r="132" spans="1:7" x14ac:dyDescent="0.3">
      <c r="A132" s="5"/>
      <c r="G132" s="5"/>
    </row>
    <row r="133" spans="1:7" x14ac:dyDescent="0.3">
      <c r="A133" s="5"/>
      <c r="G133" s="5"/>
    </row>
    <row r="134" spans="1:7" x14ac:dyDescent="0.3">
      <c r="A134" s="5"/>
      <c r="G134" s="5"/>
    </row>
    <row r="135" spans="1:7" x14ac:dyDescent="0.3">
      <c r="A135" s="5"/>
      <c r="G135" s="5"/>
    </row>
    <row r="136" spans="1:7" x14ac:dyDescent="0.3">
      <c r="A136" s="5"/>
      <c r="G136" s="5"/>
    </row>
    <row r="137" spans="1:7" x14ac:dyDescent="0.3">
      <c r="A137" s="5"/>
      <c r="G137" s="5"/>
    </row>
    <row r="138" spans="1:7" x14ac:dyDescent="0.3">
      <c r="A138" s="5"/>
      <c r="G138" s="5"/>
    </row>
    <row r="139" spans="1:7" x14ac:dyDescent="0.3">
      <c r="A139" s="5"/>
      <c r="G139" s="5"/>
    </row>
    <row r="140" spans="1:7" x14ac:dyDescent="0.3">
      <c r="A140" s="5"/>
      <c r="G140" s="5"/>
    </row>
    <row r="141" spans="1:7" x14ac:dyDescent="0.3">
      <c r="A141" s="5"/>
      <c r="G141" s="5"/>
    </row>
    <row r="142" spans="1:7" x14ac:dyDescent="0.3">
      <c r="A142" s="5"/>
      <c r="G142" s="5"/>
    </row>
    <row r="143" spans="1:7" x14ac:dyDescent="0.3">
      <c r="A143" s="5"/>
      <c r="G143" s="5"/>
    </row>
    <row r="144" spans="1:7" x14ac:dyDescent="0.3">
      <c r="A144" s="5"/>
      <c r="G144" s="5"/>
    </row>
    <row r="145" spans="1:7" x14ac:dyDescent="0.3">
      <c r="A145" s="5"/>
      <c r="G145" s="5"/>
    </row>
    <row r="146" spans="1:7" x14ac:dyDescent="0.3">
      <c r="A146" s="5"/>
      <c r="G146" s="5"/>
    </row>
    <row r="147" spans="1:7" x14ac:dyDescent="0.3">
      <c r="A147" s="5"/>
      <c r="G147" s="5"/>
    </row>
    <row r="148" spans="1:7" x14ac:dyDescent="0.3">
      <c r="A148" s="5"/>
      <c r="G148" s="5"/>
    </row>
    <row r="149" spans="1:7" x14ac:dyDescent="0.3">
      <c r="A149" s="5"/>
      <c r="G149" s="5"/>
    </row>
    <row r="150" spans="1:7" x14ac:dyDescent="0.3">
      <c r="A150" s="5"/>
      <c r="G150" s="5"/>
    </row>
    <row r="151" spans="1:7" x14ac:dyDescent="0.3">
      <c r="A151" s="5"/>
      <c r="G151" s="5"/>
    </row>
    <row r="152" spans="1:7" x14ac:dyDescent="0.3">
      <c r="A152" s="5"/>
      <c r="G152" s="5"/>
    </row>
    <row r="153" spans="1:7" x14ac:dyDescent="0.3">
      <c r="A153" s="5"/>
      <c r="G153" s="5"/>
    </row>
    <row r="154" spans="1:7" x14ac:dyDescent="0.3">
      <c r="A154" s="5"/>
      <c r="G154" s="5"/>
    </row>
    <row r="155" spans="1:7" x14ac:dyDescent="0.3">
      <c r="A155" s="5"/>
      <c r="G155" s="5"/>
    </row>
    <row r="156" spans="1:7" x14ac:dyDescent="0.3">
      <c r="A156" s="5"/>
      <c r="G156" s="5"/>
    </row>
    <row r="157" spans="1:7" x14ac:dyDescent="0.3">
      <c r="A157" s="5"/>
      <c r="G157" s="5"/>
    </row>
    <row r="158" spans="1:7" x14ac:dyDescent="0.3">
      <c r="A158" s="5"/>
      <c r="G158" s="5"/>
    </row>
    <row r="159" spans="1:7" x14ac:dyDescent="0.3">
      <c r="A159" s="5"/>
      <c r="G159" s="5"/>
    </row>
    <row r="160" spans="1:7" x14ac:dyDescent="0.3">
      <c r="A160" s="5"/>
      <c r="G160" s="5"/>
    </row>
    <row r="161" spans="1:7" x14ac:dyDescent="0.3">
      <c r="A161" s="5"/>
      <c r="G161" s="5"/>
    </row>
    <row r="162" spans="1:7" x14ac:dyDescent="0.3">
      <c r="A162" s="5"/>
      <c r="G162" s="5"/>
    </row>
    <row r="163" spans="1:7" x14ac:dyDescent="0.3">
      <c r="A163" s="5"/>
      <c r="G163" s="5"/>
    </row>
    <row r="164" spans="1:7" x14ac:dyDescent="0.3">
      <c r="A164" s="5"/>
      <c r="G164" s="5"/>
    </row>
    <row r="165" spans="1:7" x14ac:dyDescent="0.3">
      <c r="A165" s="5"/>
      <c r="G165" s="5"/>
    </row>
    <row r="166" spans="1:7" x14ac:dyDescent="0.3">
      <c r="A166" s="5"/>
      <c r="G166" s="5"/>
    </row>
    <row r="167" spans="1:7" x14ac:dyDescent="0.3">
      <c r="A167" s="5"/>
      <c r="G167" s="5"/>
    </row>
    <row r="168" spans="1:7" x14ac:dyDescent="0.3">
      <c r="A168" s="5"/>
      <c r="G168" s="5"/>
    </row>
    <row r="169" spans="1:7" x14ac:dyDescent="0.3">
      <c r="A169" s="5"/>
      <c r="G169" s="5"/>
    </row>
    <row r="170" spans="1:7" x14ac:dyDescent="0.3">
      <c r="A170" s="5"/>
      <c r="G170" s="5"/>
    </row>
    <row r="171" spans="1:7" x14ac:dyDescent="0.3">
      <c r="A171" s="5"/>
      <c r="G171" s="5"/>
    </row>
    <row r="172" spans="1:7" x14ac:dyDescent="0.3">
      <c r="A172" s="5"/>
      <c r="G172" s="5"/>
    </row>
    <row r="173" spans="1:7" x14ac:dyDescent="0.3">
      <c r="A173" s="5"/>
      <c r="G173" s="5"/>
    </row>
    <row r="174" spans="1:7" x14ac:dyDescent="0.3">
      <c r="A174" s="5"/>
      <c r="G174" s="5"/>
    </row>
    <row r="175" spans="1:7" x14ac:dyDescent="0.3">
      <c r="A175" s="5"/>
      <c r="G175" s="5"/>
    </row>
    <row r="176" spans="1:7" x14ac:dyDescent="0.3">
      <c r="A176" s="5"/>
      <c r="G176" s="5"/>
    </row>
    <row r="177" spans="1:7" x14ac:dyDescent="0.3">
      <c r="A177" s="5"/>
      <c r="G177" s="5"/>
    </row>
    <row r="178" spans="1:7" x14ac:dyDescent="0.3">
      <c r="A178" s="5"/>
      <c r="G178" s="5"/>
    </row>
    <row r="179" spans="1:7" x14ac:dyDescent="0.3">
      <c r="A179" s="5"/>
      <c r="G179" s="5"/>
    </row>
    <row r="180" spans="1:7" x14ac:dyDescent="0.3">
      <c r="A180" s="5"/>
      <c r="G180" s="5"/>
    </row>
    <row r="181" spans="1:7" x14ac:dyDescent="0.3">
      <c r="A181" s="5"/>
      <c r="G181" s="5"/>
    </row>
    <row r="182" spans="1:7" x14ac:dyDescent="0.3">
      <c r="A182" s="5"/>
      <c r="G182" s="5"/>
    </row>
    <row r="183" spans="1:7" x14ac:dyDescent="0.3">
      <c r="A183" s="5"/>
      <c r="G183" s="5"/>
    </row>
    <row r="184" spans="1:7" x14ac:dyDescent="0.3">
      <c r="A184" s="5"/>
      <c r="G184" s="5"/>
    </row>
    <row r="185" spans="1:7" x14ac:dyDescent="0.3">
      <c r="A185" s="5"/>
      <c r="G185" s="5"/>
    </row>
    <row r="186" spans="1:7" x14ac:dyDescent="0.3">
      <c r="A186" s="5"/>
      <c r="G186" s="5"/>
    </row>
    <row r="187" spans="1:7" x14ac:dyDescent="0.3">
      <c r="A187" s="5"/>
      <c r="G187" s="5"/>
    </row>
    <row r="188" spans="1:7" x14ac:dyDescent="0.3">
      <c r="A188" s="5"/>
      <c r="G188" s="5"/>
    </row>
    <row r="189" spans="1:7" x14ac:dyDescent="0.3">
      <c r="A189" s="5"/>
      <c r="G189" s="5"/>
    </row>
    <row r="190" spans="1:7" x14ac:dyDescent="0.3">
      <c r="A190" s="5"/>
      <c r="G190" s="5"/>
    </row>
    <row r="191" spans="1:7" x14ac:dyDescent="0.3">
      <c r="A191" s="5"/>
      <c r="G191" s="5"/>
    </row>
    <row r="192" spans="1:7" x14ac:dyDescent="0.3">
      <c r="A192" s="5"/>
      <c r="G192" s="5"/>
    </row>
    <row r="193" spans="1:7" x14ac:dyDescent="0.3">
      <c r="A193" s="5"/>
      <c r="G193" s="5"/>
    </row>
    <row r="194" spans="1:7" x14ac:dyDescent="0.3">
      <c r="A194" s="5"/>
      <c r="G194" s="5"/>
    </row>
    <row r="195" spans="1:7" x14ac:dyDescent="0.3">
      <c r="A195" s="5"/>
      <c r="G195" s="5"/>
    </row>
    <row r="196" spans="1:7" x14ac:dyDescent="0.3">
      <c r="A196" s="5"/>
      <c r="G196" s="5"/>
    </row>
    <row r="197" spans="1:7" x14ac:dyDescent="0.3">
      <c r="A197" s="5"/>
      <c r="G197" s="5"/>
    </row>
    <row r="198" spans="1:7" x14ac:dyDescent="0.3">
      <c r="A198" s="5"/>
      <c r="G198" s="5"/>
    </row>
  </sheetData>
  <phoneticPr fontId="6" type="noConversion"/>
  <pageMargins left="0.7" right="0.7" top="0.75" bottom="0.75" header="0.3" footer="0.3"/>
  <pictur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L133"/>
  <sheetViews>
    <sheetView zoomScale="90" zoomScaleNormal="90" workbookViewId="0">
      <pane ySplit="1" topLeftCell="A2" activePane="bottomLeft" state="frozen"/>
      <selection pane="bottomLeft" activeCell="I76" sqref="I76"/>
    </sheetView>
  </sheetViews>
  <sheetFormatPr defaultColWidth="14" defaultRowHeight="12.45" x14ac:dyDescent="0.3"/>
  <cols>
    <col min="1" max="1" width="47.4140625" bestFit="1" customWidth="1"/>
    <col min="2" max="2" width="18.83203125" bestFit="1" customWidth="1"/>
    <col min="3" max="3" width="9.6640625" bestFit="1" customWidth="1"/>
    <col min="4" max="4" width="14.4140625" bestFit="1" customWidth="1"/>
    <col min="5" max="5" width="10.4140625" bestFit="1" customWidth="1"/>
    <col min="6" max="6" width="6.33203125" bestFit="1" customWidth="1"/>
    <col min="7" max="7" width="4.9140625" bestFit="1" customWidth="1"/>
    <col min="8" max="8" width="55.1640625" customWidth="1"/>
    <col min="9" max="9" width="6" bestFit="1" customWidth="1"/>
    <col min="10" max="10" width="12.83203125" bestFit="1" customWidth="1"/>
    <col min="11" max="11" width="24.83203125" style="138" customWidth="1"/>
    <col min="12" max="12" width="35.33203125" style="138" customWidth="1"/>
  </cols>
  <sheetData>
    <row r="1" spans="1:12" ht="24.9" x14ac:dyDescent="0.3">
      <c r="A1" s="41" t="s">
        <v>31</v>
      </c>
      <c r="B1" s="39" t="s">
        <v>32</v>
      </c>
      <c r="C1" s="9" t="s">
        <v>518</v>
      </c>
      <c r="D1" s="39" t="s">
        <v>33</v>
      </c>
      <c r="E1" s="39" t="s">
        <v>34</v>
      </c>
      <c r="F1" s="39" t="s">
        <v>35</v>
      </c>
      <c r="G1" s="9" t="s">
        <v>36</v>
      </c>
      <c r="H1" s="11" t="s">
        <v>37</v>
      </c>
      <c r="I1" s="9" t="s">
        <v>38</v>
      </c>
      <c r="J1" s="77" t="s">
        <v>1175</v>
      </c>
      <c r="K1" s="78" t="s">
        <v>40</v>
      </c>
      <c r="L1" s="174" t="s">
        <v>1099</v>
      </c>
    </row>
    <row r="2" spans="1:12" ht="24.9" x14ac:dyDescent="0.3">
      <c r="A2" s="7" t="s">
        <v>535</v>
      </c>
      <c r="B2" s="22">
        <v>1</v>
      </c>
      <c r="C2" s="22" t="s">
        <v>519</v>
      </c>
      <c r="D2" s="22">
        <v>16</v>
      </c>
      <c r="E2" s="22">
        <v>0.5</v>
      </c>
      <c r="F2" s="22">
        <v>0</v>
      </c>
      <c r="G2" s="22" t="s">
        <v>536</v>
      </c>
      <c r="H2" s="7"/>
      <c r="I2" s="53" t="s">
        <v>44</v>
      </c>
      <c r="J2" s="54" t="s">
        <v>537</v>
      </c>
      <c r="K2" s="131" t="s">
        <v>158</v>
      </c>
      <c r="L2" s="139" t="s">
        <v>538</v>
      </c>
    </row>
    <row r="3" spans="1:12" ht="24.9" x14ac:dyDescent="0.3">
      <c r="A3" s="74" t="s">
        <v>539</v>
      </c>
      <c r="B3" s="22">
        <f t="shared" ref="B3:B37" si="0">B2+D2/16</f>
        <v>2</v>
      </c>
      <c r="C3" s="22" t="s">
        <v>519</v>
      </c>
      <c r="D3" s="22">
        <v>16</v>
      </c>
      <c r="E3" s="22">
        <v>0.125</v>
      </c>
      <c r="F3" s="22">
        <v>-4000</v>
      </c>
      <c r="G3" s="22" t="s">
        <v>540</v>
      </c>
      <c r="H3" s="7"/>
      <c r="I3" s="53" t="s">
        <v>44</v>
      </c>
      <c r="J3" s="54" t="s">
        <v>537</v>
      </c>
      <c r="K3" s="131" t="s">
        <v>158</v>
      </c>
      <c r="L3" s="139" t="s">
        <v>541</v>
      </c>
    </row>
    <row r="4" spans="1:12" ht="24.9" x14ac:dyDescent="0.3">
      <c r="A4" s="7" t="s">
        <v>542</v>
      </c>
      <c r="B4" s="22">
        <f t="shared" si="0"/>
        <v>3</v>
      </c>
      <c r="C4" s="22" t="s">
        <v>519</v>
      </c>
      <c r="D4" s="22">
        <v>16</v>
      </c>
      <c r="E4" s="22">
        <v>0.5</v>
      </c>
      <c r="F4" s="22">
        <v>0</v>
      </c>
      <c r="G4" s="22" t="s">
        <v>543</v>
      </c>
      <c r="H4" s="7" t="s">
        <v>544</v>
      </c>
      <c r="I4" s="53" t="s">
        <v>44</v>
      </c>
      <c r="J4" s="54" t="s">
        <v>537</v>
      </c>
      <c r="K4" s="131" t="s">
        <v>158</v>
      </c>
      <c r="L4" s="139" t="s">
        <v>545</v>
      </c>
    </row>
    <row r="5" spans="1:12" ht="24.9" x14ac:dyDescent="0.3">
      <c r="A5" s="7" t="s">
        <v>546</v>
      </c>
      <c r="B5" s="22">
        <f t="shared" si="0"/>
        <v>4</v>
      </c>
      <c r="C5" s="22" t="s">
        <v>519</v>
      </c>
      <c r="D5" s="22">
        <v>16</v>
      </c>
      <c r="E5" s="22">
        <v>1</v>
      </c>
      <c r="F5" s="22">
        <v>0</v>
      </c>
      <c r="G5" s="22" t="s">
        <v>543</v>
      </c>
      <c r="H5" s="7" t="s">
        <v>547</v>
      </c>
      <c r="I5" s="53" t="s">
        <v>44</v>
      </c>
      <c r="J5" s="54" t="s">
        <v>537</v>
      </c>
      <c r="K5" s="131" t="s">
        <v>158</v>
      </c>
      <c r="L5" s="139" t="s">
        <v>548</v>
      </c>
    </row>
    <row r="6" spans="1:12" ht="24.9" x14ac:dyDescent="0.3">
      <c r="A6" s="7" t="s">
        <v>549</v>
      </c>
      <c r="B6" s="22">
        <f t="shared" si="0"/>
        <v>5</v>
      </c>
      <c r="C6" s="22" t="s">
        <v>519</v>
      </c>
      <c r="D6" s="22">
        <v>16</v>
      </c>
      <c r="E6" s="22">
        <v>1</v>
      </c>
      <c r="F6" s="22">
        <v>0</v>
      </c>
      <c r="G6" s="22" t="s">
        <v>550</v>
      </c>
      <c r="H6" s="7"/>
      <c r="I6" s="53" t="s">
        <v>44</v>
      </c>
      <c r="J6" s="54" t="s">
        <v>537</v>
      </c>
      <c r="K6" s="131" t="s">
        <v>158</v>
      </c>
      <c r="L6" s="139" t="s">
        <v>551</v>
      </c>
    </row>
    <row r="7" spans="1:12" ht="24.9" x14ac:dyDescent="0.3">
      <c r="A7" s="7" t="s">
        <v>552</v>
      </c>
      <c r="B7" s="22">
        <f t="shared" si="0"/>
        <v>6</v>
      </c>
      <c r="C7" s="22" t="s">
        <v>519</v>
      </c>
      <c r="D7" s="22">
        <v>16</v>
      </c>
      <c r="E7" s="22">
        <v>1</v>
      </c>
      <c r="F7" s="22">
        <v>0</v>
      </c>
      <c r="G7" s="22" t="s">
        <v>48</v>
      </c>
      <c r="H7" s="7" t="s">
        <v>553</v>
      </c>
      <c r="I7" s="53" t="s">
        <v>44</v>
      </c>
      <c r="J7" s="54" t="s">
        <v>537</v>
      </c>
      <c r="K7" s="131" t="s">
        <v>158</v>
      </c>
      <c r="L7" s="139" t="s">
        <v>554</v>
      </c>
    </row>
    <row r="8" spans="1:12" ht="24.9" x14ac:dyDescent="0.3">
      <c r="A8" s="7" t="s">
        <v>555</v>
      </c>
      <c r="B8" s="22">
        <f t="shared" si="0"/>
        <v>7</v>
      </c>
      <c r="C8" s="22" t="s">
        <v>519</v>
      </c>
      <c r="D8" s="22">
        <v>16</v>
      </c>
      <c r="E8" s="22">
        <v>1</v>
      </c>
      <c r="F8" s="22">
        <v>0</v>
      </c>
      <c r="G8" s="22" t="s">
        <v>48</v>
      </c>
      <c r="H8" s="7" t="s">
        <v>556</v>
      </c>
      <c r="I8" s="53" t="s">
        <v>44</v>
      </c>
      <c r="J8" s="54" t="s">
        <v>537</v>
      </c>
      <c r="K8" s="131" t="s">
        <v>158</v>
      </c>
      <c r="L8" s="139" t="s">
        <v>557</v>
      </c>
    </row>
    <row r="9" spans="1:12" ht="24.9" x14ac:dyDescent="0.3">
      <c r="A9" s="7" t="s">
        <v>558</v>
      </c>
      <c r="B9" s="22">
        <f t="shared" si="0"/>
        <v>8</v>
      </c>
      <c r="C9" s="22" t="s">
        <v>519</v>
      </c>
      <c r="D9" s="22">
        <v>16</v>
      </c>
      <c r="E9" s="22">
        <v>1</v>
      </c>
      <c r="F9" s="22">
        <v>0</v>
      </c>
      <c r="G9" s="22" t="s">
        <v>550</v>
      </c>
      <c r="H9" s="7"/>
      <c r="I9" s="53" t="s">
        <v>44</v>
      </c>
      <c r="J9" s="54" t="s">
        <v>537</v>
      </c>
      <c r="K9" s="131" t="s">
        <v>158</v>
      </c>
      <c r="L9" s="139" t="s">
        <v>559</v>
      </c>
    </row>
    <row r="10" spans="1:12" ht="24.9" x14ac:dyDescent="0.3">
      <c r="A10" s="7" t="s">
        <v>560</v>
      </c>
      <c r="B10" s="22">
        <f t="shared" si="0"/>
        <v>9</v>
      </c>
      <c r="C10" s="22" t="s">
        <v>519</v>
      </c>
      <c r="D10" s="22">
        <v>16</v>
      </c>
      <c r="E10" s="22">
        <v>1</v>
      </c>
      <c r="F10" s="22">
        <v>0</v>
      </c>
      <c r="G10" s="22" t="s">
        <v>48</v>
      </c>
      <c r="H10" s="7" t="s">
        <v>561</v>
      </c>
      <c r="I10" s="53" t="s">
        <v>44</v>
      </c>
      <c r="J10" s="54" t="s">
        <v>537</v>
      </c>
      <c r="K10" s="131" t="s">
        <v>158</v>
      </c>
      <c r="L10" s="139" t="s">
        <v>562</v>
      </c>
    </row>
    <row r="11" spans="1:12" ht="24.9" x14ac:dyDescent="0.3">
      <c r="A11" s="66" t="s">
        <v>563</v>
      </c>
      <c r="B11" s="22">
        <f t="shared" si="0"/>
        <v>10</v>
      </c>
      <c r="C11" s="22" t="s">
        <v>519</v>
      </c>
      <c r="D11" s="22">
        <v>16</v>
      </c>
      <c r="E11" s="22">
        <v>1</v>
      </c>
      <c r="F11" s="22">
        <v>0</v>
      </c>
      <c r="G11" s="22" t="s">
        <v>48</v>
      </c>
      <c r="H11" s="7" t="s">
        <v>564</v>
      </c>
      <c r="I11" s="53" t="s">
        <v>44</v>
      </c>
      <c r="J11" s="54" t="s">
        <v>537</v>
      </c>
      <c r="K11" s="131" t="s">
        <v>158</v>
      </c>
      <c r="L11" s="139" t="s">
        <v>565</v>
      </c>
    </row>
    <row r="12" spans="1:12" ht="24.9" x14ac:dyDescent="0.3">
      <c r="A12" s="7" t="s">
        <v>566</v>
      </c>
      <c r="B12" s="22">
        <f t="shared" si="0"/>
        <v>11</v>
      </c>
      <c r="C12" s="22" t="s">
        <v>519</v>
      </c>
      <c r="D12" s="22">
        <v>16</v>
      </c>
      <c r="E12" s="22">
        <v>0.1</v>
      </c>
      <c r="F12" s="22">
        <v>-40</v>
      </c>
      <c r="G12" s="22" t="s">
        <v>567</v>
      </c>
      <c r="H12" s="7"/>
      <c r="I12" s="53" t="s">
        <v>44</v>
      </c>
      <c r="J12" s="54" t="s">
        <v>537</v>
      </c>
      <c r="K12" s="131" t="s">
        <v>158</v>
      </c>
      <c r="L12" s="139" t="s">
        <v>1079</v>
      </c>
    </row>
    <row r="13" spans="1:12" ht="24.9" x14ac:dyDescent="0.3">
      <c r="A13" s="7" t="s">
        <v>568</v>
      </c>
      <c r="B13" s="22">
        <f t="shared" si="0"/>
        <v>12</v>
      </c>
      <c r="C13" s="22" t="s">
        <v>519</v>
      </c>
      <c r="D13" s="22">
        <v>16</v>
      </c>
      <c r="E13" s="22">
        <v>1</v>
      </c>
      <c r="F13" s="22">
        <v>0</v>
      </c>
      <c r="G13" s="22" t="s">
        <v>48</v>
      </c>
      <c r="H13" s="7" t="s">
        <v>569</v>
      </c>
      <c r="I13" s="53" t="s">
        <v>44</v>
      </c>
      <c r="J13" s="54" t="s">
        <v>537</v>
      </c>
      <c r="K13" s="131" t="s">
        <v>158</v>
      </c>
      <c r="L13" s="139" t="s">
        <v>570</v>
      </c>
    </row>
    <row r="14" spans="1:12" ht="24.9" x14ac:dyDescent="0.3">
      <c r="A14" s="7" t="s">
        <v>571</v>
      </c>
      <c r="B14" s="22">
        <f t="shared" si="0"/>
        <v>13</v>
      </c>
      <c r="C14" s="22" t="s">
        <v>519</v>
      </c>
      <c r="D14" s="22">
        <v>16</v>
      </c>
      <c r="E14" s="22">
        <v>1</v>
      </c>
      <c r="F14" s="22">
        <v>0</v>
      </c>
      <c r="G14" s="22" t="s">
        <v>48</v>
      </c>
      <c r="H14" s="7" t="s">
        <v>572</v>
      </c>
      <c r="I14" s="53" t="s">
        <v>44</v>
      </c>
      <c r="J14" s="54" t="s">
        <v>537</v>
      </c>
      <c r="K14" s="131" t="s">
        <v>158</v>
      </c>
      <c r="L14" s="139" t="s">
        <v>573</v>
      </c>
    </row>
    <row r="15" spans="1:12" ht="24.9" x14ac:dyDescent="0.3">
      <c r="A15" s="7" t="s">
        <v>574</v>
      </c>
      <c r="B15" s="22">
        <f t="shared" si="0"/>
        <v>14</v>
      </c>
      <c r="C15" s="22" t="s">
        <v>519</v>
      </c>
      <c r="D15" s="22">
        <v>16</v>
      </c>
      <c r="E15" s="22">
        <v>0.1</v>
      </c>
      <c r="F15" s="22">
        <v>-40</v>
      </c>
      <c r="G15" s="22" t="s">
        <v>567</v>
      </c>
      <c r="H15" s="7"/>
      <c r="I15" s="53" t="s">
        <v>44</v>
      </c>
      <c r="J15" s="54" t="s">
        <v>537</v>
      </c>
      <c r="K15" s="131" t="s">
        <v>158</v>
      </c>
      <c r="L15" s="139" t="s">
        <v>575</v>
      </c>
    </row>
    <row r="16" spans="1:12" ht="24.9" x14ac:dyDescent="0.3">
      <c r="A16" s="7" t="s">
        <v>576</v>
      </c>
      <c r="B16" s="22">
        <f t="shared" si="0"/>
        <v>15</v>
      </c>
      <c r="C16" s="22" t="s">
        <v>519</v>
      </c>
      <c r="D16" s="22">
        <v>16</v>
      </c>
      <c r="E16" s="22">
        <v>1</v>
      </c>
      <c r="F16" s="22">
        <v>0</v>
      </c>
      <c r="G16" s="22" t="s">
        <v>48</v>
      </c>
      <c r="H16" s="7" t="s">
        <v>569</v>
      </c>
      <c r="I16" s="53" t="s">
        <v>44</v>
      </c>
      <c r="J16" s="54" t="s">
        <v>537</v>
      </c>
      <c r="K16" s="131" t="s">
        <v>158</v>
      </c>
      <c r="L16" s="139" t="s">
        <v>577</v>
      </c>
    </row>
    <row r="17" spans="1:12" ht="24.9" x14ac:dyDescent="0.3">
      <c r="A17" s="7" t="s">
        <v>578</v>
      </c>
      <c r="B17" s="22">
        <f t="shared" si="0"/>
        <v>16</v>
      </c>
      <c r="C17" s="22" t="s">
        <v>519</v>
      </c>
      <c r="D17" s="22">
        <v>16</v>
      </c>
      <c r="E17" s="22">
        <v>1</v>
      </c>
      <c r="F17" s="22">
        <v>0</v>
      </c>
      <c r="G17" s="22" t="s">
        <v>48</v>
      </c>
      <c r="H17" s="7" t="s">
        <v>572</v>
      </c>
      <c r="I17" s="53" t="s">
        <v>44</v>
      </c>
      <c r="J17" s="54" t="s">
        <v>537</v>
      </c>
      <c r="K17" s="131" t="s">
        <v>158</v>
      </c>
      <c r="L17" s="139" t="s">
        <v>579</v>
      </c>
    </row>
    <row r="18" spans="1:12" ht="24.9" x14ac:dyDescent="0.3">
      <c r="A18" s="7" t="s">
        <v>580</v>
      </c>
      <c r="B18" s="22">
        <f t="shared" si="0"/>
        <v>17</v>
      </c>
      <c r="C18" s="63" t="s">
        <v>519</v>
      </c>
      <c r="D18" s="22">
        <v>32</v>
      </c>
      <c r="E18" s="22">
        <v>1</v>
      </c>
      <c r="F18" s="22">
        <v>0</v>
      </c>
      <c r="G18" s="22" t="s">
        <v>581</v>
      </c>
      <c r="H18" s="7"/>
      <c r="I18" s="53" t="s">
        <v>44</v>
      </c>
      <c r="J18" s="54" t="s">
        <v>537</v>
      </c>
      <c r="K18" s="131" t="s">
        <v>158</v>
      </c>
      <c r="L18" s="139" t="s">
        <v>582</v>
      </c>
    </row>
    <row r="19" spans="1:12" ht="24.9" x14ac:dyDescent="0.3">
      <c r="A19" s="7" t="s">
        <v>583</v>
      </c>
      <c r="B19" s="22">
        <f t="shared" si="0"/>
        <v>19</v>
      </c>
      <c r="C19" s="63" t="s">
        <v>519</v>
      </c>
      <c r="D19" s="22">
        <v>32</v>
      </c>
      <c r="E19" s="22">
        <v>1</v>
      </c>
      <c r="F19" s="22">
        <v>0</v>
      </c>
      <c r="G19" s="22" t="s">
        <v>581</v>
      </c>
      <c r="H19" s="7"/>
      <c r="I19" s="53" t="s">
        <v>44</v>
      </c>
      <c r="J19" s="54" t="s">
        <v>537</v>
      </c>
      <c r="K19" s="131" t="s">
        <v>158</v>
      </c>
      <c r="L19" s="139" t="s">
        <v>584</v>
      </c>
    </row>
    <row r="20" spans="1:12" ht="24.9" x14ac:dyDescent="0.3">
      <c r="A20" s="7" t="s">
        <v>585</v>
      </c>
      <c r="B20" s="22">
        <f t="shared" si="0"/>
        <v>21</v>
      </c>
      <c r="C20" s="22" t="s">
        <v>519</v>
      </c>
      <c r="D20" s="22">
        <v>16</v>
      </c>
      <c r="E20" s="22">
        <v>1</v>
      </c>
      <c r="F20" s="22">
        <v>0</v>
      </c>
      <c r="G20" s="22" t="s">
        <v>581</v>
      </c>
      <c r="H20" s="7" t="s">
        <v>586</v>
      </c>
      <c r="I20" s="53" t="s">
        <v>44</v>
      </c>
      <c r="J20" s="54" t="s">
        <v>537</v>
      </c>
      <c r="K20" s="131" t="s">
        <v>158</v>
      </c>
      <c r="L20" s="139" t="s">
        <v>587</v>
      </c>
    </row>
    <row r="21" spans="1:12" ht="24.9" x14ac:dyDescent="0.3">
      <c r="A21" s="7" t="s">
        <v>1088</v>
      </c>
      <c r="B21" s="22">
        <f t="shared" si="0"/>
        <v>22</v>
      </c>
      <c r="C21" s="22" t="s">
        <v>1086</v>
      </c>
      <c r="D21" s="22">
        <v>16</v>
      </c>
      <c r="E21" s="22">
        <v>1</v>
      </c>
      <c r="F21" s="22">
        <v>0</v>
      </c>
      <c r="G21" s="22" t="s">
        <v>581</v>
      </c>
      <c r="H21" s="7" t="s">
        <v>588</v>
      </c>
      <c r="I21" s="53" t="s">
        <v>44</v>
      </c>
      <c r="J21" s="54" t="s">
        <v>537</v>
      </c>
      <c r="K21" s="131" t="s">
        <v>158</v>
      </c>
      <c r="L21" s="139" t="s">
        <v>589</v>
      </c>
    </row>
    <row r="22" spans="1:12" ht="24.9" x14ac:dyDescent="0.3">
      <c r="A22" s="59" t="s">
        <v>162</v>
      </c>
      <c r="B22" s="114">
        <f t="shared" si="0"/>
        <v>23</v>
      </c>
      <c r="C22" s="30" t="s">
        <v>1086</v>
      </c>
      <c r="D22" s="30">
        <v>16</v>
      </c>
      <c r="E22" s="30"/>
      <c r="F22" s="30"/>
      <c r="G22" s="30"/>
      <c r="H22" s="57"/>
      <c r="I22" s="58" t="s">
        <v>44</v>
      </c>
      <c r="J22" s="58"/>
      <c r="K22" s="132"/>
      <c r="L22" s="140"/>
    </row>
    <row r="23" spans="1:12" ht="24.9" x14ac:dyDescent="0.3">
      <c r="A23" s="7" t="s">
        <v>590</v>
      </c>
      <c r="B23" s="22">
        <f t="shared" si="0"/>
        <v>24</v>
      </c>
      <c r="C23" s="22" t="s">
        <v>519</v>
      </c>
      <c r="D23" s="22">
        <v>16</v>
      </c>
      <c r="E23" s="22">
        <v>0.125</v>
      </c>
      <c r="F23" s="22">
        <v>0</v>
      </c>
      <c r="G23" s="22" t="s">
        <v>581</v>
      </c>
      <c r="H23" s="7"/>
      <c r="I23" s="53" t="s">
        <v>44</v>
      </c>
      <c r="J23" s="54" t="s">
        <v>537</v>
      </c>
      <c r="K23" s="131" t="s">
        <v>158</v>
      </c>
      <c r="L23" s="139" t="s">
        <v>591</v>
      </c>
    </row>
    <row r="24" spans="1:12" ht="24.9" x14ac:dyDescent="0.3">
      <c r="A24" s="7" t="s">
        <v>592</v>
      </c>
      <c r="B24" s="22">
        <f t="shared" si="0"/>
        <v>25</v>
      </c>
      <c r="C24" s="22" t="s">
        <v>519</v>
      </c>
      <c r="D24" s="22">
        <v>16</v>
      </c>
      <c r="E24" s="22">
        <v>0.125</v>
      </c>
      <c r="F24" s="22">
        <v>0</v>
      </c>
      <c r="G24" s="22" t="s">
        <v>581</v>
      </c>
      <c r="H24" s="7"/>
      <c r="I24" s="53" t="s">
        <v>44</v>
      </c>
      <c r="J24" s="54" t="s">
        <v>537</v>
      </c>
      <c r="K24" s="131" t="s">
        <v>158</v>
      </c>
      <c r="L24" s="139" t="s">
        <v>593</v>
      </c>
    </row>
    <row r="25" spans="1:12" ht="24.9" x14ac:dyDescent="0.3">
      <c r="A25" s="7" t="s">
        <v>594</v>
      </c>
      <c r="B25" s="22">
        <f t="shared" si="0"/>
        <v>26</v>
      </c>
      <c r="C25" s="22" t="s">
        <v>519</v>
      </c>
      <c r="D25" s="22">
        <v>16</v>
      </c>
      <c r="E25" s="22">
        <v>0.125</v>
      </c>
      <c r="F25" s="22">
        <v>0</v>
      </c>
      <c r="G25" s="22" t="s">
        <v>595</v>
      </c>
      <c r="H25" s="7" t="s">
        <v>596</v>
      </c>
      <c r="I25" s="53" t="s">
        <v>44</v>
      </c>
      <c r="J25" s="54" t="s">
        <v>537</v>
      </c>
      <c r="K25" s="131" t="s">
        <v>158</v>
      </c>
      <c r="L25" s="139" t="s">
        <v>597</v>
      </c>
    </row>
    <row r="26" spans="1:12" ht="24.9" x14ac:dyDescent="0.3">
      <c r="A26" s="7" t="s">
        <v>598</v>
      </c>
      <c r="B26" s="22">
        <f t="shared" si="0"/>
        <v>27</v>
      </c>
      <c r="C26" s="22" t="s">
        <v>519</v>
      </c>
      <c r="D26" s="22">
        <v>16</v>
      </c>
      <c r="E26" s="22">
        <v>0.125</v>
      </c>
      <c r="F26" s="22">
        <v>0</v>
      </c>
      <c r="G26" s="22" t="s">
        <v>595</v>
      </c>
      <c r="H26" s="7" t="s">
        <v>599</v>
      </c>
      <c r="I26" s="53" t="s">
        <v>44</v>
      </c>
      <c r="J26" s="54" t="s">
        <v>537</v>
      </c>
      <c r="K26" s="131" t="s">
        <v>158</v>
      </c>
      <c r="L26" s="139" t="s">
        <v>600</v>
      </c>
    </row>
    <row r="27" spans="1:12" ht="24.9" x14ac:dyDescent="0.3">
      <c r="A27" s="7" t="s">
        <v>601</v>
      </c>
      <c r="B27" s="22">
        <f t="shared" si="0"/>
        <v>28</v>
      </c>
      <c r="C27" s="22" t="s">
        <v>519</v>
      </c>
      <c r="D27" s="22">
        <v>16</v>
      </c>
      <c r="E27" s="22">
        <v>0.125</v>
      </c>
      <c r="F27" s="22">
        <v>0</v>
      </c>
      <c r="G27" s="22" t="s">
        <v>540</v>
      </c>
      <c r="H27" s="7" t="s">
        <v>602</v>
      </c>
      <c r="I27" s="53" t="s">
        <v>44</v>
      </c>
      <c r="J27" s="54" t="s">
        <v>537</v>
      </c>
      <c r="K27" s="131" t="s">
        <v>158</v>
      </c>
      <c r="L27" s="139" t="s">
        <v>603</v>
      </c>
    </row>
    <row r="28" spans="1:12" ht="24.9" x14ac:dyDescent="0.3">
      <c r="A28" s="7" t="s">
        <v>604</v>
      </c>
      <c r="B28" s="22">
        <f t="shared" si="0"/>
        <v>29</v>
      </c>
      <c r="C28" s="22" t="s">
        <v>519</v>
      </c>
      <c r="D28" s="22">
        <v>16</v>
      </c>
      <c r="E28" s="22">
        <v>0.125</v>
      </c>
      <c r="F28" s="22">
        <v>0</v>
      </c>
      <c r="G28" s="22" t="s">
        <v>540</v>
      </c>
      <c r="H28" s="7" t="s">
        <v>605</v>
      </c>
      <c r="I28" s="53" t="s">
        <v>44</v>
      </c>
      <c r="J28" s="54" t="s">
        <v>537</v>
      </c>
      <c r="K28" s="131" t="s">
        <v>158</v>
      </c>
      <c r="L28" s="139" t="s">
        <v>606</v>
      </c>
    </row>
    <row r="29" spans="1:12" ht="24.9" x14ac:dyDescent="0.3">
      <c r="A29" s="7" t="s">
        <v>607</v>
      </c>
      <c r="B29" s="22">
        <f t="shared" si="0"/>
        <v>30</v>
      </c>
      <c r="C29" s="22" t="s">
        <v>519</v>
      </c>
      <c r="D29" s="22">
        <v>16</v>
      </c>
      <c r="E29" s="22">
        <v>0.1</v>
      </c>
      <c r="F29" s="22">
        <v>-40</v>
      </c>
      <c r="G29" s="22" t="s">
        <v>567</v>
      </c>
      <c r="H29" s="7"/>
      <c r="I29" s="53" t="s">
        <v>44</v>
      </c>
      <c r="J29" s="54" t="s">
        <v>537</v>
      </c>
      <c r="K29" s="131" t="s">
        <v>158</v>
      </c>
      <c r="L29" s="139" t="s">
        <v>608</v>
      </c>
    </row>
    <row r="30" spans="1:12" ht="99.45" x14ac:dyDescent="0.3">
      <c r="A30" s="7" t="s">
        <v>609</v>
      </c>
      <c r="B30" s="22">
        <f t="shared" si="0"/>
        <v>31</v>
      </c>
      <c r="C30" s="22" t="s">
        <v>519</v>
      </c>
      <c r="D30" s="22">
        <v>16</v>
      </c>
      <c r="E30" s="22">
        <v>1</v>
      </c>
      <c r="F30" s="22">
        <v>0</v>
      </c>
      <c r="G30" s="22" t="s">
        <v>48</v>
      </c>
      <c r="H30" s="7" t="s">
        <v>610</v>
      </c>
      <c r="I30" s="53" t="s">
        <v>44</v>
      </c>
      <c r="J30" s="54" t="s">
        <v>537</v>
      </c>
      <c r="K30" s="131" t="s">
        <v>158</v>
      </c>
      <c r="L30" s="141" t="s">
        <v>611</v>
      </c>
    </row>
    <row r="31" spans="1:12" ht="74.599999999999994" x14ac:dyDescent="0.3">
      <c r="A31" s="7" t="s">
        <v>612</v>
      </c>
      <c r="B31" s="22">
        <f t="shared" si="0"/>
        <v>32</v>
      </c>
      <c r="C31" s="22" t="s">
        <v>519</v>
      </c>
      <c r="D31" s="22">
        <v>16</v>
      </c>
      <c r="E31" s="22">
        <v>1</v>
      </c>
      <c r="F31" s="22">
        <v>0</v>
      </c>
      <c r="G31" s="22" t="s">
        <v>48</v>
      </c>
      <c r="H31" s="7" t="s">
        <v>613</v>
      </c>
      <c r="I31" s="70" t="s">
        <v>44</v>
      </c>
      <c r="J31" s="60" t="s">
        <v>537</v>
      </c>
      <c r="K31" s="62" t="s">
        <v>158</v>
      </c>
      <c r="L31" s="141" t="s">
        <v>614</v>
      </c>
    </row>
    <row r="32" spans="1:12" ht="24.9" x14ac:dyDescent="0.3">
      <c r="A32" s="7" t="s">
        <v>615</v>
      </c>
      <c r="B32" s="22">
        <f t="shared" si="0"/>
        <v>33</v>
      </c>
      <c r="C32" s="22" t="s">
        <v>519</v>
      </c>
      <c r="D32" s="22">
        <v>16</v>
      </c>
      <c r="E32" s="22">
        <v>1</v>
      </c>
      <c r="F32" s="22">
        <v>0</v>
      </c>
      <c r="G32" s="22" t="s">
        <v>48</v>
      </c>
      <c r="H32" s="7" t="s">
        <v>616</v>
      </c>
      <c r="I32" s="70" t="s">
        <v>44</v>
      </c>
      <c r="J32" s="60" t="s">
        <v>537</v>
      </c>
      <c r="K32" s="62" t="s">
        <v>158</v>
      </c>
      <c r="L32" s="139" t="s">
        <v>617</v>
      </c>
    </row>
    <row r="33" spans="1:12" ht="24.9" x14ac:dyDescent="0.3">
      <c r="A33" s="7" t="s">
        <v>618</v>
      </c>
      <c r="B33" s="22">
        <f t="shared" si="0"/>
        <v>34</v>
      </c>
      <c r="C33" s="22" t="s">
        <v>519</v>
      </c>
      <c r="D33" s="22">
        <v>16</v>
      </c>
      <c r="E33" s="22">
        <v>1</v>
      </c>
      <c r="F33" s="22">
        <v>0</v>
      </c>
      <c r="G33" s="22" t="s">
        <v>48</v>
      </c>
      <c r="H33" s="7" t="s">
        <v>619</v>
      </c>
      <c r="I33" s="53" t="s">
        <v>44</v>
      </c>
      <c r="J33" s="54" t="s">
        <v>537</v>
      </c>
      <c r="K33" s="131" t="s">
        <v>158</v>
      </c>
      <c r="L33" s="139" t="s">
        <v>620</v>
      </c>
    </row>
    <row r="34" spans="1:12" ht="62.15" x14ac:dyDescent="0.3">
      <c r="A34" s="7" t="s">
        <v>621</v>
      </c>
      <c r="B34" s="22">
        <f t="shared" si="0"/>
        <v>35</v>
      </c>
      <c r="C34" s="22" t="s">
        <v>519</v>
      </c>
      <c r="D34" s="22">
        <v>16</v>
      </c>
      <c r="E34" s="22">
        <v>1</v>
      </c>
      <c r="F34" s="22">
        <v>0</v>
      </c>
      <c r="G34" s="22" t="s">
        <v>48</v>
      </c>
      <c r="H34" s="7" t="s">
        <v>1080</v>
      </c>
      <c r="I34" s="53" t="s">
        <v>44</v>
      </c>
      <c r="J34" s="54" t="s">
        <v>537</v>
      </c>
      <c r="K34" s="131" t="s">
        <v>158</v>
      </c>
      <c r="L34" s="139" t="s">
        <v>622</v>
      </c>
    </row>
    <row r="35" spans="1:12" ht="24.9" x14ac:dyDescent="0.3">
      <c r="A35" s="74" t="s">
        <v>623</v>
      </c>
      <c r="B35" s="22">
        <f t="shared" si="0"/>
        <v>36</v>
      </c>
      <c r="C35" s="63" t="s">
        <v>519</v>
      </c>
      <c r="D35" s="22">
        <v>16</v>
      </c>
      <c r="E35" s="22">
        <v>1</v>
      </c>
      <c r="F35" s="22">
        <v>0</v>
      </c>
      <c r="G35" s="22" t="s">
        <v>48</v>
      </c>
      <c r="H35" s="74" t="s">
        <v>624</v>
      </c>
      <c r="I35" s="53" t="s">
        <v>44</v>
      </c>
      <c r="J35" s="54" t="s">
        <v>537</v>
      </c>
      <c r="K35" s="131" t="s">
        <v>158</v>
      </c>
      <c r="L35" s="139" t="s">
        <v>625</v>
      </c>
    </row>
    <row r="36" spans="1:12" ht="87" x14ac:dyDescent="0.3">
      <c r="A36" s="74" t="s">
        <v>626</v>
      </c>
      <c r="B36" s="22">
        <f t="shared" si="0"/>
        <v>37</v>
      </c>
      <c r="C36" s="63" t="s">
        <v>519</v>
      </c>
      <c r="D36" s="22">
        <v>16</v>
      </c>
      <c r="E36" s="22">
        <v>1</v>
      </c>
      <c r="F36" s="22">
        <v>0</v>
      </c>
      <c r="G36" s="22" t="s">
        <v>48</v>
      </c>
      <c r="H36" s="74" t="s">
        <v>627</v>
      </c>
      <c r="I36" s="53" t="s">
        <v>44</v>
      </c>
      <c r="J36" s="54" t="s">
        <v>537</v>
      </c>
      <c r="K36" s="131" t="s">
        <v>158</v>
      </c>
      <c r="L36" s="141" t="s">
        <v>628</v>
      </c>
    </row>
    <row r="37" spans="1:12" ht="74.599999999999994" x14ac:dyDescent="0.3">
      <c r="A37" s="173" t="s">
        <v>629</v>
      </c>
      <c r="B37" s="22">
        <f t="shared" si="0"/>
        <v>38</v>
      </c>
      <c r="C37" s="63" t="s">
        <v>519</v>
      </c>
      <c r="D37" s="22">
        <v>16</v>
      </c>
      <c r="E37" s="22">
        <v>1</v>
      </c>
      <c r="F37" s="22">
        <v>0</v>
      </c>
      <c r="G37" s="22" t="s">
        <v>48</v>
      </c>
      <c r="H37" s="7" t="s">
        <v>630</v>
      </c>
      <c r="I37" s="64" t="s">
        <v>44</v>
      </c>
      <c r="J37" s="65" t="s">
        <v>537</v>
      </c>
      <c r="K37" s="133" t="s">
        <v>158</v>
      </c>
      <c r="L37" s="142"/>
    </row>
    <row r="38" spans="1:12" ht="24.9" x14ac:dyDescent="0.3">
      <c r="A38" s="59" t="s">
        <v>162</v>
      </c>
      <c r="B38" s="56" t="s">
        <v>631</v>
      </c>
      <c r="C38" s="30"/>
      <c r="D38" s="30"/>
      <c r="E38" s="30"/>
      <c r="F38" s="30"/>
      <c r="G38" s="30"/>
      <c r="H38" s="57"/>
      <c r="I38" s="58" t="s">
        <v>44</v>
      </c>
      <c r="J38" s="58"/>
      <c r="K38" s="132"/>
      <c r="L38" s="140"/>
    </row>
    <row r="39" spans="1:12" ht="74.599999999999994" x14ac:dyDescent="0.3">
      <c r="A39" s="7" t="s">
        <v>991</v>
      </c>
      <c r="B39" s="61" t="s">
        <v>632</v>
      </c>
      <c r="C39" s="22" t="s">
        <v>519</v>
      </c>
      <c r="D39" s="22">
        <v>16</v>
      </c>
      <c r="E39" s="22">
        <v>1</v>
      </c>
      <c r="F39" s="22">
        <v>0</v>
      </c>
      <c r="G39" s="22" t="s">
        <v>48</v>
      </c>
      <c r="H39" s="7" t="s">
        <v>613</v>
      </c>
      <c r="I39" s="54" t="s">
        <v>263</v>
      </c>
      <c r="J39" s="54" t="s">
        <v>537</v>
      </c>
      <c r="K39" s="131" t="s">
        <v>633</v>
      </c>
      <c r="L39" s="141" t="s">
        <v>742</v>
      </c>
    </row>
    <row r="40" spans="1:12" ht="37.299999999999997" x14ac:dyDescent="0.3">
      <c r="A40" s="79" t="s">
        <v>992</v>
      </c>
      <c r="B40" s="61" t="s">
        <v>634</v>
      </c>
      <c r="C40" s="63" t="s">
        <v>519</v>
      </c>
      <c r="D40" s="22">
        <v>16</v>
      </c>
      <c r="E40" s="22">
        <v>1</v>
      </c>
      <c r="F40" s="22">
        <v>0</v>
      </c>
      <c r="G40" s="75" t="s">
        <v>48</v>
      </c>
      <c r="H40" s="7" t="s">
        <v>635</v>
      </c>
      <c r="I40" s="54" t="s">
        <v>263</v>
      </c>
      <c r="J40" s="54" t="s">
        <v>537</v>
      </c>
      <c r="K40" s="131" t="s">
        <v>633</v>
      </c>
      <c r="L40" s="141" t="s">
        <v>636</v>
      </c>
    </row>
    <row r="41" spans="1:12" ht="24.9" x14ac:dyDescent="0.3">
      <c r="A41" s="7" t="s">
        <v>993</v>
      </c>
      <c r="B41" s="61" t="s">
        <v>637</v>
      </c>
      <c r="C41" s="22" t="s">
        <v>519</v>
      </c>
      <c r="D41" s="22">
        <v>16</v>
      </c>
      <c r="E41" s="22">
        <v>0.125</v>
      </c>
      <c r="F41" s="22">
        <v>0</v>
      </c>
      <c r="G41" s="22" t="s">
        <v>595</v>
      </c>
      <c r="H41" s="7"/>
      <c r="I41" s="60" t="s">
        <v>263</v>
      </c>
      <c r="J41" s="60" t="s">
        <v>537</v>
      </c>
      <c r="K41" s="62" t="s">
        <v>633</v>
      </c>
      <c r="L41" s="141" t="s">
        <v>638</v>
      </c>
    </row>
    <row r="42" spans="1:12" ht="24.9" x14ac:dyDescent="0.3">
      <c r="A42" s="7" t="s">
        <v>994</v>
      </c>
      <c r="B42" s="61" t="s">
        <v>639</v>
      </c>
      <c r="C42" s="22" t="s">
        <v>519</v>
      </c>
      <c r="D42" s="22">
        <v>16</v>
      </c>
      <c r="E42" s="22">
        <v>0.125</v>
      </c>
      <c r="F42" s="22">
        <v>0</v>
      </c>
      <c r="G42" s="22" t="s">
        <v>595</v>
      </c>
      <c r="H42" s="7"/>
      <c r="I42" s="60" t="s">
        <v>263</v>
      </c>
      <c r="J42" s="60" t="s">
        <v>537</v>
      </c>
      <c r="K42" s="62" t="s">
        <v>633</v>
      </c>
      <c r="L42" s="141" t="s">
        <v>640</v>
      </c>
    </row>
    <row r="43" spans="1:12" ht="24.9" x14ac:dyDescent="0.3">
      <c r="A43" s="7" t="s">
        <v>995</v>
      </c>
      <c r="B43" s="61" t="s">
        <v>641</v>
      </c>
      <c r="C43" s="22" t="s">
        <v>519</v>
      </c>
      <c r="D43" s="22">
        <v>16</v>
      </c>
      <c r="E43" s="22">
        <v>0.125</v>
      </c>
      <c r="F43" s="22">
        <v>0</v>
      </c>
      <c r="G43" s="22" t="s">
        <v>540</v>
      </c>
      <c r="H43" s="7"/>
      <c r="I43" s="60" t="s">
        <v>263</v>
      </c>
      <c r="J43" s="60" t="s">
        <v>537</v>
      </c>
      <c r="K43" s="62" t="s">
        <v>633</v>
      </c>
      <c r="L43" s="141" t="s">
        <v>642</v>
      </c>
    </row>
    <row r="44" spans="1:12" ht="24.9" x14ac:dyDescent="0.3">
      <c r="A44" s="7" t="s">
        <v>996</v>
      </c>
      <c r="B44" s="61" t="s">
        <v>643</v>
      </c>
      <c r="C44" s="22" t="s">
        <v>519</v>
      </c>
      <c r="D44" s="22">
        <v>16</v>
      </c>
      <c r="E44" s="22">
        <v>0.125</v>
      </c>
      <c r="F44" s="22">
        <v>0</v>
      </c>
      <c r="G44" s="22" t="s">
        <v>540</v>
      </c>
      <c r="H44" s="7"/>
      <c r="I44" s="60" t="s">
        <v>263</v>
      </c>
      <c r="J44" s="60" t="s">
        <v>537</v>
      </c>
      <c r="K44" s="62" t="s">
        <v>633</v>
      </c>
      <c r="L44" s="141" t="s">
        <v>644</v>
      </c>
    </row>
    <row r="45" spans="1:12" ht="24.9" x14ac:dyDescent="0.3">
      <c r="A45" s="7" t="s">
        <v>997</v>
      </c>
      <c r="B45" s="61" t="s">
        <v>645</v>
      </c>
      <c r="C45" s="22" t="s">
        <v>519</v>
      </c>
      <c r="D45" s="22">
        <v>16</v>
      </c>
      <c r="E45" s="22">
        <v>0.5</v>
      </c>
      <c r="F45" s="22">
        <v>0</v>
      </c>
      <c r="G45" s="22" t="s">
        <v>536</v>
      </c>
      <c r="H45" s="7"/>
      <c r="I45" s="60" t="s">
        <v>263</v>
      </c>
      <c r="J45" s="60" t="s">
        <v>537</v>
      </c>
      <c r="K45" s="62" t="s">
        <v>633</v>
      </c>
      <c r="L45" s="141" t="s">
        <v>646</v>
      </c>
    </row>
    <row r="46" spans="1:12" ht="24.9" x14ac:dyDescent="0.3">
      <c r="A46" s="7" t="s">
        <v>998</v>
      </c>
      <c r="B46" s="61" t="s">
        <v>647</v>
      </c>
      <c r="C46" s="22" t="s">
        <v>519</v>
      </c>
      <c r="D46" s="22">
        <v>16</v>
      </c>
      <c r="E46" s="22">
        <v>0.125</v>
      </c>
      <c r="F46" s="22">
        <v>-2000</v>
      </c>
      <c r="G46" s="22" t="s">
        <v>540</v>
      </c>
      <c r="H46" s="7"/>
      <c r="I46" s="60" t="s">
        <v>263</v>
      </c>
      <c r="J46" s="60" t="s">
        <v>537</v>
      </c>
      <c r="K46" s="62" t="s">
        <v>633</v>
      </c>
      <c r="L46" s="141" t="s">
        <v>648</v>
      </c>
    </row>
    <row r="47" spans="1:12" ht="24.9" x14ac:dyDescent="0.3">
      <c r="A47" s="7" t="s">
        <v>999</v>
      </c>
      <c r="B47" s="61" t="s">
        <v>649</v>
      </c>
      <c r="C47" s="22" t="s">
        <v>519</v>
      </c>
      <c r="D47" s="22">
        <v>16</v>
      </c>
      <c r="E47" s="22">
        <v>0.5</v>
      </c>
      <c r="F47" s="22">
        <v>0</v>
      </c>
      <c r="G47" s="22" t="s">
        <v>543</v>
      </c>
      <c r="H47" s="7"/>
      <c r="I47" s="60" t="s">
        <v>263</v>
      </c>
      <c r="J47" s="60" t="s">
        <v>537</v>
      </c>
      <c r="K47" s="62" t="s">
        <v>633</v>
      </c>
      <c r="L47" s="141" t="s">
        <v>741</v>
      </c>
    </row>
    <row r="48" spans="1:12" ht="24.9" x14ac:dyDescent="0.3">
      <c r="A48" s="7" t="s">
        <v>1000</v>
      </c>
      <c r="B48" s="61" t="s">
        <v>650</v>
      </c>
      <c r="C48" s="22" t="s">
        <v>519</v>
      </c>
      <c r="D48" s="22">
        <v>16</v>
      </c>
      <c r="E48" s="22">
        <v>1</v>
      </c>
      <c r="F48" s="22">
        <v>0</v>
      </c>
      <c r="G48" s="22" t="s">
        <v>543</v>
      </c>
      <c r="H48" s="7"/>
      <c r="I48" s="60" t="s">
        <v>263</v>
      </c>
      <c r="J48" s="60" t="s">
        <v>537</v>
      </c>
      <c r="K48" s="62" t="s">
        <v>633</v>
      </c>
      <c r="L48" s="141" t="s">
        <v>651</v>
      </c>
    </row>
    <row r="49" spans="1:12" ht="24.9" x14ac:dyDescent="0.3">
      <c r="A49" s="7" t="s">
        <v>1001</v>
      </c>
      <c r="B49" s="61" t="s">
        <v>652</v>
      </c>
      <c r="C49" s="22" t="s">
        <v>519</v>
      </c>
      <c r="D49" s="22">
        <v>16</v>
      </c>
      <c r="E49" s="22">
        <v>1</v>
      </c>
      <c r="F49" s="22">
        <v>0</v>
      </c>
      <c r="G49" s="22" t="s">
        <v>653</v>
      </c>
      <c r="H49" s="7"/>
      <c r="I49" s="60" t="s">
        <v>263</v>
      </c>
      <c r="J49" s="60" t="s">
        <v>537</v>
      </c>
      <c r="K49" s="62" t="s">
        <v>633</v>
      </c>
      <c r="L49" s="141" t="s">
        <v>654</v>
      </c>
    </row>
    <row r="50" spans="1:12" ht="24.9" x14ac:dyDescent="0.3">
      <c r="A50" s="7" t="s">
        <v>1002</v>
      </c>
      <c r="B50" s="61" t="s">
        <v>655</v>
      </c>
      <c r="C50" s="22" t="s">
        <v>519</v>
      </c>
      <c r="D50" s="22">
        <v>16</v>
      </c>
      <c r="E50" s="22">
        <v>1</v>
      </c>
      <c r="F50" s="22">
        <v>0</v>
      </c>
      <c r="G50" s="22" t="s">
        <v>550</v>
      </c>
      <c r="H50" s="7"/>
      <c r="I50" s="60" t="s">
        <v>263</v>
      </c>
      <c r="J50" s="60" t="s">
        <v>537</v>
      </c>
      <c r="K50" s="62" t="s">
        <v>633</v>
      </c>
      <c r="L50" s="141" t="s">
        <v>656</v>
      </c>
    </row>
    <row r="51" spans="1:12" ht="24.9" x14ac:dyDescent="0.3">
      <c r="A51" s="7" t="s">
        <v>1003</v>
      </c>
      <c r="B51" s="61" t="s">
        <v>657</v>
      </c>
      <c r="C51" s="22" t="s">
        <v>519</v>
      </c>
      <c r="D51" s="22">
        <v>16</v>
      </c>
      <c r="E51" s="22">
        <v>0.1</v>
      </c>
      <c r="F51" s="22">
        <v>-40</v>
      </c>
      <c r="G51" s="22" t="s">
        <v>567</v>
      </c>
      <c r="H51" s="7"/>
      <c r="I51" s="60" t="s">
        <v>263</v>
      </c>
      <c r="J51" s="60" t="s">
        <v>537</v>
      </c>
      <c r="K51" s="62" t="s">
        <v>633</v>
      </c>
      <c r="L51" s="141" t="s">
        <v>658</v>
      </c>
    </row>
    <row r="52" spans="1:12" ht="24.9" x14ac:dyDescent="0.3">
      <c r="A52" s="7" t="s">
        <v>1004</v>
      </c>
      <c r="B52" s="61" t="s">
        <v>659</v>
      </c>
      <c r="C52" s="22" t="s">
        <v>519</v>
      </c>
      <c r="D52" s="22">
        <v>16</v>
      </c>
      <c r="E52" s="22">
        <v>1</v>
      </c>
      <c r="F52" s="22">
        <v>0</v>
      </c>
      <c r="G52" s="22" t="s">
        <v>550</v>
      </c>
      <c r="H52" s="7"/>
      <c r="I52" s="60" t="s">
        <v>263</v>
      </c>
      <c r="J52" s="60" t="s">
        <v>537</v>
      </c>
      <c r="K52" s="62" t="s">
        <v>633</v>
      </c>
      <c r="L52" s="141" t="s">
        <v>660</v>
      </c>
    </row>
    <row r="53" spans="1:12" ht="24.9" x14ac:dyDescent="0.3">
      <c r="A53" s="7" t="s">
        <v>1005</v>
      </c>
      <c r="B53" s="61" t="s">
        <v>661</v>
      </c>
      <c r="C53" s="22" t="s">
        <v>519</v>
      </c>
      <c r="D53" s="22">
        <v>16</v>
      </c>
      <c r="E53" s="22">
        <v>1</v>
      </c>
      <c r="F53" s="22">
        <v>0</v>
      </c>
      <c r="G53" s="22" t="s">
        <v>48</v>
      </c>
      <c r="H53" s="7"/>
      <c r="I53" s="60" t="s">
        <v>263</v>
      </c>
      <c r="J53" s="60" t="s">
        <v>537</v>
      </c>
      <c r="K53" s="62" t="s">
        <v>633</v>
      </c>
      <c r="L53" s="141" t="s">
        <v>662</v>
      </c>
    </row>
    <row r="54" spans="1:12" ht="24.9" x14ac:dyDescent="0.3">
      <c r="A54" s="27" t="s">
        <v>1006</v>
      </c>
      <c r="B54" s="61" t="s">
        <v>663</v>
      </c>
      <c r="C54" s="22" t="s">
        <v>519</v>
      </c>
      <c r="D54" s="22">
        <v>16</v>
      </c>
      <c r="E54" s="22">
        <v>1</v>
      </c>
      <c r="F54" s="22">
        <v>0</v>
      </c>
      <c r="G54" s="22" t="s">
        <v>550</v>
      </c>
      <c r="H54" s="7"/>
      <c r="I54" s="60" t="s">
        <v>263</v>
      </c>
      <c r="J54" s="60" t="s">
        <v>537</v>
      </c>
      <c r="K54" s="62" t="s">
        <v>633</v>
      </c>
      <c r="L54" s="141" t="s">
        <v>664</v>
      </c>
    </row>
    <row r="55" spans="1:12" ht="24.9" x14ac:dyDescent="0.3">
      <c r="A55" s="27" t="s">
        <v>1007</v>
      </c>
      <c r="B55" s="61" t="s">
        <v>665</v>
      </c>
      <c r="C55" s="22" t="s">
        <v>519</v>
      </c>
      <c r="D55" s="22">
        <v>16</v>
      </c>
      <c r="E55" s="22">
        <v>1</v>
      </c>
      <c r="F55" s="22">
        <v>0</v>
      </c>
      <c r="G55" s="22" t="s">
        <v>48</v>
      </c>
      <c r="H55" s="7"/>
      <c r="I55" s="60" t="s">
        <v>263</v>
      </c>
      <c r="J55" s="60" t="s">
        <v>537</v>
      </c>
      <c r="K55" s="62" t="s">
        <v>633</v>
      </c>
      <c r="L55" s="141" t="s">
        <v>666</v>
      </c>
    </row>
    <row r="56" spans="1:12" ht="24.9" x14ac:dyDescent="0.3">
      <c r="A56" s="27" t="s">
        <v>1008</v>
      </c>
      <c r="B56" s="61" t="s">
        <v>667</v>
      </c>
      <c r="C56" s="22" t="s">
        <v>519</v>
      </c>
      <c r="D56" s="22">
        <v>16</v>
      </c>
      <c r="E56" s="22">
        <v>0.1</v>
      </c>
      <c r="F56" s="22">
        <v>-40</v>
      </c>
      <c r="G56" s="22" t="s">
        <v>567</v>
      </c>
      <c r="H56" s="7"/>
      <c r="I56" s="60" t="s">
        <v>263</v>
      </c>
      <c r="J56" s="60" t="s">
        <v>537</v>
      </c>
      <c r="K56" s="62" t="s">
        <v>633</v>
      </c>
      <c r="L56" s="141" t="s">
        <v>668</v>
      </c>
    </row>
    <row r="57" spans="1:12" ht="24.9" x14ac:dyDescent="0.3">
      <c r="A57" s="27" t="s">
        <v>1009</v>
      </c>
      <c r="B57" s="61" t="s">
        <v>669</v>
      </c>
      <c r="C57" s="22" t="s">
        <v>519</v>
      </c>
      <c r="D57" s="22">
        <v>16</v>
      </c>
      <c r="E57" s="22">
        <v>1</v>
      </c>
      <c r="F57" s="22">
        <v>0</v>
      </c>
      <c r="G57" s="22" t="s">
        <v>48</v>
      </c>
      <c r="H57" s="7"/>
      <c r="I57" s="60" t="s">
        <v>263</v>
      </c>
      <c r="J57" s="60" t="s">
        <v>537</v>
      </c>
      <c r="K57" s="62" t="s">
        <v>633</v>
      </c>
      <c r="L57" s="141" t="s">
        <v>670</v>
      </c>
    </row>
    <row r="58" spans="1:12" ht="24.9" x14ac:dyDescent="0.3">
      <c r="A58" s="27" t="s">
        <v>1010</v>
      </c>
      <c r="B58" s="61" t="s">
        <v>671</v>
      </c>
      <c r="C58" s="22" t="s">
        <v>519</v>
      </c>
      <c r="D58" s="22">
        <v>16</v>
      </c>
      <c r="E58" s="22">
        <v>0.1</v>
      </c>
      <c r="F58" s="22">
        <v>-40</v>
      </c>
      <c r="G58" s="22" t="s">
        <v>567</v>
      </c>
      <c r="H58" s="7"/>
      <c r="I58" s="60" t="s">
        <v>263</v>
      </c>
      <c r="J58" s="60" t="s">
        <v>537</v>
      </c>
      <c r="K58" s="62" t="s">
        <v>633</v>
      </c>
      <c r="L58" s="141" t="s">
        <v>740</v>
      </c>
    </row>
    <row r="59" spans="1:12" ht="24.9" x14ac:dyDescent="0.3">
      <c r="A59" s="27" t="s">
        <v>1011</v>
      </c>
      <c r="B59" s="61" t="s">
        <v>672</v>
      </c>
      <c r="C59" s="22" t="s">
        <v>519</v>
      </c>
      <c r="D59" s="22">
        <v>16</v>
      </c>
      <c r="E59" s="22">
        <v>1</v>
      </c>
      <c r="F59" s="22">
        <v>0</v>
      </c>
      <c r="G59" s="22" t="s">
        <v>48</v>
      </c>
      <c r="H59" s="7"/>
      <c r="I59" s="60" t="s">
        <v>263</v>
      </c>
      <c r="J59" s="60" t="s">
        <v>537</v>
      </c>
      <c r="K59" s="62" t="s">
        <v>633</v>
      </c>
      <c r="L59" s="141" t="s">
        <v>673</v>
      </c>
    </row>
    <row r="60" spans="1:12" ht="24.9" x14ac:dyDescent="0.3">
      <c r="A60" s="27" t="s">
        <v>1012</v>
      </c>
      <c r="B60" s="61" t="s">
        <v>674</v>
      </c>
      <c r="C60" s="22" t="s">
        <v>519</v>
      </c>
      <c r="D60" s="22">
        <v>16</v>
      </c>
      <c r="E60" s="22">
        <v>0.01</v>
      </c>
      <c r="F60" s="22">
        <v>0</v>
      </c>
      <c r="G60" s="22" t="s">
        <v>543</v>
      </c>
      <c r="H60" s="7"/>
      <c r="I60" s="60" t="s">
        <v>263</v>
      </c>
      <c r="J60" s="60" t="s">
        <v>537</v>
      </c>
      <c r="K60" s="62" t="s">
        <v>633</v>
      </c>
      <c r="L60" s="141" t="s">
        <v>675</v>
      </c>
    </row>
    <row r="61" spans="1:12" ht="24.9" x14ac:dyDescent="0.3">
      <c r="A61" s="27" t="s">
        <v>1013</v>
      </c>
      <c r="B61" s="61" t="s">
        <v>676</v>
      </c>
      <c r="C61" s="22" t="s">
        <v>519</v>
      </c>
      <c r="D61" s="22">
        <v>16</v>
      </c>
      <c r="E61" s="22">
        <v>1</v>
      </c>
      <c r="F61" s="22">
        <v>0</v>
      </c>
      <c r="G61" s="22" t="s">
        <v>48</v>
      </c>
      <c r="H61" s="7"/>
      <c r="I61" s="60" t="s">
        <v>263</v>
      </c>
      <c r="J61" s="60" t="s">
        <v>537</v>
      </c>
      <c r="K61" s="62" t="s">
        <v>633</v>
      </c>
      <c r="L61" s="143" t="s">
        <v>662</v>
      </c>
    </row>
    <row r="62" spans="1:12" ht="24.9" x14ac:dyDescent="0.3">
      <c r="A62" s="27" t="s">
        <v>1014</v>
      </c>
      <c r="B62" s="61" t="s">
        <v>677</v>
      </c>
      <c r="C62" s="22" t="s">
        <v>519</v>
      </c>
      <c r="D62" s="22">
        <v>16</v>
      </c>
      <c r="E62" s="22">
        <v>0.01</v>
      </c>
      <c r="F62" s="22">
        <v>0</v>
      </c>
      <c r="G62" s="22" t="s">
        <v>543</v>
      </c>
      <c r="H62" s="7"/>
      <c r="I62" s="60" t="s">
        <v>263</v>
      </c>
      <c r="J62" s="60" t="s">
        <v>537</v>
      </c>
      <c r="K62" s="62" t="s">
        <v>633</v>
      </c>
      <c r="L62" s="141" t="s">
        <v>678</v>
      </c>
    </row>
    <row r="63" spans="1:12" ht="24.9" x14ac:dyDescent="0.3">
      <c r="A63" s="27" t="s">
        <v>1015</v>
      </c>
      <c r="B63" s="61" t="s">
        <v>679</v>
      </c>
      <c r="C63" s="22" t="s">
        <v>519</v>
      </c>
      <c r="D63" s="22">
        <v>16</v>
      </c>
      <c r="E63" s="22">
        <v>1</v>
      </c>
      <c r="F63" s="22">
        <v>0</v>
      </c>
      <c r="G63" s="22" t="s">
        <v>48</v>
      </c>
      <c r="H63" s="7"/>
      <c r="I63" s="60" t="s">
        <v>263</v>
      </c>
      <c r="J63" s="60" t="s">
        <v>537</v>
      </c>
      <c r="K63" s="62" t="s">
        <v>633</v>
      </c>
      <c r="L63" s="143" t="s">
        <v>666</v>
      </c>
    </row>
    <row r="64" spans="1:12" ht="24.9" x14ac:dyDescent="0.3">
      <c r="A64" s="27" t="s">
        <v>1016</v>
      </c>
      <c r="B64" s="61" t="s">
        <v>680</v>
      </c>
      <c r="C64" s="22" t="s">
        <v>519</v>
      </c>
      <c r="D64" s="22">
        <v>16</v>
      </c>
      <c r="E64" s="22">
        <v>0.1</v>
      </c>
      <c r="F64" s="22">
        <v>-40</v>
      </c>
      <c r="G64" s="22" t="s">
        <v>567</v>
      </c>
      <c r="H64" s="7"/>
      <c r="I64" s="60" t="s">
        <v>263</v>
      </c>
      <c r="J64" s="60" t="s">
        <v>537</v>
      </c>
      <c r="K64" s="62" t="s">
        <v>633</v>
      </c>
      <c r="L64" s="139" t="s">
        <v>1081</v>
      </c>
    </row>
    <row r="65" spans="1:12" ht="24.9" x14ac:dyDescent="0.3">
      <c r="A65" s="27" t="s">
        <v>1017</v>
      </c>
      <c r="B65" s="61" t="s">
        <v>681</v>
      </c>
      <c r="C65" s="22" t="s">
        <v>519</v>
      </c>
      <c r="D65" s="22">
        <v>16</v>
      </c>
      <c r="E65" s="22">
        <v>1</v>
      </c>
      <c r="F65" s="22">
        <v>0</v>
      </c>
      <c r="G65" s="22" t="s">
        <v>48</v>
      </c>
      <c r="H65" s="7"/>
      <c r="I65" s="60" t="s">
        <v>263</v>
      </c>
      <c r="J65" s="60" t="s">
        <v>537</v>
      </c>
      <c r="K65" s="62" t="s">
        <v>633</v>
      </c>
      <c r="L65" s="139" t="s">
        <v>682</v>
      </c>
    </row>
    <row r="66" spans="1:12" ht="24.9" x14ac:dyDescent="0.3">
      <c r="A66" s="27" t="s">
        <v>1018</v>
      </c>
      <c r="B66" s="61" t="s">
        <v>683</v>
      </c>
      <c r="C66" s="22" t="s">
        <v>519</v>
      </c>
      <c r="D66" s="22">
        <v>16</v>
      </c>
      <c r="E66" s="22">
        <v>0.1</v>
      </c>
      <c r="F66" s="22">
        <v>-40</v>
      </c>
      <c r="G66" s="22" t="s">
        <v>567</v>
      </c>
      <c r="H66" s="7"/>
      <c r="I66" s="60" t="s">
        <v>263</v>
      </c>
      <c r="J66" s="60" t="s">
        <v>537</v>
      </c>
      <c r="K66" s="62" t="s">
        <v>633</v>
      </c>
      <c r="L66" s="139" t="s">
        <v>1082</v>
      </c>
    </row>
    <row r="67" spans="1:12" ht="24.9" x14ac:dyDescent="0.3">
      <c r="A67" s="27" t="s">
        <v>1019</v>
      </c>
      <c r="B67" s="61" t="s">
        <v>684</v>
      </c>
      <c r="C67" s="22" t="s">
        <v>519</v>
      </c>
      <c r="D67" s="22">
        <v>16</v>
      </c>
      <c r="E67" s="22">
        <v>1</v>
      </c>
      <c r="F67" s="22">
        <v>0</v>
      </c>
      <c r="G67" s="22" t="s">
        <v>48</v>
      </c>
      <c r="H67" s="7"/>
      <c r="I67" s="54" t="s">
        <v>263</v>
      </c>
      <c r="J67" s="54" t="s">
        <v>537</v>
      </c>
      <c r="K67" s="131" t="s">
        <v>633</v>
      </c>
      <c r="L67" s="139" t="s">
        <v>685</v>
      </c>
    </row>
    <row r="68" spans="1:12" ht="36.9" customHeight="1" x14ac:dyDescent="0.3">
      <c r="A68" s="27" t="s">
        <v>1020</v>
      </c>
      <c r="B68" s="61" t="s">
        <v>686</v>
      </c>
      <c r="C68" s="22" t="s">
        <v>519</v>
      </c>
      <c r="D68" s="22">
        <v>16</v>
      </c>
      <c r="E68" s="22">
        <v>1</v>
      </c>
      <c r="F68" s="22">
        <v>0</v>
      </c>
      <c r="G68" s="22" t="s">
        <v>48</v>
      </c>
      <c r="H68" s="7"/>
      <c r="I68" s="54" t="s">
        <v>263</v>
      </c>
      <c r="J68" s="54" t="s">
        <v>537</v>
      </c>
      <c r="K68" s="131" t="s">
        <v>633</v>
      </c>
      <c r="L68" s="139" t="s">
        <v>687</v>
      </c>
    </row>
    <row r="69" spans="1:12" ht="36.9" customHeight="1" x14ac:dyDescent="0.3">
      <c r="A69" s="27" t="s">
        <v>1021</v>
      </c>
      <c r="B69" s="61" t="s">
        <v>688</v>
      </c>
      <c r="C69" s="22" t="s">
        <v>519</v>
      </c>
      <c r="D69" s="22">
        <v>16</v>
      </c>
      <c r="E69" s="22">
        <v>1</v>
      </c>
      <c r="F69" s="22">
        <v>0</v>
      </c>
      <c r="G69" s="22" t="s">
        <v>48</v>
      </c>
      <c r="H69" s="7"/>
      <c r="I69" s="54" t="s">
        <v>263</v>
      </c>
      <c r="J69" s="54" t="s">
        <v>537</v>
      </c>
      <c r="K69" s="131" t="s">
        <v>633</v>
      </c>
      <c r="L69" s="139" t="s">
        <v>689</v>
      </c>
    </row>
    <row r="70" spans="1:12" ht="24.9" x14ac:dyDescent="0.3">
      <c r="A70" s="27" t="s">
        <v>1022</v>
      </c>
      <c r="B70" s="61" t="s">
        <v>690</v>
      </c>
      <c r="C70" s="22" t="s">
        <v>519</v>
      </c>
      <c r="D70" s="22">
        <v>16</v>
      </c>
      <c r="E70" s="22">
        <v>0.1</v>
      </c>
      <c r="F70" s="22">
        <v>-40</v>
      </c>
      <c r="G70" s="22" t="s">
        <v>567</v>
      </c>
      <c r="H70" s="7"/>
      <c r="I70" s="54" t="s">
        <v>263</v>
      </c>
      <c r="J70" s="54" t="s">
        <v>537</v>
      </c>
      <c r="K70" s="131" t="s">
        <v>633</v>
      </c>
      <c r="L70" s="139" t="s">
        <v>1083</v>
      </c>
    </row>
    <row r="71" spans="1:12" ht="24.9" x14ac:dyDescent="0.3">
      <c r="A71" s="27" t="s">
        <v>1023</v>
      </c>
      <c r="B71" s="61" t="s">
        <v>691</v>
      </c>
      <c r="C71" s="22" t="s">
        <v>519</v>
      </c>
      <c r="D71" s="22">
        <v>32</v>
      </c>
      <c r="E71" s="22">
        <v>1</v>
      </c>
      <c r="F71" s="22">
        <v>0</v>
      </c>
      <c r="G71" s="22" t="s">
        <v>581</v>
      </c>
      <c r="H71" s="7"/>
      <c r="I71" s="54" t="s">
        <v>263</v>
      </c>
      <c r="J71" s="54" t="s">
        <v>537</v>
      </c>
      <c r="K71" s="131" t="s">
        <v>633</v>
      </c>
      <c r="L71" s="141" t="s">
        <v>692</v>
      </c>
    </row>
    <row r="72" spans="1:12" ht="24.9" x14ac:dyDescent="0.3">
      <c r="A72" s="27" t="s">
        <v>1024</v>
      </c>
      <c r="B72" s="61" t="s">
        <v>693</v>
      </c>
      <c r="C72" s="22" t="s">
        <v>519</v>
      </c>
      <c r="D72" s="22">
        <v>32</v>
      </c>
      <c r="E72" s="22">
        <v>1</v>
      </c>
      <c r="F72" s="22">
        <v>0</v>
      </c>
      <c r="G72" s="22" t="s">
        <v>581</v>
      </c>
      <c r="H72" s="7"/>
      <c r="I72" s="54" t="s">
        <v>263</v>
      </c>
      <c r="J72" s="54" t="s">
        <v>537</v>
      </c>
      <c r="K72" s="131" t="s">
        <v>633</v>
      </c>
      <c r="L72" s="141" t="s">
        <v>694</v>
      </c>
    </row>
    <row r="73" spans="1:12" ht="24.9" x14ac:dyDescent="0.3">
      <c r="A73" s="27" t="s">
        <v>1025</v>
      </c>
      <c r="B73" s="61" t="s">
        <v>695</v>
      </c>
      <c r="C73" s="22" t="s">
        <v>519</v>
      </c>
      <c r="D73" s="22">
        <v>16</v>
      </c>
      <c r="E73" s="22">
        <v>0.1</v>
      </c>
      <c r="F73" s="22">
        <v>0</v>
      </c>
      <c r="G73" s="22" t="s">
        <v>581</v>
      </c>
      <c r="H73" s="51" t="s">
        <v>696</v>
      </c>
      <c r="I73" s="54" t="s">
        <v>263</v>
      </c>
      <c r="J73" s="54" t="s">
        <v>537</v>
      </c>
      <c r="K73" s="131" t="s">
        <v>633</v>
      </c>
      <c r="L73" s="139" t="s">
        <v>697</v>
      </c>
    </row>
    <row r="74" spans="1:12" ht="24.9" x14ac:dyDescent="0.3">
      <c r="A74" s="27" t="s">
        <v>1026</v>
      </c>
      <c r="B74" s="61" t="s">
        <v>698</v>
      </c>
      <c r="C74" s="22" t="s">
        <v>519</v>
      </c>
      <c r="D74" s="22">
        <v>16</v>
      </c>
      <c r="E74" s="22">
        <v>0.1</v>
      </c>
      <c r="F74" s="22">
        <v>0</v>
      </c>
      <c r="G74" s="22" t="s">
        <v>581</v>
      </c>
      <c r="H74" s="51" t="s">
        <v>699</v>
      </c>
      <c r="I74" s="60" t="s">
        <v>263</v>
      </c>
      <c r="J74" s="60" t="s">
        <v>537</v>
      </c>
      <c r="K74" s="62" t="s">
        <v>633</v>
      </c>
      <c r="L74" s="139" t="s">
        <v>700</v>
      </c>
    </row>
    <row r="75" spans="1:12" ht="24.9" x14ac:dyDescent="0.3">
      <c r="A75" s="27" t="s">
        <v>1027</v>
      </c>
      <c r="B75" s="61" t="s">
        <v>701</v>
      </c>
      <c r="C75" s="22" t="s">
        <v>519</v>
      </c>
      <c r="D75" s="22">
        <v>16</v>
      </c>
      <c r="E75" s="22">
        <v>0.125</v>
      </c>
      <c r="F75" s="22">
        <v>0</v>
      </c>
      <c r="G75" s="68" t="s">
        <v>581</v>
      </c>
      <c r="H75" s="7"/>
      <c r="I75" s="60" t="s">
        <v>263</v>
      </c>
      <c r="J75" s="60" t="s">
        <v>537</v>
      </c>
      <c r="K75" s="62" t="s">
        <v>633</v>
      </c>
      <c r="L75" s="141" t="s">
        <v>702</v>
      </c>
    </row>
    <row r="76" spans="1:12" ht="24.9" x14ac:dyDescent="0.3">
      <c r="A76" s="27" t="s">
        <v>1156</v>
      </c>
      <c r="B76" s="61" t="s">
        <v>703</v>
      </c>
      <c r="C76" s="22" t="s">
        <v>519</v>
      </c>
      <c r="D76" s="22">
        <v>16</v>
      </c>
      <c r="E76" s="22">
        <v>0.125</v>
      </c>
      <c r="F76" s="22">
        <v>0</v>
      </c>
      <c r="G76" s="68" t="s">
        <v>581</v>
      </c>
      <c r="H76" s="66"/>
      <c r="I76" s="67" t="s">
        <v>263</v>
      </c>
      <c r="J76" s="67" t="s">
        <v>537</v>
      </c>
      <c r="K76" s="134" t="s">
        <v>633</v>
      </c>
      <c r="L76" s="141" t="s">
        <v>704</v>
      </c>
    </row>
    <row r="77" spans="1:12" ht="24.9" x14ac:dyDescent="0.3">
      <c r="A77" s="168" t="s">
        <v>1157</v>
      </c>
      <c r="B77" s="165" t="s">
        <v>1145</v>
      </c>
      <c r="C77" s="166" t="s">
        <v>519</v>
      </c>
      <c r="D77" s="167">
        <v>16</v>
      </c>
      <c r="E77" s="167">
        <v>0.1</v>
      </c>
      <c r="F77" s="167">
        <v>0</v>
      </c>
      <c r="G77" s="169" t="s">
        <v>1149</v>
      </c>
      <c r="H77" s="170"/>
      <c r="I77" s="98" t="s">
        <v>263</v>
      </c>
      <c r="J77" s="98" t="s">
        <v>537</v>
      </c>
      <c r="K77" s="98" t="s">
        <v>633</v>
      </c>
      <c r="L77" s="171" t="s">
        <v>1152</v>
      </c>
    </row>
    <row r="78" spans="1:12" ht="24.9" x14ac:dyDescent="0.3">
      <c r="A78" s="168" t="s">
        <v>1158</v>
      </c>
      <c r="B78" s="165" t="s">
        <v>1146</v>
      </c>
      <c r="C78" s="166" t="s">
        <v>519</v>
      </c>
      <c r="D78" s="167">
        <v>16</v>
      </c>
      <c r="E78" s="167">
        <v>0.1</v>
      </c>
      <c r="F78" s="167">
        <v>0</v>
      </c>
      <c r="G78" s="169" t="s">
        <v>1149</v>
      </c>
      <c r="H78" s="170"/>
      <c r="I78" s="98" t="s">
        <v>263</v>
      </c>
      <c r="J78" s="98" t="s">
        <v>537</v>
      </c>
      <c r="K78" s="98" t="s">
        <v>633</v>
      </c>
      <c r="L78" s="171" t="s">
        <v>1153</v>
      </c>
    </row>
    <row r="79" spans="1:12" ht="24.9" x14ac:dyDescent="0.3">
      <c r="A79" s="168" t="s">
        <v>1160</v>
      </c>
      <c r="B79" s="165" t="s">
        <v>1147</v>
      </c>
      <c r="C79" s="166" t="s">
        <v>519</v>
      </c>
      <c r="D79" s="167">
        <v>16</v>
      </c>
      <c r="E79" s="167">
        <v>0.1</v>
      </c>
      <c r="F79" s="167">
        <v>0</v>
      </c>
      <c r="G79" s="169" t="s">
        <v>1150</v>
      </c>
      <c r="H79" s="170"/>
      <c r="I79" s="98" t="s">
        <v>263</v>
      </c>
      <c r="J79" s="98" t="s">
        <v>537</v>
      </c>
      <c r="K79" s="98" t="s">
        <v>633</v>
      </c>
      <c r="L79" s="171" t="s">
        <v>1154</v>
      </c>
    </row>
    <row r="80" spans="1:12" ht="24.9" x14ac:dyDescent="0.3">
      <c r="A80" s="168" t="s">
        <v>1159</v>
      </c>
      <c r="B80" s="165" t="s">
        <v>1148</v>
      </c>
      <c r="C80" s="166" t="s">
        <v>519</v>
      </c>
      <c r="D80" s="167">
        <v>16</v>
      </c>
      <c r="E80" s="167">
        <v>1</v>
      </c>
      <c r="F80" s="167">
        <v>0</v>
      </c>
      <c r="G80" s="169" t="s">
        <v>1151</v>
      </c>
      <c r="H80" s="170"/>
      <c r="I80" s="98" t="s">
        <v>263</v>
      </c>
      <c r="J80" s="98" t="s">
        <v>537</v>
      </c>
      <c r="K80" s="98" t="s">
        <v>633</v>
      </c>
      <c r="L80" s="172" t="s">
        <v>1155</v>
      </c>
    </row>
    <row r="81" spans="1:12" s="189" customFormat="1" ht="397.75" x14ac:dyDescent="0.3">
      <c r="A81" s="181" t="s">
        <v>1194</v>
      </c>
      <c r="B81" s="182" t="s">
        <v>1195</v>
      </c>
      <c r="C81" s="183" t="s">
        <v>519</v>
      </c>
      <c r="D81" s="184">
        <v>16</v>
      </c>
      <c r="E81" s="185">
        <v>1</v>
      </c>
      <c r="F81" s="184">
        <v>0</v>
      </c>
      <c r="G81" s="183" t="s">
        <v>48</v>
      </c>
      <c r="H81" s="186" t="s">
        <v>1190</v>
      </c>
      <c r="I81" s="187" t="s">
        <v>263</v>
      </c>
      <c r="J81" s="187" t="s">
        <v>537</v>
      </c>
      <c r="K81" s="187" t="s">
        <v>633</v>
      </c>
      <c r="L81" s="188" t="s">
        <v>1191</v>
      </c>
    </row>
    <row r="82" spans="1:12" ht="24.9" x14ac:dyDescent="0.3">
      <c r="A82" s="59" t="s">
        <v>890</v>
      </c>
      <c r="B82" s="56" t="s">
        <v>1192</v>
      </c>
      <c r="C82" s="30"/>
      <c r="D82" s="30"/>
      <c r="E82" s="30"/>
      <c r="F82" s="30"/>
      <c r="G82" s="73"/>
      <c r="H82" s="47"/>
      <c r="I82" s="161"/>
      <c r="J82" s="162"/>
      <c r="K82" s="163"/>
      <c r="L82" s="144"/>
    </row>
    <row r="83" spans="1:12" ht="24.9" x14ac:dyDescent="0.3">
      <c r="A83" s="7" t="s">
        <v>1074</v>
      </c>
      <c r="B83" s="72" t="s">
        <v>705</v>
      </c>
      <c r="C83" s="22" t="s">
        <v>519</v>
      </c>
      <c r="D83" s="22">
        <v>16</v>
      </c>
      <c r="E83" s="22">
        <v>1</v>
      </c>
      <c r="F83" s="22">
        <v>0</v>
      </c>
      <c r="G83" s="22" t="s">
        <v>550</v>
      </c>
      <c r="H83" s="71"/>
      <c r="I83" s="60" t="s">
        <v>263</v>
      </c>
      <c r="J83" s="54" t="s">
        <v>706</v>
      </c>
      <c r="K83" s="131" t="s">
        <v>707</v>
      </c>
      <c r="L83" s="145" t="s">
        <v>708</v>
      </c>
    </row>
    <row r="84" spans="1:12" ht="24.9" x14ac:dyDescent="0.3">
      <c r="A84" s="71" t="s">
        <v>1075</v>
      </c>
      <c r="B84" s="54" t="s">
        <v>709</v>
      </c>
      <c r="C84" s="22" t="s">
        <v>519</v>
      </c>
      <c r="D84" s="22">
        <v>16</v>
      </c>
      <c r="E84" s="3">
        <v>0.1</v>
      </c>
      <c r="F84" s="72">
        <v>-40</v>
      </c>
      <c r="G84" s="68" t="s">
        <v>567</v>
      </c>
      <c r="H84" s="7"/>
      <c r="I84" s="65" t="s">
        <v>263</v>
      </c>
      <c r="J84" s="65" t="s">
        <v>710</v>
      </c>
      <c r="K84" s="133" t="s">
        <v>711</v>
      </c>
      <c r="L84" s="146" t="s">
        <v>712</v>
      </c>
    </row>
    <row r="85" spans="1:12" ht="24.9" x14ac:dyDescent="0.3">
      <c r="A85" s="7" t="s">
        <v>1076</v>
      </c>
      <c r="B85" s="54" t="s">
        <v>713</v>
      </c>
      <c r="C85" s="22" t="s">
        <v>519</v>
      </c>
      <c r="D85" s="22">
        <v>16</v>
      </c>
      <c r="E85" s="53">
        <v>0.1</v>
      </c>
      <c r="F85" s="54">
        <v>-40</v>
      </c>
      <c r="G85" s="68" t="s">
        <v>567</v>
      </c>
      <c r="H85" s="55"/>
      <c r="I85" s="3" t="s">
        <v>263</v>
      </c>
      <c r="J85" s="69" t="s">
        <v>714</v>
      </c>
      <c r="K85" s="135" t="s">
        <v>711</v>
      </c>
      <c r="L85" s="146" t="s">
        <v>715</v>
      </c>
    </row>
    <row r="86" spans="1:12" ht="24.9" x14ac:dyDescent="0.3">
      <c r="A86" s="175" t="s">
        <v>1186</v>
      </c>
      <c r="B86" s="165" t="s">
        <v>1188</v>
      </c>
      <c r="C86" s="22" t="s">
        <v>519</v>
      </c>
      <c r="D86" s="22">
        <v>16</v>
      </c>
      <c r="E86" s="22">
        <v>0.1</v>
      </c>
      <c r="F86" s="22">
        <v>-40</v>
      </c>
      <c r="G86" s="68" t="s">
        <v>567</v>
      </c>
      <c r="H86" s="55"/>
      <c r="I86" s="3" t="s">
        <v>263</v>
      </c>
      <c r="J86" s="69" t="s">
        <v>1177</v>
      </c>
      <c r="K86" s="135" t="s">
        <v>711</v>
      </c>
      <c r="L86" s="139" t="s">
        <v>716</v>
      </c>
    </row>
    <row r="87" spans="1:12" ht="24.9" x14ac:dyDescent="0.3">
      <c r="A87" s="59" t="s">
        <v>162</v>
      </c>
      <c r="B87" s="30" t="s">
        <v>1189</v>
      </c>
      <c r="C87" s="30"/>
      <c r="D87" s="30"/>
      <c r="E87" s="30"/>
      <c r="F87" s="30"/>
      <c r="G87" s="30"/>
      <c r="H87" s="57"/>
      <c r="I87" s="76"/>
      <c r="J87" s="76"/>
      <c r="K87" s="136"/>
      <c r="L87" s="147"/>
    </row>
    <row r="88" spans="1:12" ht="248.6" x14ac:dyDescent="0.3">
      <c r="A88" s="7" t="s">
        <v>1028</v>
      </c>
      <c r="B88" s="61" t="s">
        <v>717</v>
      </c>
      <c r="C88" s="22" t="s">
        <v>519</v>
      </c>
      <c r="D88" s="22">
        <v>16</v>
      </c>
      <c r="E88" s="22">
        <v>1</v>
      </c>
      <c r="F88" s="22">
        <v>0</v>
      </c>
      <c r="G88" s="22" t="s">
        <v>48</v>
      </c>
      <c r="H88" s="7" t="s">
        <v>718</v>
      </c>
      <c r="I88" s="54" t="s">
        <v>263</v>
      </c>
      <c r="J88" s="54" t="s">
        <v>537</v>
      </c>
      <c r="K88" s="131" t="s">
        <v>633</v>
      </c>
      <c r="L88" s="139" t="s">
        <v>743</v>
      </c>
    </row>
    <row r="89" spans="1:12" ht="198.9" x14ac:dyDescent="0.3">
      <c r="A89" s="7" t="s">
        <v>1029</v>
      </c>
      <c r="B89" s="61" t="s">
        <v>719</v>
      </c>
      <c r="C89" s="22" t="s">
        <v>519</v>
      </c>
      <c r="D89" s="22">
        <v>16</v>
      </c>
      <c r="E89" s="22">
        <v>1</v>
      </c>
      <c r="F89" s="22">
        <v>0</v>
      </c>
      <c r="G89" s="22" t="s">
        <v>48</v>
      </c>
      <c r="H89" s="7" t="s">
        <v>720</v>
      </c>
      <c r="I89" s="54" t="s">
        <v>263</v>
      </c>
      <c r="J89" s="54" t="s">
        <v>537</v>
      </c>
      <c r="K89" s="131" t="s">
        <v>633</v>
      </c>
      <c r="L89" s="139" t="s">
        <v>721</v>
      </c>
    </row>
    <row r="90" spans="1:12" ht="24.9" x14ac:dyDescent="0.3">
      <c r="A90" s="7" t="s">
        <v>1030</v>
      </c>
      <c r="B90" s="61" t="s">
        <v>722</v>
      </c>
      <c r="C90" s="22" t="s">
        <v>519</v>
      </c>
      <c r="D90" s="22">
        <v>16</v>
      </c>
      <c r="E90" s="22">
        <v>0.1</v>
      </c>
      <c r="F90" s="22">
        <v>-40</v>
      </c>
      <c r="G90" s="22" t="s">
        <v>567</v>
      </c>
      <c r="H90" s="7"/>
      <c r="I90" s="54" t="s">
        <v>263</v>
      </c>
      <c r="J90" s="54" t="s">
        <v>537</v>
      </c>
      <c r="K90" s="131" t="s">
        <v>633</v>
      </c>
      <c r="L90" s="148" t="s">
        <v>746</v>
      </c>
    </row>
    <row r="91" spans="1:12" ht="24.9" x14ac:dyDescent="0.3">
      <c r="A91" s="7" t="s">
        <v>1031</v>
      </c>
      <c r="B91" s="61" t="s">
        <v>723</v>
      </c>
      <c r="C91" s="22" t="s">
        <v>519</v>
      </c>
      <c r="D91" s="22">
        <v>16</v>
      </c>
      <c r="E91" s="22">
        <v>0.1</v>
      </c>
      <c r="F91" s="22">
        <v>-40</v>
      </c>
      <c r="G91" s="22" t="s">
        <v>567</v>
      </c>
      <c r="H91" s="7"/>
      <c r="I91" s="54" t="s">
        <v>263</v>
      </c>
      <c r="J91" s="54" t="s">
        <v>537</v>
      </c>
      <c r="K91" s="131" t="s">
        <v>633</v>
      </c>
      <c r="L91" s="148" t="s">
        <v>747</v>
      </c>
    </row>
    <row r="92" spans="1:12" ht="24.9" x14ac:dyDescent="0.3">
      <c r="A92" s="7" t="s">
        <v>1032</v>
      </c>
      <c r="B92" s="61" t="s">
        <v>724</v>
      </c>
      <c r="C92" s="22" t="s">
        <v>519</v>
      </c>
      <c r="D92" s="22">
        <v>16</v>
      </c>
      <c r="E92" s="22">
        <v>0.1</v>
      </c>
      <c r="F92" s="22">
        <v>-40</v>
      </c>
      <c r="G92" s="22" t="s">
        <v>567</v>
      </c>
      <c r="H92" s="7"/>
      <c r="I92" s="54" t="s">
        <v>263</v>
      </c>
      <c r="J92" s="54" t="s">
        <v>537</v>
      </c>
      <c r="K92" s="131" t="s">
        <v>633</v>
      </c>
      <c r="L92" s="148" t="s">
        <v>748</v>
      </c>
    </row>
    <row r="93" spans="1:12" ht="24.9" x14ac:dyDescent="0.3">
      <c r="A93" s="7" t="s">
        <v>1033</v>
      </c>
      <c r="B93" s="61" t="s">
        <v>725</v>
      </c>
      <c r="C93" s="22" t="s">
        <v>519</v>
      </c>
      <c r="D93" s="22">
        <v>16</v>
      </c>
      <c r="E93" s="22">
        <v>0.1</v>
      </c>
      <c r="F93" s="22">
        <v>-40</v>
      </c>
      <c r="G93" s="22" t="s">
        <v>567</v>
      </c>
      <c r="H93" s="7"/>
      <c r="I93" s="54" t="s">
        <v>263</v>
      </c>
      <c r="J93" s="54" t="s">
        <v>537</v>
      </c>
      <c r="K93" s="131" t="s">
        <v>633</v>
      </c>
      <c r="L93" s="148" t="s">
        <v>749</v>
      </c>
    </row>
    <row r="94" spans="1:12" ht="124.3" x14ac:dyDescent="0.3">
      <c r="A94" s="27" t="s">
        <v>1034</v>
      </c>
      <c r="B94" s="61" t="s">
        <v>726</v>
      </c>
      <c r="C94" s="22" t="s">
        <v>519</v>
      </c>
      <c r="D94" s="22">
        <v>16</v>
      </c>
      <c r="E94" s="22">
        <v>1</v>
      </c>
      <c r="F94" s="22">
        <v>0</v>
      </c>
      <c r="G94" s="22" t="s">
        <v>48</v>
      </c>
      <c r="H94" s="7" t="s">
        <v>727</v>
      </c>
      <c r="I94" s="54" t="s">
        <v>263</v>
      </c>
      <c r="J94" s="54" t="s">
        <v>537</v>
      </c>
      <c r="K94" s="131" t="s">
        <v>633</v>
      </c>
      <c r="L94" s="139" t="s">
        <v>728</v>
      </c>
    </row>
    <row r="95" spans="1:12" ht="62.15" x14ac:dyDescent="0.3">
      <c r="A95" s="27" t="s">
        <v>1035</v>
      </c>
      <c r="B95" s="61" t="s">
        <v>729</v>
      </c>
      <c r="C95" s="22" t="s">
        <v>519</v>
      </c>
      <c r="D95" s="22">
        <v>16</v>
      </c>
      <c r="E95" s="22">
        <v>1</v>
      </c>
      <c r="F95" s="22">
        <v>0</v>
      </c>
      <c r="G95" s="22" t="s">
        <v>48</v>
      </c>
      <c r="H95" s="7" t="s">
        <v>1085</v>
      </c>
      <c r="I95" s="54" t="s">
        <v>263</v>
      </c>
      <c r="J95" s="54" t="s">
        <v>537</v>
      </c>
      <c r="K95" s="131" t="s">
        <v>633</v>
      </c>
      <c r="L95" s="139" t="s">
        <v>730</v>
      </c>
    </row>
    <row r="96" spans="1:12" ht="24.9" x14ac:dyDescent="0.3">
      <c r="A96" s="27" t="s">
        <v>1036</v>
      </c>
      <c r="B96" s="61" t="s">
        <v>731</v>
      </c>
      <c r="C96" s="22" t="s">
        <v>519</v>
      </c>
      <c r="D96" s="22">
        <v>16</v>
      </c>
      <c r="E96" s="22">
        <v>1</v>
      </c>
      <c r="F96" s="22">
        <v>0</v>
      </c>
      <c r="G96" s="22" t="s">
        <v>536</v>
      </c>
      <c r="H96" s="7"/>
      <c r="I96" s="54" t="s">
        <v>263</v>
      </c>
      <c r="J96" s="54" t="s">
        <v>537</v>
      </c>
      <c r="K96" s="131" t="s">
        <v>633</v>
      </c>
      <c r="L96" s="139" t="s">
        <v>732</v>
      </c>
    </row>
    <row r="97" spans="1:12" ht="24.9" x14ac:dyDescent="0.3">
      <c r="A97" s="27" t="s">
        <v>1037</v>
      </c>
      <c r="B97" s="61" t="s">
        <v>733</v>
      </c>
      <c r="C97" s="22" t="s">
        <v>519</v>
      </c>
      <c r="D97" s="22">
        <v>16</v>
      </c>
      <c r="E97" s="22">
        <v>1</v>
      </c>
      <c r="F97" s="22">
        <v>0</v>
      </c>
      <c r="G97" s="22" t="s">
        <v>536</v>
      </c>
      <c r="H97" s="7"/>
      <c r="I97" s="54" t="s">
        <v>263</v>
      </c>
      <c r="J97" s="54" t="s">
        <v>537</v>
      </c>
      <c r="K97" s="131" t="s">
        <v>633</v>
      </c>
      <c r="L97" s="139" t="s">
        <v>734</v>
      </c>
    </row>
    <row r="98" spans="1:12" ht="24.9" x14ac:dyDescent="0.3">
      <c r="A98" s="27" t="s">
        <v>1038</v>
      </c>
      <c r="B98" s="61" t="s">
        <v>735</v>
      </c>
      <c r="C98" s="22" t="s">
        <v>519</v>
      </c>
      <c r="D98" s="22">
        <v>16</v>
      </c>
      <c r="E98" s="22">
        <v>1</v>
      </c>
      <c r="F98" s="22">
        <v>0</v>
      </c>
      <c r="G98" s="22" t="s">
        <v>536</v>
      </c>
      <c r="H98" s="7"/>
      <c r="I98" s="54" t="s">
        <v>263</v>
      </c>
      <c r="J98" s="54" t="s">
        <v>537</v>
      </c>
      <c r="K98" s="131" t="s">
        <v>633</v>
      </c>
      <c r="L98" s="139" t="s">
        <v>736</v>
      </c>
    </row>
    <row r="99" spans="1:12" ht="49.75" x14ac:dyDescent="0.3">
      <c r="A99" s="27" t="s">
        <v>1039</v>
      </c>
      <c r="B99" s="61" t="s">
        <v>737</v>
      </c>
      <c r="C99" s="22" t="s">
        <v>519</v>
      </c>
      <c r="D99" s="22">
        <v>16</v>
      </c>
      <c r="E99" s="22">
        <v>1</v>
      </c>
      <c r="F99" s="22">
        <v>0</v>
      </c>
      <c r="G99" s="22" t="s">
        <v>48</v>
      </c>
      <c r="H99" s="7" t="s">
        <v>738</v>
      </c>
      <c r="I99" s="54" t="s">
        <v>263</v>
      </c>
      <c r="J99" s="54" t="s">
        <v>537</v>
      </c>
      <c r="K99" s="131" t="s">
        <v>633</v>
      </c>
      <c r="L99" s="139" t="s">
        <v>739</v>
      </c>
    </row>
    <row r="100" spans="1:12" s="100" customFormat="1" ht="198.9" x14ac:dyDescent="0.3">
      <c r="A100" s="95" t="s">
        <v>1040</v>
      </c>
      <c r="B100" s="61" t="s">
        <v>777</v>
      </c>
      <c r="C100" s="96" t="s">
        <v>519</v>
      </c>
      <c r="D100" s="96">
        <v>16</v>
      </c>
      <c r="E100" s="96">
        <v>1</v>
      </c>
      <c r="F100" s="96">
        <v>0</v>
      </c>
      <c r="G100" s="96" t="s">
        <v>48</v>
      </c>
      <c r="H100" s="97" t="s">
        <v>776</v>
      </c>
      <c r="I100" s="98" t="s">
        <v>263</v>
      </c>
      <c r="J100" s="98" t="s">
        <v>537</v>
      </c>
      <c r="K100" s="137" t="s">
        <v>633</v>
      </c>
      <c r="L100" s="99" t="s">
        <v>752</v>
      </c>
    </row>
    <row r="101" spans="1:12" s="100" customFormat="1" ht="49.75" x14ac:dyDescent="0.3">
      <c r="A101" s="101" t="s">
        <v>1041</v>
      </c>
      <c r="B101" s="61" t="s">
        <v>778</v>
      </c>
      <c r="C101" s="96" t="s">
        <v>519</v>
      </c>
      <c r="D101" s="96">
        <v>16</v>
      </c>
      <c r="E101" s="96">
        <v>1</v>
      </c>
      <c r="F101" s="96">
        <v>0</v>
      </c>
      <c r="G101" s="96" t="s">
        <v>753</v>
      </c>
      <c r="H101" s="102" t="s">
        <v>816</v>
      </c>
      <c r="I101" s="98" t="s">
        <v>263</v>
      </c>
      <c r="J101" s="98" t="s">
        <v>754</v>
      </c>
      <c r="K101" s="137" t="s">
        <v>755</v>
      </c>
      <c r="L101" s="103"/>
    </row>
    <row r="102" spans="1:12" s="100" customFormat="1" ht="49.75" x14ac:dyDescent="0.3">
      <c r="A102" s="101" t="s">
        <v>1042</v>
      </c>
      <c r="B102" s="61" t="s">
        <v>779</v>
      </c>
      <c r="C102" s="96" t="s">
        <v>519</v>
      </c>
      <c r="D102" s="96">
        <v>16</v>
      </c>
      <c r="E102" s="96">
        <v>1</v>
      </c>
      <c r="F102" s="96">
        <v>0</v>
      </c>
      <c r="G102" s="96" t="s">
        <v>753</v>
      </c>
      <c r="H102" s="104" t="s">
        <v>817</v>
      </c>
      <c r="I102" s="98" t="s">
        <v>263</v>
      </c>
      <c r="J102" s="98" t="s">
        <v>754</v>
      </c>
      <c r="K102" s="137" t="s">
        <v>755</v>
      </c>
      <c r="L102" s="103"/>
    </row>
    <row r="103" spans="1:12" s="100" customFormat="1" ht="24.9" x14ac:dyDescent="0.3">
      <c r="A103" s="105" t="s">
        <v>1043</v>
      </c>
      <c r="B103" s="61" t="s">
        <v>780</v>
      </c>
      <c r="C103" s="96" t="s">
        <v>519</v>
      </c>
      <c r="D103" s="96">
        <v>32</v>
      </c>
      <c r="E103" s="106">
        <v>6.25E-2</v>
      </c>
      <c r="F103" s="96">
        <v>0</v>
      </c>
      <c r="G103" s="96" t="s">
        <v>757</v>
      </c>
      <c r="H103" s="96"/>
      <c r="I103" s="98" t="s">
        <v>263</v>
      </c>
      <c r="J103" s="98" t="s">
        <v>754</v>
      </c>
      <c r="K103" s="137" t="s">
        <v>755</v>
      </c>
      <c r="L103" s="103"/>
    </row>
    <row r="104" spans="1:12" s="100" customFormat="1" ht="24.9" x14ac:dyDescent="0.3">
      <c r="A104" s="105" t="s">
        <v>1044</v>
      </c>
      <c r="B104" s="61" t="s">
        <v>781</v>
      </c>
      <c r="C104" s="96" t="s">
        <v>519</v>
      </c>
      <c r="D104" s="96">
        <v>32</v>
      </c>
      <c r="E104" s="106">
        <v>6.25E-2</v>
      </c>
      <c r="F104" s="96">
        <v>0</v>
      </c>
      <c r="G104" s="96" t="s">
        <v>756</v>
      </c>
      <c r="H104" s="96"/>
      <c r="I104" s="98" t="s">
        <v>263</v>
      </c>
      <c r="J104" s="98" t="s">
        <v>754</v>
      </c>
      <c r="K104" s="137" t="s">
        <v>755</v>
      </c>
      <c r="L104" s="103"/>
    </row>
    <row r="105" spans="1:12" s="100" customFormat="1" ht="24.9" x14ac:dyDescent="0.3">
      <c r="A105" s="108" t="s">
        <v>1045</v>
      </c>
      <c r="B105" s="61" t="s">
        <v>782</v>
      </c>
      <c r="C105" s="96" t="s">
        <v>519</v>
      </c>
      <c r="D105" s="96">
        <v>32</v>
      </c>
      <c r="E105" s="96">
        <v>1</v>
      </c>
      <c r="F105" s="96">
        <v>0</v>
      </c>
      <c r="G105" s="96" t="s">
        <v>759</v>
      </c>
      <c r="H105" s="96"/>
      <c r="I105" s="98" t="s">
        <v>263</v>
      </c>
      <c r="J105" s="98" t="s">
        <v>754</v>
      </c>
      <c r="K105" s="137" t="s">
        <v>755</v>
      </c>
      <c r="L105" s="103"/>
    </row>
    <row r="106" spans="1:12" s="100" customFormat="1" ht="24.9" x14ac:dyDescent="0.3">
      <c r="A106" s="109" t="s">
        <v>1046</v>
      </c>
      <c r="B106" s="61" t="s">
        <v>783</v>
      </c>
      <c r="C106" s="96" t="s">
        <v>519</v>
      </c>
      <c r="D106" s="96">
        <v>32</v>
      </c>
      <c r="E106" s="96">
        <v>1</v>
      </c>
      <c r="F106" s="96">
        <v>0</v>
      </c>
      <c r="G106" s="96" t="s">
        <v>758</v>
      </c>
      <c r="H106" s="96"/>
      <c r="I106" s="98" t="s">
        <v>263</v>
      </c>
      <c r="J106" s="98" t="s">
        <v>754</v>
      </c>
      <c r="K106" s="137" t="s">
        <v>760</v>
      </c>
      <c r="L106" s="103"/>
    </row>
    <row r="107" spans="1:12" s="100" customFormat="1" ht="24.9" x14ac:dyDescent="0.3">
      <c r="A107" s="109" t="s">
        <v>1047</v>
      </c>
      <c r="B107" s="61" t="s">
        <v>784</v>
      </c>
      <c r="C107" s="96" t="s">
        <v>519</v>
      </c>
      <c r="D107" s="96">
        <v>32</v>
      </c>
      <c r="E107" s="96">
        <v>1</v>
      </c>
      <c r="F107" s="96">
        <v>0</v>
      </c>
      <c r="G107" s="96" t="s">
        <v>758</v>
      </c>
      <c r="H107" s="96"/>
      <c r="I107" s="98" t="s">
        <v>263</v>
      </c>
      <c r="J107" s="98" t="s">
        <v>754</v>
      </c>
      <c r="K107" s="137" t="s">
        <v>755</v>
      </c>
      <c r="L107" s="103"/>
    </row>
    <row r="108" spans="1:12" s="100" customFormat="1" ht="24.9" x14ac:dyDescent="0.3">
      <c r="A108" s="109" t="s">
        <v>1048</v>
      </c>
      <c r="B108" s="61" t="s">
        <v>785</v>
      </c>
      <c r="C108" s="96" t="s">
        <v>519</v>
      </c>
      <c r="D108" s="96">
        <v>16</v>
      </c>
      <c r="E108" s="96">
        <v>1</v>
      </c>
      <c r="F108" s="96">
        <v>0</v>
      </c>
      <c r="G108" s="96" t="s">
        <v>753</v>
      </c>
      <c r="H108" s="96"/>
      <c r="I108" s="98" t="s">
        <v>263</v>
      </c>
      <c r="J108" s="98" t="s">
        <v>754</v>
      </c>
      <c r="K108" s="137" t="s">
        <v>760</v>
      </c>
      <c r="L108" s="103"/>
    </row>
    <row r="109" spans="1:12" s="100" customFormat="1" ht="24.9" x14ac:dyDescent="0.3">
      <c r="A109" s="109" t="s">
        <v>1049</v>
      </c>
      <c r="B109" s="61" t="s">
        <v>786</v>
      </c>
      <c r="C109" s="96" t="s">
        <v>519</v>
      </c>
      <c r="D109" s="96">
        <v>16</v>
      </c>
      <c r="E109" s="96">
        <v>1</v>
      </c>
      <c r="F109" s="96">
        <v>0</v>
      </c>
      <c r="G109" s="96" t="s">
        <v>761</v>
      </c>
      <c r="H109" s="96"/>
      <c r="I109" s="98" t="s">
        <v>263</v>
      </c>
      <c r="J109" s="98" t="s">
        <v>754</v>
      </c>
      <c r="K109" s="137" t="s">
        <v>755</v>
      </c>
      <c r="L109" s="103"/>
    </row>
    <row r="110" spans="1:12" s="100" customFormat="1" ht="24.9" x14ac:dyDescent="0.3">
      <c r="A110" s="109" t="s">
        <v>1050</v>
      </c>
      <c r="B110" s="61" t="s">
        <v>787</v>
      </c>
      <c r="C110" s="96" t="s">
        <v>519</v>
      </c>
      <c r="D110" s="96">
        <v>16</v>
      </c>
      <c r="E110" s="96">
        <v>1</v>
      </c>
      <c r="F110" s="96">
        <v>0</v>
      </c>
      <c r="G110" s="103" t="s">
        <v>762</v>
      </c>
      <c r="H110" s="103"/>
      <c r="I110" s="98" t="s">
        <v>263</v>
      </c>
      <c r="J110" s="98" t="s">
        <v>754</v>
      </c>
      <c r="K110" s="137" t="s">
        <v>763</v>
      </c>
      <c r="L110" s="103"/>
    </row>
    <row r="111" spans="1:12" s="100" customFormat="1" ht="37.299999999999997" x14ac:dyDescent="0.3">
      <c r="A111" s="109" t="s">
        <v>1051</v>
      </c>
      <c r="B111" s="61" t="s">
        <v>788</v>
      </c>
      <c r="C111" s="96" t="s">
        <v>519</v>
      </c>
      <c r="D111" s="107">
        <v>32</v>
      </c>
      <c r="E111" s="106">
        <v>1E-3</v>
      </c>
      <c r="F111" s="103">
        <v>0</v>
      </c>
      <c r="G111" s="103" t="s">
        <v>764</v>
      </c>
      <c r="H111" s="103"/>
      <c r="I111" s="98" t="s">
        <v>263</v>
      </c>
      <c r="J111" s="98" t="s">
        <v>754</v>
      </c>
      <c r="K111" s="137" t="s">
        <v>760</v>
      </c>
      <c r="L111" s="103"/>
    </row>
    <row r="112" spans="1:12" s="100" customFormat="1" ht="37.299999999999997" x14ac:dyDescent="0.3">
      <c r="A112" s="109" t="s">
        <v>1052</v>
      </c>
      <c r="B112" s="61" t="s">
        <v>789</v>
      </c>
      <c r="C112" s="96" t="s">
        <v>519</v>
      </c>
      <c r="D112" s="107">
        <v>32</v>
      </c>
      <c r="E112" s="106">
        <v>1E-3</v>
      </c>
      <c r="F112" s="103">
        <v>0</v>
      </c>
      <c r="G112" s="103" t="s">
        <v>765</v>
      </c>
      <c r="H112" s="103"/>
      <c r="I112" s="98" t="s">
        <v>263</v>
      </c>
      <c r="J112" s="98" t="s">
        <v>754</v>
      </c>
      <c r="K112" s="137" t="s">
        <v>760</v>
      </c>
      <c r="L112" s="103"/>
    </row>
    <row r="113" spans="1:12" s="100" customFormat="1" ht="24.9" x14ac:dyDescent="0.3">
      <c r="A113" s="110" t="s">
        <v>1053</v>
      </c>
      <c r="B113" s="61" t="s">
        <v>790</v>
      </c>
      <c r="C113" s="96" t="s">
        <v>519</v>
      </c>
      <c r="D113" s="96">
        <v>16</v>
      </c>
      <c r="E113" s="96">
        <v>1</v>
      </c>
      <c r="F113" s="96">
        <v>0</v>
      </c>
      <c r="G113" s="103" t="s">
        <v>761</v>
      </c>
      <c r="H113" s="103"/>
      <c r="I113" s="98" t="s">
        <v>263</v>
      </c>
      <c r="J113" s="98" t="s">
        <v>754</v>
      </c>
      <c r="K113" s="137" t="s">
        <v>763</v>
      </c>
      <c r="L113" s="103"/>
    </row>
    <row r="114" spans="1:12" s="100" customFormat="1" ht="24.9" x14ac:dyDescent="0.3">
      <c r="A114" s="109" t="s">
        <v>1054</v>
      </c>
      <c r="B114" s="61" t="s">
        <v>791</v>
      </c>
      <c r="C114" s="96" t="s">
        <v>519</v>
      </c>
      <c r="D114" s="96">
        <v>16</v>
      </c>
      <c r="E114" s="96">
        <v>1</v>
      </c>
      <c r="F114" s="96">
        <v>0</v>
      </c>
      <c r="G114" s="103" t="s">
        <v>761</v>
      </c>
      <c r="H114" s="103"/>
      <c r="I114" s="98" t="s">
        <v>263</v>
      </c>
      <c r="J114" s="98" t="s">
        <v>754</v>
      </c>
      <c r="K114" s="137" t="s">
        <v>760</v>
      </c>
      <c r="L114" s="103"/>
    </row>
    <row r="115" spans="1:12" s="100" customFormat="1" ht="24.9" x14ac:dyDescent="0.3">
      <c r="A115" s="109" t="s">
        <v>1055</v>
      </c>
      <c r="B115" s="61" t="s">
        <v>792</v>
      </c>
      <c r="C115" s="96" t="s">
        <v>519</v>
      </c>
      <c r="D115" s="96">
        <v>16</v>
      </c>
      <c r="E115" s="96">
        <v>1</v>
      </c>
      <c r="F115" s="96">
        <v>0</v>
      </c>
      <c r="G115" s="103" t="s">
        <v>762</v>
      </c>
      <c r="H115" s="103"/>
      <c r="I115" s="98" t="s">
        <v>263</v>
      </c>
      <c r="J115" s="98" t="s">
        <v>754</v>
      </c>
      <c r="K115" s="137" t="s">
        <v>760</v>
      </c>
      <c r="L115" s="103"/>
    </row>
    <row r="116" spans="1:12" s="100" customFormat="1" ht="24.9" x14ac:dyDescent="0.3">
      <c r="A116" s="109" t="s">
        <v>1056</v>
      </c>
      <c r="B116" s="61" t="s">
        <v>793</v>
      </c>
      <c r="C116" s="96" t="s">
        <v>519</v>
      </c>
      <c r="D116" s="107">
        <v>16</v>
      </c>
      <c r="E116" s="106">
        <v>0.1</v>
      </c>
      <c r="F116" s="107">
        <v>-40</v>
      </c>
      <c r="G116" s="103" t="s">
        <v>766</v>
      </c>
      <c r="H116" s="103"/>
      <c r="I116" s="98" t="s">
        <v>263</v>
      </c>
      <c r="J116" s="98" t="s">
        <v>754</v>
      </c>
      <c r="K116" s="137" t="s">
        <v>755</v>
      </c>
      <c r="L116" s="103"/>
    </row>
    <row r="117" spans="1:12" s="100" customFormat="1" ht="24.9" x14ac:dyDescent="0.3">
      <c r="A117" s="109" t="s">
        <v>1057</v>
      </c>
      <c r="B117" s="61" t="s">
        <v>794</v>
      </c>
      <c r="C117" s="96" t="s">
        <v>519</v>
      </c>
      <c r="D117" s="107">
        <v>16</v>
      </c>
      <c r="E117" s="106">
        <v>0.1</v>
      </c>
      <c r="F117" s="107">
        <v>-40</v>
      </c>
      <c r="G117" s="103" t="s">
        <v>767</v>
      </c>
      <c r="H117" s="103"/>
      <c r="I117" s="98" t="s">
        <v>263</v>
      </c>
      <c r="J117" s="98" t="s">
        <v>754</v>
      </c>
      <c r="K117" s="137" t="s">
        <v>760</v>
      </c>
      <c r="L117" s="103"/>
    </row>
    <row r="118" spans="1:12" s="100" customFormat="1" ht="49.75" x14ac:dyDescent="0.3">
      <c r="A118" s="109" t="s">
        <v>1058</v>
      </c>
      <c r="B118" s="61" t="s">
        <v>795</v>
      </c>
      <c r="C118" s="96" t="s">
        <v>519</v>
      </c>
      <c r="D118" s="107">
        <v>16</v>
      </c>
      <c r="E118" s="106">
        <v>1</v>
      </c>
      <c r="F118" s="107">
        <v>0</v>
      </c>
      <c r="G118" s="103" t="s">
        <v>768</v>
      </c>
      <c r="H118" s="111" t="s">
        <v>818</v>
      </c>
      <c r="I118" s="98" t="s">
        <v>263</v>
      </c>
      <c r="J118" s="98" t="s">
        <v>754</v>
      </c>
      <c r="K118" s="137" t="s">
        <v>763</v>
      </c>
      <c r="L118" s="103"/>
    </row>
    <row r="119" spans="1:12" s="100" customFormat="1" ht="24.9" x14ac:dyDescent="0.3">
      <c r="A119" s="110" t="s">
        <v>1059</v>
      </c>
      <c r="B119" s="61" t="s">
        <v>796</v>
      </c>
      <c r="C119" s="96" t="s">
        <v>519</v>
      </c>
      <c r="D119" s="107">
        <v>16</v>
      </c>
      <c r="E119" s="107">
        <v>0.01</v>
      </c>
      <c r="F119" s="107">
        <v>0</v>
      </c>
      <c r="G119" s="103" t="s">
        <v>762</v>
      </c>
      <c r="H119" s="103"/>
      <c r="I119" s="98" t="s">
        <v>263</v>
      </c>
      <c r="J119" s="98" t="s">
        <v>754</v>
      </c>
      <c r="K119" s="137" t="s">
        <v>770</v>
      </c>
      <c r="L119" s="103"/>
    </row>
    <row r="120" spans="1:12" s="100" customFormat="1" ht="24.9" x14ac:dyDescent="0.3">
      <c r="A120" s="109" t="s">
        <v>1060</v>
      </c>
      <c r="B120" s="61" t="s">
        <v>797</v>
      </c>
      <c r="C120" s="96" t="s">
        <v>519</v>
      </c>
      <c r="D120" s="107">
        <v>16</v>
      </c>
      <c r="E120" s="107">
        <v>0.1</v>
      </c>
      <c r="F120" s="107">
        <v>0</v>
      </c>
      <c r="G120" s="107" t="s">
        <v>771</v>
      </c>
      <c r="H120" s="103"/>
      <c r="I120" s="98" t="s">
        <v>263</v>
      </c>
      <c r="J120" s="98" t="s">
        <v>754</v>
      </c>
      <c r="K120" s="137" t="s">
        <v>769</v>
      </c>
      <c r="L120" s="103"/>
    </row>
    <row r="121" spans="1:12" s="100" customFormat="1" ht="24.9" x14ac:dyDescent="0.3">
      <c r="A121" s="109" t="s">
        <v>1061</v>
      </c>
      <c r="B121" s="61" t="s">
        <v>798</v>
      </c>
      <c r="C121" s="96" t="s">
        <v>519</v>
      </c>
      <c r="D121" s="107">
        <v>16</v>
      </c>
      <c r="E121" s="107">
        <v>0.01</v>
      </c>
      <c r="F121" s="107">
        <v>0</v>
      </c>
      <c r="G121" s="107" t="s">
        <v>772</v>
      </c>
      <c r="H121" s="103"/>
      <c r="I121" s="98" t="s">
        <v>263</v>
      </c>
      <c r="J121" s="98" t="s">
        <v>754</v>
      </c>
      <c r="K121" s="137" t="s">
        <v>770</v>
      </c>
      <c r="L121" s="103"/>
    </row>
    <row r="122" spans="1:12" s="100" customFormat="1" ht="24.9" x14ac:dyDescent="0.3">
      <c r="A122" s="109" t="s">
        <v>1062</v>
      </c>
      <c r="B122" s="61" t="s">
        <v>799</v>
      </c>
      <c r="C122" s="96" t="s">
        <v>519</v>
      </c>
      <c r="D122" s="107">
        <v>16</v>
      </c>
      <c r="E122" s="107">
        <v>1</v>
      </c>
      <c r="F122" s="107">
        <v>0</v>
      </c>
      <c r="G122" s="107" t="s">
        <v>753</v>
      </c>
      <c r="H122" s="103"/>
      <c r="I122" s="98" t="s">
        <v>263</v>
      </c>
      <c r="J122" s="98" t="s">
        <v>754</v>
      </c>
      <c r="K122" s="137" t="s">
        <v>770</v>
      </c>
      <c r="L122" s="103"/>
    </row>
    <row r="123" spans="1:12" s="100" customFormat="1" ht="24.9" x14ac:dyDescent="0.3">
      <c r="A123" s="109" t="s">
        <v>1063</v>
      </c>
      <c r="B123" s="61" t="s">
        <v>800</v>
      </c>
      <c r="C123" s="96" t="s">
        <v>519</v>
      </c>
      <c r="D123" s="107">
        <v>16</v>
      </c>
      <c r="E123" s="107">
        <v>0.1</v>
      </c>
      <c r="F123" s="107">
        <v>-1500</v>
      </c>
      <c r="G123" s="107" t="s">
        <v>771</v>
      </c>
      <c r="H123" s="103"/>
      <c r="I123" s="98" t="s">
        <v>263</v>
      </c>
      <c r="J123" s="98" t="s">
        <v>754</v>
      </c>
      <c r="K123" s="137" t="s">
        <v>769</v>
      </c>
      <c r="L123" s="103"/>
    </row>
    <row r="124" spans="1:12" s="100" customFormat="1" ht="24.9" x14ac:dyDescent="0.3">
      <c r="A124" s="109" t="s">
        <v>1064</v>
      </c>
      <c r="B124" s="61" t="s">
        <v>801</v>
      </c>
      <c r="C124" s="96" t="s">
        <v>519</v>
      </c>
      <c r="D124" s="107">
        <v>16</v>
      </c>
      <c r="E124" s="107">
        <v>1</v>
      </c>
      <c r="F124" s="107">
        <v>0</v>
      </c>
      <c r="G124" s="107" t="s">
        <v>773</v>
      </c>
      <c r="H124" s="103"/>
      <c r="I124" s="98" t="s">
        <v>263</v>
      </c>
      <c r="J124" s="98" t="s">
        <v>754</v>
      </c>
      <c r="K124" s="137" t="s">
        <v>770</v>
      </c>
      <c r="L124" s="103"/>
    </row>
    <row r="125" spans="1:12" s="100" customFormat="1" ht="24.9" x14ac:dyDescent="0.3">
      <c r="A125" s="112" t="s">
        <v>1065</v>
      </c>
      <c r="B125" s="61" t="s">
        <v>802</v>
      </c>
      <c r="C125" s="96" t="s">
        <v>519</v>
      </c>
      <c r="D125" s="107">
        <v>16</v>
      </c>
      <c r="E125" s="107">
        <v>0.1</v>
      </c>
      <c r="F125" s="107">
        <v>0</v>
      </c>
      <c r="G125" s="103" t="s">
        <v>756</v>
      </c>
      <c r="H125" s="103"/>
      <c r="I125" s="98" t="s">
        <v>263</v>
      </c>
      <c r="J125" s="98" t="s">
        <v>754</v>
      </c>
      <c r="K125" s="137" t="s">
        <v>770</v>
      </c>
      <c r="L125" s="103"/>
    </row>
    <row r="126" spans="1:12" s="100" customFormat="1" ht="37.299999999999997" x14ac:dyDescent="0.3">
      <c r="A126" s="109" t="s">
        <v>1066</v>
      </c>
      <c r="B126" s="61" t="s">
        <v>803</v>
      </c>
      <c r="C126" s="96" t="s">
        <v>519</v>
      </c>
      <c r="D126" s="107">
        <v>16</v>
      </c>
      <c r="E126" s="107">
        <v>1</v>
      </c>
      <c r="F126" s="107">
        <v>0</v>
      </c>
      <c r="G126" s="103" t="s">
        <v>753</v>
      </c>
      <c r="H126" s="103"/>
      <c r="I126" s="98" t="s">
        <v>263</v>
      </c>
      <c r="J126" s="98" t="s">
        <v>754</v>
      </c>
      <c r="K126" s="137" t="s">
        <v>770</v>
      </c>
      <c r="L126" s="103"/>
    </row>
    <row r="127" spans="1:12" s="100" customFormat="1" ht="37.299999999999997" x14ac:dyDescent="0.3">
      <c r="A127" s="109" t="s">
        <v>1067</v>
      </c>
      <c r="B127" s="61" t="s">
        <v>804</v>
      </c>
      <c r="C127" s="96" t="s">
        <v>519</v>
      </c>
      <c r="D127" s="107">
        <v>16</v>
      </c>
      <c r="E127" s="107">
        <v>1</v>
      </c>
      <c r="F127" s="107">
        <v>0</v>
      </c>
      <c r="G127" s="103" t="s">
        <v>761</v>
      </c>
      <c r="H127" s="103"/>
      <c r="I127" s="98" t="s">
        <v>263</v>
      </c>
      <c r="J127" s="98" t="s">
        <v>754</v>
      </c>
      <c r="K127" s="137" t="s">
        <v>770</v>
      </c>
      <c r="L127" s="103"/>
    </row>
    <row r="128" spans="1:12" s="100" customFormat="1" ht="99.45" x14ac:dyDescent="0.3">
      <c r="A128" s="113" t="s">
        <v>1068</v>
      </c>
      <c r="B128" s="61" t="s">
        <v>805</v>
      </c>
      <c r="C128" s="96" t="s">
        <v>519</v>
      </c>
      <c r="D128" s="107">
        <v>16</v>
      </c>
      <c r="E128" s="107">
        <v>1</v>
      </c>
      <c r="F128" s="107">
        <v>0</v>
      </c>
      <c r="G128" s="103" t="s">
        <v>761</v>
      </c>
      <c r="H128" s="111" t="s">
        <v>819</v>
      </c>
      <c r="I128" s="98" t="s">
        <v>263</v>
      </c>
      <c r="J128" s="98" t="s">
        <v>754</v>
      </c>
      <c r="K128" s="137" t="s">
        <v>770</v>
      </c>
      <c r="L128" s="103"/>
    </row>
    <row r="129" spans="1:12" s="100" customFormat="1" ht="99.45" x14ac:dyDescent="0.3">
      <c r="A129" s="109" t="s">
        <v>1069</v>
      </c>
      <c r="B129" s="61" t="s">
        <v>806</v>
      </c>
      <c r="C129" s="96" t="s">
        <v>519</v>
      </c>
      <c r="D129" s="107">
        <v>16</v>
      </c>
      <c r="E129" s="107">
        <v>1</v>
      </c>
      <c r="F129" s="107">
        <v>0</v>
      </c>
      <c r="G129" s="103" t="s">
        <v>761</v>
      </c>
      <c r="H129" s="111" t="s">
        <v>819</v>
      </c>
      <c r="I129" s="98" t="s">
        <v>263</v>
      </c>
      <c r="J129" s="98" t="s">
        <v>754</v>
      </c>
      <c r="K129" s="137" t="s">
        <v>770</v>
      </c>
      <c r="L129" s="103"/>
    </row>
    <row r="130" spans="1:12" s="100" customFormat="1" ht="24.9" x14ac:dyDescent="0.3">
      <c r="A130" s="109" t="s">
        <v>1070</v>
      </c>
      <c r="B130" s="61" t="s">
        <v>807</v>
      </c>
      <c r="C130" s="96" t="s">
        <v>519</v>
      </c>
      <c r="D130" s="107">
        <v>16</v>
      </c>
      <c r="E130" s="107">
        <v>0.1</v>
      </c>
      <c r="F130" s="107">
        <v>0</v>
      </c>
      <c r="G130" s="103" t="s">
        <v>774</v>
      </c>
      <c r="H130" s="103"/>
      <c r="I130" s="98" t="s">
        <v>263</v>
      </c>
      <c r="J130" s="98" t="s">
        <v>754</v>
      </c>
      <c r="K130" s="137" t="s">
        <v>770</v>
      </c>
      <c r="L130" s="103"/>
    </row>
    <row r="131" spans="1:12" s="100" customFormat="1" ht="24.9" x14ac:dyDescent="0.3">
      <c r="A131" s="109" t="s">
        <v>1071</v>
      </c>
      <c r="B131" s="61" t="s">
        <v>808</v>
      </c>
      <c r="C131" s="96" t="s">
        <v>519</v>
      </c>
      <c r="D131" s="107">
        <v>16</v>
      </c>
      <c r="E131" s="107">
        <v>0.01</v>
      </c>
      <c r="F131" s="107">
        <v>0</v>
      </c>
      <c r="G131" s="103" t="s">
        <v>762</v>
      </c>
      <c r="H131" s="103"/>
      <c r="I131" s="98" t="s">
        <v>263</v>
      </c>
      <c r="J131" s="98" t="s">
        <v>754</v>
      </c>
      <c r="K131" s="137" t="s">
        <v>770</v>
      </c>
      <c r="L131" s="103"/>
    </row>
    <row r="132" spans="1:12" s="100" customFormat="1" ht="24.9" x14ac:dyDescent="0.3">
      <c r="A132" s="110" t="s">
        <v>1072</v>
      </c>
      <c r="B132" s="61" t="s">
        <v>809</v>
      </c>
      <c r="C132" s="96" t="s">
        <v>519</v>
      </c>
      <c r="D132" s="107">
        <v>16</v>
      </c>
      <c r="E132" s="107">
        <v>1</v>
      </c>
      <c r="F132" s="107">
        <v>0</v>
      </c>
      <c r="G132" s="103" t="s">
        <v>761</v>
      </c>
      <c r="H132" s="103"/>
      <c r="I132" s="98" t="s">
        <v>263</v>
      </c>
      <c r="J132" s="98" t="s">
        <v>754</v>
      </c>
      <c r="K132" s="137" t="s">
        <v>770</v>
      </c>
      <c r="L132" s="103"/>
    </row>
    <row r="133" spans="1:12" s="100" customFormat="1" ht="99.45" x14ac:dyDescent="0.3">
      <c r="A133" s="110" t="s">
        <v>1073</v>
      </c>
      <c r="B133" s="61" t="s">
        <v>810</v>
      </c>
      <c r="C133" s="96" t="s">
        <v>519</v>
      </c>
      <c r="D133" s="107">
        <v>16</v>
      </c>
      <c r="E133" s="107">
        <v>1</v>
      </c>
      <c r="F133" s="107">
        <v>0</v>
      </c>
      <c r="G133" s="103" t="s">
        <v>761</v>
      </c>
      <c r="H133" s="110" t="s">
        <v>775</v>
      </c>
      <c r="I133" s="98" t="s">
        <v>263</v>
      </c>
      <c r="J133" s="98" t="s">
        <v>754</v>
      </c>
      <c r="K133" s="137" t="s">
        <v>770</v>
      </c>
      <c r="L133" s="103"/>
    </row>
  </sheetData>
  <phoneticPr fontId="6" type="noConversion"/>
  <conditionalFormatting sqref="L90:L93">
    <cfRule type="cellIs" dxfId="15" priority="33" stopIfTrue="1" operator="notEqual">
      <formula>#REF!</formula>
    </cfRule>
  </conditionalFormatting>
  <conditionalFormatting sqref="L90:L93">
    <cfRule type="cellIs" dxfId="14" priority="34" stopIfTrue="1" operator="equal">
      <formula>#REF!</formula>
    </cfRule>
  </conditionalFormatting>
  <conditionalFormatting sqref="A106">
    <cfRule type="duplicateValues" dxfId="13" priority="25" stopIfTrue="1"/>
  </conditionalFormatting>
  <conditionalFormatting sqref="A107">
    <cfRule type="duplicateValues" dxfId="12" priority="24" stopIfTrue="1"/>
  </conditionalFormatting>
  <conditionalFormatting sqref="A108">
    <cfRule type="duplicateValues" dxfId="11" priority="23" stopIfTrue="1"/>
  </conditionalFormatting>
  <conditionalFormatting sqref="A109:A110">
    <cfRule type="duplicateValues" dxfId="10" priority="20" stopIfTrue="1"/>
  </conditionalFormatting>
  <conditionalFormatting sqref="A111:A112">
    <cfRule type="duplicateValues" dxfId="9" priority="18" stopIfTrue="1"/>
  </conditionalFormatting>
  <conditionalFormatting sqref="A114:A115">
    <cfRule type="duplicateValues" dxfId="8" priority="16" stopIfTrue="1"/>
  </conditionalFormatting>
  <conditionalFormatting sqref="A120:A124">
    <cfRule type="duplicateValues" dxfId="7" priority="11" stopIfTrue="1"/>
  </conditionalFormatting>
  <conditionalFormatting sqref="A125:A127">
    <cfRule type="duplicateValues" dxfId="6" priority="8" stopIfTrue="1"/>
  </conditionalFormatting>
  <conditionalFormatting sqref="A128:A129">
    <cfRule type="duplicateValues" dxfId="5" priority="7" stopIfTrue="1"/>
  </conditionalFormatting>
  <conditionalFormatting sqref="A131">
    <cfRule type="duplicateValues" dxfId="4" priority="3" stopIfTrue="1"/>
  </conditionalFormatting>
  <conditionalFormatting sqref="A130">
    <cfRule type="duplicateValues" dxfId="3" priority="4" stopIfTrue="1"/>
  </conditionalFormatting>
  <conditionalFormatting sqref="A116:A118">
    <cfRule type="duplicateValues" dxfId="2" priority="32" stopIfTrue="1"/>
  </conditionalFormatting>
  <conditionalFormatting sqref="L77:L81">
    <cfRule type="cellIs" dxfId="1" priority="1" stopIfTrue="1" operator="notEqual">
      <formula>#REF!</formula>
    </cfRule>
  </conditionalFormatting>
  <conditionalFormatting sqref="L77:L81">
    <cfRule type="cellIs" dxfId="0" priority="2" stopIfTrue="1" operator="equal">
      <formula>#REF!</formula>
    </cfRule>
  </conditionalFormatting>
  <pageMargins left="0.7" right="0.7" top="0.75" bottom="0.75" header="0.3" footer="0.3"/>
  <pageSetup paperSize="9" orientation="portrait" r:id="rId1"/>
  <picture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工作表</vt:lpstr>
      </vt:variant>
      <vt:variant>
        <vt:i4>5</vt:i4>
      </vt:variant>
    </vt:vector>
  </HeadingPairs>
  <TitlesOfParts>
    <vt:vector size="5" baseType="lpstr">
      <vt:lpstr>History</vt:lpstr>
      <vt:lpstr>特殊说明与寄存器分布</vt:lpstr>
      <vt:lpstr>离散输入寄存器</vt:lpstr>
      <vt:lpstr>保持寄存器</vt:lpstr>
      <vt:lpstr>输入寄存器</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徐楚</dc:creator>
  <cp:lastModifiedBy>深圳IT运维</cp:lastModifiedBy>
  <dcterms:created xsi:type="dcterms:W3CDTF">2025-08-14T06:44:40Z</dcterms:created>
  <dcterms:modified xsi:type="dcterms:W3CDTF">2026-01-29T06:01:27Z</dcterms:modified>
</cp:coreProperties>
</file>