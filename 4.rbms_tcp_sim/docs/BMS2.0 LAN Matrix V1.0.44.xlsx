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525" activeTab="5"/>
  </bookViews>
  <sheets>
    <sheet name="Cover" sheetId="2" r:id="rId1"/>
    <sheet name="Revision" sheetId="3" r:id="rId2"/>
    <sheet name="Legend" sheetId="4" r:id="rId3"/>
    <sheet name="Station ID" sheetId="5" r:id="rId4"/>
    <sheet name="Message ID" sheetId="6" r:id="rId5"/>
    <sheet name="Comm Matrix" sheetId="7" r:id="rId6"/>
    <sheet name="Device ID" sheetId="8" r:id="rId7"/>
    <sheet name="SSD Store Calculation" sheetId="9" r:id="rId8"/>
  </sheets>
  <definedNames>
    <definedName name="_xlnm._FilterDatabase" localSheetId="4" hidden="1">'Message ID'!$A$1:$Q$51</definedName>
    <definedName name="_xlnm._FilterDatabase" localSheetId="5" hidden="1">'Comm Matrix'!$A$1:$AA$540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tc={A673FCDD-E191-4E34-A626-D35EB367539F}</author>
  </authors>
  <commentList>
    <comment ref="C3" authorId="0">
      <text>
        <r>
          <rPr>
            <sz val="10"/>
            <color rgb="FF000000"/>
            <rFont val="等线"/>
            <scheme val="minor"/>
            <charset val="0"/>
          </rPr>
          <t>[Threaded comment] Your version of Excel allows you to read this threaded comment; however, any edits to it will get removed if the file is opened in a newer version of Excel. Learn more: https://go.microsoft.com/fwlink/?linkid=870924 Comment: @易旺 @万大鹏 三级板需要定义一下端口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<sst xmlns="http://schemas.openxmlformats.org/spreadsheetml/2006/main" count="4833" uniqueCount="2043">
  <si>
    <r>
      <rPr>
        <sz val="10.5"/>
        <color rgb="FF000000"/>
        <rFont val="Calibri"/>
        <charset val="134"/>
      </rPr>
      <t xml:space="preserve">
</t>
    </r>
    <r>
      <rPr>
        <sz val="10.5"/>
        <color rgb="FF000000"/>
        <rFont val="Calibri"/>
        <charset val="134"/>
      </rPr>
      <t xml:space="preserve">                                                 
</t>
    </r>
    <r>
      <rPr>
        <sz val="10.5"/>
        <color rgb="FF000000"/>
        <rFont val="Calibri"/>
        <charset val="134"/>
      </rPr>
      <t xml:space="preserve">               </t>
    </r>
    <r>
      <rPr>
        <sz val="25.5"/>
        <color rgb="FF000000"/>
        <rFont val="Calibri"/>
        <charset val="134"/>
      </rPr>
      <t>BMS2.0</t>
    </r>
    <r>
      <rPr>
        <b/>
        <sz val="25.5"/>
        <color rgb="FF000000"/>
        <rFont val="Calibri"/>
        <charset val="134"/>
      </rPr>
      <t xml:space="preserve">控制器通信矩阵
</t>
    </r>
    <r>
      <rPr>
        <sz val="10.5"/>
        <color rgb="FF000000"/>
        <rFont val="Calibri"/>
        <charset val="134"/>
      </rPr>
      <t xml:space="preserve">   
                </t>
    </r>
    <r>
      <rPr>
        <sz val="18"/>
        <color rgb="FF000000"/>
        <rFont val="Calibri"/>
        <charset val="134"/>
      </rPr>
      <t xml:space="preserve">项目名称：
          编    制：                       
          校    对：
          审    核：
          批    准：
</t>
    </r>
    <r>
      <rPr>
        <sz val="10.5"/>
        <color rgb="FF000000"/>
        <rFont val="Calibri"/>
        <charset val="134"/>
      </rPr>
      <t xml:space="preserve"> 
</t>
    </r>
    <r>
      <rPr>
        <sz val="15.75"/>
        <color rgb="FF000000"/>
        <rFont val="Calibri"/>
        <charset val="134"/>
      </rPr>
      <t xml:space="preserve">                     2024年08月
</t>
    </r>
    <r>
      <rPr>
        <sz val="10.5"/>
        <color rgb="FF000000"/>
        <rFont val="Calibri"/>
        <charset val="134"/>
      </rPr>
      <t xml:space="preserve">                                </t>
    </r>
    <r>
      <rPr>
        <sz val="13.5"/>
        <color rgb="FF000000"/>
        <rFont val="Calibri"/>
        <charset val="134"/>
      </rPr>
      <t xml:space="preserve">           </t>
    </r>
    <r>
      <rPr>
        <sz val="15.75"/>
        <color rgb="FF000000"/>
        <rFont val="Calibri"/>
        <charset val="134"/>
      </rPr>
      <t xml:space="preserve"> </t>
    </r>
    <r>
      <rPr>
        <b/>
        <sz val="12"/>
        <color rgb="FF000000"/>
        <rFont val="Calibri"/>
        <charset val="134"/>
      </rPr>
      <t xml:space="preserve">     </t>
    </r>
  </si>
  <si>
    <t>版本管理</t>
  </si>
  <si>
    <t>版本</t>
  </si>
  <si>
    <t>日期</t>
  </si>
  <si>
    <t>作者</t>
  </si>
  <si>
    <t>审核</t>
  </si>
  <si>
    <t>修改说明</t>
  </si>
  <si>
    <t>V1.0.0</t>
  </si>
  <si>
    <t>2024/8/12</t>
  </si>
  <si>
    <t>yiwang</t>
  </si>
  <si>
    <t>二、三级板数据协议首版</t>
  </si>
  <si>
    <t>V1.0.1</t>
  </si>
  <si>
    <t>2024/8/13</t>
  </si>
  <si>
    <t>xuc01</t>
  </si>
  <si>
    <t>1.combine array, such as CellV/CellT/Fault
2.delete reserved signals
3.delete RBMS_FDUSt1-8/RBMS_FCUSt/RBMS_FireSt
4.signal order change
5.add review comment
6.add formula to caculate Byte/StartBit</t>
  </si>
  <si>
    <t>V1.0.2</t>
  </si>
  <si>
    <t>2024/8/14</t>
  </si>
  <si>
    <t>zl</t>
  </si>
  <si>
    <t>1.change cell and temp send periodic from 5000(ms) to 1000(ms);
2.change cell balancing state send periodic from 10000(ms) to 1000(ms);
3.change cell self-discharge send periodic from 30000(ms) to 1000(ms);</t>
  </si>
  <si>
    <t>V1.0.3</t>
  </si>
  <si>
    <t>2024/9/4</t>
  </si>
  <si>
    <t>1.Sheet“Legend”更新字节序与位序
2.Sheet“StationID”地址问题
3.Sheet“Comm Matrix”删除列“SPN可疑参数编号”，删除详细数据报文发送周期列
4. start bit/byte 列重新计算
5. Unit列重新核对
6. 数据包整合
7. 信号中英文描述补充完整
8. 信号名称与上位机显示匹配
9. 补充信号值描述
10.补充cmdGroup，cmdid等信息
11.修改RBMS_ConFail的信号值描述  luof03
12.添加RBMS_CellTMUXFaiIDNbr的信号值描述  luof03</t>
  </si>
  <si>
    <t>V1.0.4</t>
  </si>
  <si>
    <r>
      <rPr>
        <sz val="9.75"/>
        <color rgb="FF000000"/>
        <rFont val="等线"/>
        <charset val="134"/>
        <scheme val="minor"/>
      </rPr>
      <t>2024/9/</t>
    </r>
    <r>
      <rPr>
        <sz val="9.75"/>
        <color rgb="FF000000"/>
        <rFont val="等线"/>
        <charset val="134"/>
        <scheme val="minor"/>
      </rPr>
      <t>10</t>
    </r>
  </si>
  <si>
    <r>
      <rPr>
        <sz val="9.75"/>
        <color rgb="FF000000"/>
        <rFont val="等线"/>
        <charset val="134"/>
        <scheme val="minor"/>
      </rPr>
      <t>BBMS_SumInfo中信号</t>
    </r>
    <r>
      <rPr>
        <sz val="9.75"/>
        <color rgb="FF000000"/>
        <rFont val="等线"/>
        <charset val="134"/>
        <scheme val="minor"/>
      </rPr>
      <t>startbit修正</t>
    </r>
  </si>
  <si>
    <t>V1.0.5</t>
  </si>
  <si>
    <t>2024/10/14</t>
  </si>
  <si>
    <r>
      <rPr>
        <sz val="9.75"/>
        <color rgb="FF000000"/>
        <rFont val="等线"/>
        <charset val="134"/>
        <scheme val="minor"/>
      </rPr>
      <t>删除数据帧：RBMS_VendorVersionInfo</t>
    </r>
    <r>
      <rPr>
        <sz val="9.75"/>
        <color rgb="FF000000"/>
        <rFont val="等线"/>
        <charset val="134"/>
        <scheme val="minor"/>
      </rPr>
      <t xml:space="preserve"> 与 BBMS_VendorVersionInfo，这两帧信息在底层输出，不在通讯协议中体现</t>
    </r>
  </si>
  <si>
    <t>V1.0.6</t>
  </si>
  <si>
    <t>2024/11/06</t>
  </si>
  <si>
    <r>
      <rPr>
        <sz val="9.75"/>
        <color rgb="FF000000"/>
        <rFont val="等线"/>
        <charset val="134"/>
        <scheme val="minor"/>
      </rPr>
      <t>a</t>
    </r>
    <r>
      <rPr>
        <sz val="9.75"/>
        <color rgb="FF000000"/>
        <rFont val="等线"/>
        <charset val="134"/>
        <scheme val="minor"/>
      </rPr>
      <t>dd:
TMS与参数阈值数据帧</t>
    </r>
  </si>
  <si>
    <t>V1.0.7</t>
  </si>
  <si>
    <r>
      <rPr>
        <sz val="9.75"/>
        <color rgb="FF000000"/>
        <rFont val="等线"/>
        <charset val="134"/>
        <scheme val="minor"/>
      </rPr>
      <t>2</t>
    </r>
    <r>
      <rPr>
        <sz val="9.75"/>
        <color rgb="FF000000"/>
        <rFont val="等线"/>
        <charset val="134"/>
        <scheme val="minor"/>
      </rPr>
      <t>024/11/12</t>
    </r>
  </si>
  <si>
    <r>
      <rPr>
        <sz val="9.75"/>
        <color rgb="FF000000"/>
        <rFont val="等线"/>
        <charset val="134"/>
        <scheme val="minor"/>
      </rPr>
      <t>z</t>
    </r>
    <r>
      <rPr>
        <sz val="9.75"/>
        <color rgb="FF000000"/>
        <rFont val="等线"/>
        <charset val="134"/>
        <scheme val="minor"/>
      </rPr>
      <t>hangyf03</t>
    </r>
  </si>
  <si>
    <t>Sheet "Comm Matrix"：
1. 删除：数据帧BBMS_RTCInfo（底层已实现）、风扇控制信号HMI_CtrlBoxFanManualCtrl（MIC预制舱暂无风扇功能），列 Mapping Signal；
2. 新增列（用于自动化mapping）：Tx Mapping Signal(RBMS/BBMS)、Rx Mapping Signal(RBMS)、Rx Mapping Signal(BBMS)；
3. 新增数据帧（从已有数据帧中拆分得到）：HMI_TMSCtrlWord、HMI_BankDOCtrl、HMI_RackDOCtrl；
4. 修改错误名称 Falut -&gt; Fault；
Sheet "Message ID"：
1. 新增列：请求payload、BBMS-A；
2. BBMS_CtrlWord的HMI：Rx -&gt; /；HMI_TMSCtrlWord/HMI_BankDOCtrl的RBMS：Rx -&gt; /；
3. 根据新的BMS2.0协议重定义了cmdGroup、cmdid、请求payload、响应payload信息；</t>
  </si>
  <si>
    <t>V1.0.8</t>
  </si>
  <si>
    <t>2024/12/24</t>
  </si>
  <si>
    <t>zhangyf03</t>
  </si>
  <si>
    <t>Sheet "Comm Matrix":
1. 帧 TMS_Info：重命名为TMS_SumInfo，并与CANFD通信矩阵中TMS_SumInfo信号保持一致；补充mapping name；
2. 帧 ParaThr_TMS：修改信号 CcTHMC_EntCoolMaxTemUpLimtC 名称；修改数据类型为 fixdt(0, 16, 2^-6, -40)；删除目前未实现信号的mapping name；
3. 信号 RBMS_SumInfo/RBMS_DFCLPointTimeDay 的增益：0-&gt;1；
4. 分辨率修改：
RBMS_LstChEkWh、RBMS_LstDchEkWh：0.0078125-&gt;0.1；
BBMS_LstChEkWh、BBMS_LstDchEkWh：0.25-&gt;1；
RBMS_IsoR、RBMS_IsoRPos、RBMS_IsoRNeg、BBMS_IsoRPos、BBMS_IsoRNeg：2-&gt;1；
5. mapping信号以及数据类型信号修改：
RBMS_A: ScEMCT_RBMS_A -&gt; ScSGPC_BatIA_dbug (fixdt(0, 32, 0.001, -2000));
RBMS_ModTmpMax: ScEMCT_RBMS_ModTmpMax -&gt; ScCLTH_MaxCellTDegC (fixdt(0, 16, 2^-6, -40));
RBMS_ModTmpMin: ScEMCT_RBMS_ModTmpMin -&gt; ScCLTH_MinCellTDegC (fixdt(0, 16, 2^-6, -40));
RBMS_ModTmpAvg: ScEMCT_RBMS_ModTmpAvg -&gt; ScCLTH_AvgCellTDegC (fixdt(0, 16, 2^-6, -40));
RBMS_MaxPoleTDegC: ScEMCT_MaxPoleTDegC -&gt; ScCLTH_MaxPoleTDegC (fixdt(0, 16, 2^-6, -40));
RBMS_MinPoleTDegC: ScEMCT_MinPoleTDegC -&gt; ScCLTH_MinPoleTDegC (fixdt(0, 16, 2^-6, -40));
RBMS_AvgPoleTDegC: ScEMCT_AvgPoleTDegC -&gt; ScCLTH_AvgPoleTDegC (fixdt(0, 16, 2^-6, -40));
RBMS_ModTmp: SaEMCT_RBMS_ModTmp -&gt; SaCLTS_CellTDegC (fixdt(0, 16, 2^-6, -40));
RBMS_PoleTDegC: SaCLTS_CellTDegC (fixdt(0, 16, 2^-6, -40));
RBMS_MaxCellVMdulTDegC: ScCLTH_MaxCellVMdulTDegC (fixdt(0, 16, 2^-6, -40));
RBMS_MinCellVMdulTDegC: ScCLTH_MinCellVMdulTDegC (fixdt(0, 16, 2^-6, -40));
6. 删除帧 BBMS_Forward，在底层实现；
Sheet "Message ID"：TMS_Info -&gt; TMS_SumInfo; 删除帧 BBMS_Forward；</t>
  </si>
  <si>
    <t>V1.0.9</t>
  </si>
  <si>
    <t>2024/12/27</t>
  </si>
  <si>
    <t>Sheet "Comm Matrix"：帧 ParaThr_CellV、ParaThr_RackI、ParaThr_ModuleT、ParaThr_SOX、ParaThr_AUX更新mapping信号名，并更新信号名与mapping信号名一致；；
Sheet "Message ID"：更新各数据帧的接收/发送方；
Sheet "Station ID"：修改IP Address；</t>
  </si>
  <si>
    <t>V1.0.10</t>
  </si>
  <si>
    <r>
      <rPr>
        <sz val="9.75"/>
        <color rgb="FF000000"/>
        <rFont val="等线"/>
        <charset val="134"/>
        <scheme val="minor"/>
      </rPr>
      <t>2</t>
    </r>
    <r>
      <rPr>
        <sz val="9.75"/>
        <color rgb="FF000000"/>
        <rFont val="等线"/>
        <charset val="134"/>
        <scheme val="minor"/>
      </rPr>
      <t>025/01/06</t>
    </r>
  </si>
  <si>
    <t>Sheet "Comm Matrix" &amp; Sheet "Message ID"：
1. 新增帧 RBMS_PCBBdTemp，增加PCB板温及有效性数据；
2. 删除帧 ParaThd_TMS 中以 B/C 结尾的信号；
3. 帧 RBMS_Fault 只发给 BBMS_A，不再发给 BBMS_M；</t>
  </si>
  <si>
    <t>V1.0.11</t>
  </si>
  <si>
    <t>2025/01/13</t>
  </si>
  <si>
    <t>Sheet "Comm Matrix" &amp; Sheet "Message ID"：
1. 帧 ParaThr_TMS：修改数据类型为 fixdt(0, 16, 2^-6, -40) -&gt; fixdt(0, 8, 1, -40)；
2. 帧 RBMS_PCBBdTemp：接收方增加 HMI（但暂时无需HMI显示），便于与 BBMS_A 组播；
3. 帧 RBMS_SumInfo 中信号 RBMS_AccuDischrgAh、RBMS_AccuChrgAh：修改数据类型为 fixdt(0, 64, 0.001, 0) -&gt; fixdt(0, 32, 1, 0)；
4. 上位机 DIDO 控制需求：
    a）本地/远程控制、使能控制、连接控制、故障清除、使能绝缘检测 已在原 HMI_CtlWord 帧实现；RBMS继电器强控 已在原 HMI_RackDOCtrl 中等效实现，重命名为 HMI_RBMSRlyCtrl；
    b）新增帧 HMI_RBMSDOCtrl、HMI_BBMSDOCtrl；
    c）DIDO状态显示已在底层实现；</t>
  </si>
  <si>
    <t>V1.0.12</t>
  </si>
  <si>
    <t>2025/01/23</t>
  </si>
  <si>
    <t>Sheet "Comm Matrix":
1. 新增列 "Rx Mapping Signal(BBMS_A)"（由列"Rx Mapping Signal(BBMS_M)"复制得到），重命名列 "Tx Mapping Signal(RBMS/BBMS_M)"-&gt;"Tx Mapping Signal(RBMS/BBMS_M/BBMS_A)"；
2. 帧 RBMS_SumInfo：
    a）新增以下信号与对应 Mapping 信号（低精度信号仅发送给BBMS_M）：
RBMS_A2: ScEMCT_RBMS_A, fixdt(0, 16, 2^-3, -2000);
RBMS_ModTmpMax2:  ScEMCT_RBMS_ModTmpMax, fixdt(0, 16, 1, -40);
RBMS_ModTmpMin2: ScEMCT_RBMS_ModTmpMin, fixdt(0, 16, 1, -40);
RBMS_ModTmpAvg2: ScEMCT_RBMS_ModTmpAvg, fixdt(0, 16, 1, -40);
RBMS_MaxPoleTDegC2:  ScEMCT_MaxPoleTDegC, fixdt(0, 8, 1, -40);
RBMS_MinPoleTDegC2: ScEMCT_MinPoleTDegC, fixdt(0, 8, 1, -40);
RBMS_AvgPoleTDegC2: ScEMCT_AvgPoleTDegC, fixdt(0, 8, 1, -40);
    b）对于与以上信号名称去掉后缀"2"后相同的信号以及信号 RBMS_MaxCellVMdulTDegC/RBMS_MinCellVMdulTDegC：列"Rx Mapping Signal(BBMS_M)"的值修改为"/"（高精度信号仅发送给BBMS_A）；
3. 帧 HMI_BBMSDOCtrl 新增信号 HMI_BBMSDO11CtrlFlg；</t>
  </si>
  <si>
    <t>V1.0.13</t>
  </si>
  <si>
    <t>2025/02/18</t>
  </si>
  <si>
    <t>Sheet "Message ID":
1. 帧 RBMS_SumInfo 的 BBMS_M 列 "Rx"-&gt;"/"；(此帧暂时不发给BBMS_M，等待双网冗余完成后释放)
2. 新增帧 RBMS_SOXdebugData1、RBMS_SOXdebugData2，记录智慧森林算法调试数据；
Sheet "Comm Matrix"：
新增帧 RBMS_SOXdebugData1、RBMS_SOXdebugData2，记录智慧森林算法调试数据；</t>
  </si>
  <si>
    <t>V1.0.14</t>
  </si>
  <si>
    <t>2025/02/19</t>
  </si>
  <si>
    <t>Sheet "Comm Matrix"：
信号 RBMS_TMSFltLevel 的 Tx Mapping Signal：ScTMCR_TMSFltLevel→ScTMCR_TMSFltLevelState</t>
  </si>
  <si>
    <t>V1.0.15</t>
  </si>
  <si>
    <t>Sheet "Comm Matrix"：
帧 ParaThr_AUX 中删除信号 CcSOCA_FullChJudgeCellVmV、CcSOPC_FullDischCutVmV</t>
  </si>
  <si>
    <t>V1.0.16</t>
  </si>
  <si>
    <t>Sheet "Message ID":
1. 帧 RBMS_SumInfo 的 BBMS_M 列 "/" -&gt; "Rx"；
2. 新增帧 RBMS_AFEVolt；
Sheet "Comm Matrix"：
1. 根据 CANFD 通讯矩阵添加信号；
2. 新增帧 RBMS_AFEVolt；
3. 帧 RBMS_SumInfo：
    a）补充、修改"Rx Mapping Signal"列信号；
    b）对于涉及不同精度的电流、温度等信号，发给A核的信号名添加后缀"2"，对应的 Mapping 信号名称后添加后缀 "_A"；</t>
  </si>
  <si>
    <t>V1.0.17</t>
  </si>
  <si>
    <t>Sheet "Message ID":
1. 新增帧 HMI_RackFaultCali、HMI_BankFaultCali 相关命令，用于NVM批量标定故障次数；
Sheet "Comm Matrix"：
1. 新增帧 HMI_RackFaultCali、HMI_BankFaultCali，用于NVM批量标定故障次数；
2. 帧 BBMS_SumInfo：信号 BBMS_ConFail 修改描述与 CANFD 中一致，删除信号 BBMS_CycleTimes；
3. 帧 RBMS_SumInfo：信号 RBMS_CellTMUXFaiIDNbr 变更，删除信号 RBMS_PoleTAllVldFlg；
4. SOX调试数据帧信号修改；
5. 帧 ParaThr_AUX：修改满充满放电压阈值信号；</t>
  </si>
  <si>
    <t>V1.0.18</t>
  </si>
  <si>
    <t>Sheet "Message ID":
1. 删除帧 HMI_RackFaultCali、HMI_BankFaultCali 的读取命令；
Sheet "Comm Matrix"：
1. 帧 RBMS_SumInfo：删除信号 RBMS_CellOvTiNbr、RBMS_CellOvTempTiNbr、RBMS_FltProtnTiNbr；新增信号 RBMS_FltOvTiNbr，用于发送故障数组越限次数；
2. 帧 BBMS_SumInfo：新增信号 BBMS_FltOvTiNbr，用于发送故障数组越限次数；</t>
  </si>
  <si>
    <t>V1.0.19</t>
  </si>
  <si>
    <t>Sheet "Message ID": 新增帧 RBMS_PoleTemp；
Sheet "Comm Matrix"：新增帧 RBMS_PoleTemp（从帧 RBMS_CellTemp 中将极柱温度单独拆分成一帧 ）；</t>
  </si>
  <si>
    <t>V1.0.20</t>
  </si>
  <si>
    <t>Sheet "Comm Matrix"：帧 RBMS_PCBBdTemp：修改有效性信号Byte数、温度信号offset为-40；</t>
  </si>
  <si>
    <t>V1.0.21</t>
  </si>
  <si>
    <t>Sheet "Comm Matrix"：
1. 帧 RBMS_SumInfo：添加Reserved信号避免解析错位；删除RBMS_CellVIdxMdulNbr、RBMS_TMdulIdxNbr；增加Rack最大、最小电压/温度电芯所在模组以及模组内位置信号；RBMS_ConSt信号bit10改为急停状态；
2. 帧 BBMS_SumInfo：修改Bank最大、最小电压/温度电芯所在Rack、模组、模组内位置Tx mapping信号（将BKPC信号替换原EMCT信号）；
3. 帧 RBMS_AFEVolt：补充Tx mapping信号；</t>
  </si>
  <si>
    <t>V1.0.22</t>
  </si>
  <si>
    <t>Sheet "Comm Matrix"：
帧 ParaThr_AUX：CbSGPC_BalFordCmdFlg-&gt;CbCBCC_BalFordCmdFlg；</t>
  </si>
  <si>
    <t>V1.0.23</t>
  </si>
  <si>
    <t>Sheet "Message ID": 新增帧 RBMS_PackPosNegConnTemp，Pack正负极连接件温度及其有效性；
Sheet "Comm Matrix"：
1. 新增帧 RBMS_PackPosNegConnTemp；
2. 帧 RBMS_SumInfo：新增AFE菊花链主、副链节点数信号 RBMS_DaisyChain1LastNode、RBMS_DaisyChain2LastNode，；</t>
  </si>
  <si>
    <t>V1.0.24</t>
  </si>
  <si>
    <t>Sheet "Message ID"：删除帧 HMI_BroadcastSig；
Sheet "Comm Matrix"：
1. 删除帧 HMI_BroadcastSig；
2. 帧 ParaThr_AUX：删除4个信号CcCSPC_FullDischSumV、FULL_DISCHARGE_CELLV、CcCSPC_FullChSumV、FULL_CHARGE_CELLV；
3. 帧 ParaThr_CellV：信号CcCLVH_MaxCellVOvLvl2FltVmV-&gt;FULL_CHARGE_CELLV、CcCLVH_MinCellVUvLvl2FltVmV-&gt;FULL_DISCHARGE_CELLV；
4. 修改信号描述：帧 BBMS_SumInfo/信号BBMS_ConFail、帧 ParaThr_CellV、帧 ParaThr_RackV；</t>
  </si>
  <si>
    <t>V1.0.25</t>
  </si>
  <si>
    <t>Sheet "Comm Matrix"：帧 RBMS_SumInfo：修改高压盒温度相关信号名称、描述、Mapping信号；</t>
  </si>
  <si>
    <t>V1.0.26</t>
  </si>
  <si>
    <t>Sheet "Message ID"：
1. 增加帧 HMI_FltOvTiNbr，用于标定RBMS/BBMS_M故障越限次数；
2. 增加列 Rx_cmdType，以区分接收命令类型；
3. 增加列 BBMS_A Store，以识别A核需要保存的数据；
4. 合并电压、温度数据帧：
    a. 帧 RBMS_CellV、RBMS_AFEVolt 合并至同一帧 RBMS_Volt；
    b. 帧 RBMS_CellTemp、RBMS_PoleTemp、RBMS_PackPosNegConnTemp、RBMS_PCBBdTemp 合并至同一帧 RBMS_Temp；
Sheet "Comm Matrix"：
1. 帧 RBMS_SumInfo/RBMS_FltOvTiNbr[200] 与 帧BBMS_SumInfo/BBMS_FltOvTiNbr[200] 移至帧 HMI_FltOvTiNbr；
2. 将5s/10s/30s发送的EMCT模型输出更新为前置模块的输出变量；
3. 帧 RBMS_SumInfo 中删除部分无逻辑信号，与CAN保持一致；
4. 涉及维度信号优化：
    a. 删除有效性信号 RBMS_ModTmpVldFlg、RBMS_PoleTVldFlg、RBMS_PackPosNegConnTVldFlg（温度为-40时即为无效）；
    b. 电压、温度合并后数据帧 RBMS_Volt、RBMS_Temp：固定结构体维度，可变维度定义在Map信号中；
新增 Sheet "Device ID"：记录设备类型以及节点号；</t>
  </si>
  <si>
    <t>V1.0.27</t>
  </si>
  <si>
    <t>Sheet "Message ID"：
1. 报文 BBMS_CtlWord 增加命令，以存储所有簇的BBMS控制命令；
2. A核SSD存储信息增加报文帧：RBMS_CellBalSt、BBMS_CtrlWord、TMS_SumInfo、RBMS_SOXdebugData；
3. 报文发送周期变更：RBMS_CellBalSt 由 1s-&gt;10s，RBMS_CellSdr 由 1s-&gt;30s；
4. 新增报文 RBMS_Debug 发送命令、列 HMI Store；
Sheet "Comm Matrix"：
1. 帧 RBMS_SumInfo 删除与SOXDebug帧中重复的信号，帧 TMS_SumInfo 删除信号 TMS_Reserve；
2. fixdt(16, 0.015625, -40) 高精度温度数据类型均改为 fixdt(16, 0.1, -40)；
3. 帧 RBMS_Temp/RBMS_PackPosNegConnTDegC 维度变更：RACK_MODULE_NUMBER_MAX*2 -&gt; (RACK_AFE_NUMBER_MAX/4)*2；
4. 修改信号名称，与所属报文名称区分：RBMS_CellBalSt-&gt;RBMS_CellBalStatus、RBMS_CellSdr-&gt;RBMS_CellSdrate；
5. 新增报文 RBMS_Debug，模型调试信息；</t>
  </si>
  <si>
    <t>V1.0.28</t>
  </si>
  <si>
    <t>Sheet "Comm Matrix"
帧 BBMS_SumInfo/BBMS_TotalDCCur 数据类型修改 fixdt(0,32,0.125,-20000) -&gt; fixdt(0,16,0.125,-4000)；</t>
  </si>
  <si>
    <t>V1.0.29</t>
  </si>
  <si>
    <t>lijy06</t>
  </si>
  <si>
    <t>Sheet "Message ID"：
1. 修改列名：去掉中文以及换行符；
Sheet "Comm Matrix"：
1. 修改信号值描述和增加上位机是否显示列'Upper Computer Display'，目的是为了上位机的UI_Layout直接从通讯矩阵读取；
2. 修改列名：去掉中文以及换行符；</t>
  </si>
  <si>
    <t>V1.0.30</t>
  </si>
  <si>
    <t>新增 Sheet "SSD Store Calculation"，理论计算SSD存储数据为CSV格式所需内存；
Sheet "Message ID"：
1. 新增BBMS_A核的SOC、SOH输出结果帧：BBMS_A_SOCInfo、BBMS_A_SOHInfo，以及故障信息帧：BBMS_A_Fault；
2. BBMS_CtlWordAllRack 命令需要发给HMI，进行存储；
Sheet "Comm Matrix"：
1. A核单芯算法集成：
    a. 新增BBMS_A核的SOC、SOH输出结果帧 BBMS_A_SOCInfo、BBMS_A_SOHInfo；
    b. 优化 RBMS_SOXdebugData1、SOXdebugData2中信号；
    c. 核对列 'Rx Mapping Signal(BBMS_A)'信号；
2. 新增A核故障信息帧：BBMS_A_Fault；
3. 新增列 "CSV Store Length(Byte)"，记录信号存储为字符串所需字符数，用于计算SSD内存；
4. LAN优化：
    a. RBMS_ConFail、BBMS_ConFail：修改信号描述；
    b. RBMS_SumInfo：电压Max/Min/Avg的Mapping信号改为CLVH输出信号；新增CLTH输出的最大/小温度电芯位置；删除冗余信号“菊花链断线位置” RBMS_IsoSPIDcnctPstn-&gt;Reserved1；
    c. BBMS_SumInfo：累积/上一次充放电容量/能量的Mapping信号改为BSOX输出信号；新增Rack使能、在线数量；</t>
  </si>
  <si>
    <t>V1.0.31</t>
  </si>
  <si>
    <t xml:space="preserve">Sheet "Message ID"：
1. 新增列"BBMS_A To EMS"，标识该报文是否发送至EMS；
2. 新增报文 HMI_FltEna 的读取和写入故障使能数组命令；
3. 新增报文 BBMS_A_Selfdr 的发送命令；
Sheet "Comm Matrix"：
1. 列"Upper Computer Display"：帧RBMS/BBMS/TMS_SumInfo中上位机展示信号添加区块分类和序号；
2. 列"Signal Description"：统一格式为 英文\n中文；
3. 新增报文 HMI_FltEna，用于上位机读取和写入故障使能数组；
4. 新增报文 BBMS_A_Selfdr，用于发送自放电率演变信息（欧盟电池法案需求）；
5. 信号变更：
    a. 优化帧 RBMS_SOXdebugData1 信号；
    b. 帧 BBMS_SumInfo：
        1) 信号 BBMS_ConFail 拆分为 BBMS_ConFail、BBMS_RackFltLvl1Nbr；
        2) 信号 BBMS_IDLearnSt 更新 Signal Value Description；
    c. 帧 RBMS_SumInfo：
        1) 信号 RBMS_StrCtrlHb 在A核Rx Map：/-&gt;BSWSRackStrCtrlHb；信号 RBMS_RealCellCapAh在M核Rx Map：BSWSRackSysCellCapAh-&gt;/；
        2) 信号 RBMS_AFEV 数据类型变更：fixdt(0,16,0.001,0)V-&gt;fixdt(0,32,1,0)mV；
        3) 信号 RBMS_RealSysCapAh/RBMS_RealCellCapAh：分辨率1-&gt;0.1，Tx信号均改为ScSOHA_RealSysCapAh/ScSOHA_RealCellCapAh-&gt;ScSOHA_RealSysCapAh_dbug；RBMS_RealSysSOCPct Tx信号改为ScSOCA_RealSysSOCPct-&gt;ScSOCA_RealSysSOCPct_dbug；
        4) 新增：最近一次簇充放电容量、低精度的历史累积充放电容量/能量，用于发送至M核计算Bank信息；
    d. TMS 信号温度数据类型变更：偏置-40 -&gt; 0；上位机TMS控制信号RBMS Rx信号-&gt;/； </t>
  </si>
  <si>
    <t>V1.0.32</t>
  </si>
  <si>
    <t>删除帧 HMI_BankAccuEnerg</t>
  </si>
  <si>
    <t>V1.0.33</t>
  </si>
  <si>
    <t>Sheet "Message ID":
1. 新增帧 BBMS_SafetySignal 的发送命令；
Sheet "Comm Matrix"：
1. 帧 RBMS_SumInfo：
    1）信号RBMS_ConFail、RBMS_RlyCtrlCmd 描述更新；
    2）删除信号 RBMS_SwitchToLocalPreFlag -&gt; Reserved2；
    3）新增信号 RBMS_FltSOPDischCoeffPct、RBMS_FltSOPChCoeffPct，二级板基于故障的充放电降功率系数；
2. 帧 RBMS_Debug 信号更新；
3. 新增帧 BBMS_SafetySignal；
4. 帧 BBMS_SumInfo：信号 BBMS_HumSensorRH、BBMS_TmpSensorRH上位机不显示；</t>
  </si>
  <si>
    <t>V1.0.34</t>
  </si>
  <si>
    <t>Sheet "Comm Matrix"：
1. 信号描述英文名优化；
2. TMS_SumInfo：出水、回水、环境温度数据类型更改uint8 -&gt; fixdt(0,8,1,-40)、mapping信号更改；
3. RBMS_SumInfo：
    1）高压盒温度Max、极柱温度Max/Min增加M核映射；
    2）删除极柱温度概要有效性，新增高压盒温度Min：RBMS_GenlPoleTVldFlg-&gt;RBMS_HvBoxMinTemp；
    3）RBMS_GenlVldFlg 信号取值描述增加高压盒、极柱温度概要有效性；
4. RBMS_Temp：极柱温度维度变更RACK_AFE_NUMBER_MAX*2 -&gt; RACK_AFE_NUMBER_MAX*4；</t>
  </si>
  <si>
    <t>V1.0.35</t>
  </si>
  <si>
    <t>Sheet "Comm Matrix"：
BBMS_SumInfo：新增系统可充/放容量；电压、温度最大/小位置信号由BKPC信号改为EMCT输出信号；</t>
  </si>
  <si>
    <t>V1.0.36</t>
  </si>
  <si>
    <t>Sheet "Comm Matrix"：
1. RBMS_SumInfo：Rack最高/低高压盒温度在上位机显示；新增12V供电电压，并在上位机显示；
2. BBMS_SumInfo：BBMS_PmtRkFltNum在上位机显示；新增系统最高/低高压盒温度，并在上位机显示；
3. HMI_CtlWord：信号 HMI_PmtRkFltNum 修改Rx Mapping信号：EGLGR_PmtRkFltNum-&gt;BESS_ALLOWED_RACK_FOR_PARTIAL_OPERATION_MIN； 
4. RBMS_Debug：新增电流无效底层接口；</t>
  </si>
  <si>
    <t>V1.0.37</t>
  </si>
  <si>
    <t>Sheet "Comm Matrix"：
1. RBMS_SumInfo：
    1）更新绝缘禁止原因 RBMS_IslnInhibitNbr 信号值描述；
    2）删除低精度的电芯、极柱温度及其位置-&gt;Reserved；高压箱、PCB板温度数据类型 fixdt(0,8,1,-40)-&gt;fixdt(0,16,0.1,-40)，相关Tx信号由EMCT信号改为CLTH信号；
    3）新增2个传感器电流值 RBMS_A1、RBMS_A2；
    4）RBMS_CurrSnsrPowSplyVoltV 分辨率 2^-10 -&gt; 1，单位 V-&gt;mV，Tx信号由LVPS信号改为EMCT信号；
    5）RBMS_St 新增A核Rx信号；
2. RBMS_Temp：RBMS_PCBBdTDegC 数据类型 fixdt(0,8,1,-40)-&gt;fixdt(0,16,0.1,-40)，相关Tx信号由EMCT信号改为CLTS信号；
3. BBMS_SumInfo：
    1）更新高压连接失败原因 BBMS_ConFail 信号值描述；
    2）电芯、高压箱温度数据类型 fixdt(0,8,1,-40)-&gt;fixdt(0,16,0.1,-40)，相关Tx信号由EMCT信号改为BKPC信号；
4. BBMS_CtlWord：新增信号 BBMS_RackEnableFlg、BBMS_AllowRackExitFlg，支持退簇功能；</t>
  </si>
  <si>
    <t>V1.0.38</t>
  </si>
  <si>
    <t>Sheet "Comm Matrix"：
RBMS_Debug：新增继电器带载断开状态 SbCTSC_RlyLoadBreakFlg、带载断开电流 ScCTSC_RlyLoadBreakCurrentA；</t>
  </si>
  <si>
    <t>V1.0.39</t>
  </si>
  <si>
    <t>Sheet "Comm Matrix"：
RBMS_SumInfo：新增通讯类型信号 RBMS_CommType；
BBMS_SumInfo：BBMS_CntrSt 信号取值描述更新；新增最高/低极柱温度；</t>
  </si>
  <si>
    <t>V1.0.40</t>
  </si>
  <si>
    <t>Sheet "Comm Matrix"：
1. RBMS_SumInfo：RBMS_MCURstRsnNbr信号描述、取值描述更新；RBMS_GenlVldFlg信号取值描述、Tx信号变更；新增信号Reserved5-&gt;RBMS_MCURstFltRsnNbr、RBMS_PCSChVoltLim、RBMS_PCSDchVoltLim、RBMS_PCSSOP、RBMS_PCSBMSSt；
2. BBMS_SumInfo：BBMS_BMSMaxFltLevel信号描述更新；新增信号Reserved2-&gt;BBMS_ProhUpgradeFlg；
3. BBMS_CtlWord：新增信号BBMS_SystemAchitectureNbr、BBMS_BankFltLvl、BBMS_FltSOPDischCoeffPct、BBMS_FltSOPChCoeffPct；
4. RBMS_SOXdebugData2：新增信号ScSOCA_TgtSysSOCPct；</t>
  </si>
  <si>
    <t>V1.0.41</t>
  </si>
  <si>
    <t>Sheet "Message ID"：新增BBMS_A_CtlWord的周期发送命令；
Sheet "Comm Matrix"：
1. RBMS_SumInfo、BBMS_SumInfo：信号RBMS_ConFail、BBMS_ConFail、RBMS_St、BBMS_SysOperSt信号取值描述更新；
2. BBMS_CtlWord、HMI_CtlWord：信号BBMS_LocRemCtl、HMI_LocRemCtl位置、BitLen、信号取值描述变更；
3. RBMS_Debug：电流传感器相关信号变更；新增底层AFE采样错误观测信号；
4. 新增帧BBMS_A_CtlWord；</t>
  </si>
  <si>
    <t>V1.0.42</t>
  </si>
  <si>
    <t>Sheet "Message ID"：
1. 新增报文HMI_TMSCtrlWord、TMS_SumInfo、ParaThr_TMS做在RBMS上的TMS相关命令，兼容2.3平台项目；
2. 新增列"cmdNum"，用于统计同一帧报文的命令数量；
3. 删除列"BBMS_A To EMS"；
Sheet "Comm Matrix"：
1. 由于同一帧报文具有多条命令，避免歧义，删除列sendType、Periodic Time、cmdGroup、cmdid、HMI、BBMS_A、BBMS_M、RBMS；
2. 报文 HMI_TMSCtrlWord、ParaThr_TMS 新增RBMS的Mapping信号，兼容2.3平台项目；
3. RBMS/BBMS_SumInfo：部分信号描述中英文修改，以满足欧盟法案要求；RBMS_AttachState新增Tx信号；删除信号RBMS_IDLearnDIIN-&gt;Reserved5、RBMS_RackNo-&gt;Reserved6，无任何逻辑；</t>
  </si>
  <si>
    <t>V1.0.43</t>
  </si>
  <si>
    <t>Sheet "Comm Matrix"：
1. 报文 HMI_TMSCtrlWord、TMS_SumInfo：新增信号TMSNo，表示TMS编号（1个堆包含多个TMS时）；TMS_SumInfo新增信号TMSCoolState；
2. RBMS_SumInfo：最高/低极柱温度位置在上位机展示；新增最高/低极柱温度模组位置；部分信号描述中英文优化；
3. BBMS_SumInfo：新增最高/低极柱温度及所在Rack、模组、模组内位置，最高/低高压箱温度所在Rack位置，并在上位机展示；BBMS_IDLearnSt信号取值描述更新；
4. 上位机展示值中文-&gt;英文；</t>
  </si>
  <si>
    <t>V1.0.44</t>
  </si>
  <si>
    <t>Sheet "Message ID"：HMI_CtlWord 命令列"BBMS_A"由 / -&gt; Rx； 
Sheet "Comm Matrix"：HMI_CtlWord：信号 HMI_AlmRst 增加 BBMS_A 的 Rx 信号，支持A核故障清除功能；</t>
  </si>
  <si>
    <t>Legend
矩阵说明</t>
  </si>
  <si>
    <t>Requset
通信要求</t>
  </si>
  <si>
    <r>
      <rPr>
        <b/>
        <sz val="9.75"/>
        <color rgb="FF000000"/>
        <rFont val="Calibri"/>
        <charset val="134"/>
      </rPr>
      <t xml:space="preserve">Property
</t>
    </r>
    <r>
      <rPr>
        <b/>
        <sz val="9.75"/>
        <color rgb="FF000000"/>
        <rFont val="Calibri"/>
        <charset val="134"/>
      </rPr>
      <t>属性</t>
    </r>
  </si>
  <si>
    <r>
      <rPr>
        <b/>
        <sz val="9.75"/>
        <color rgb="FF000000"/>
        <rFont val="Calibri"/>
        <charset val="134"/>
      </rPr>
      <t xml:space="preserve">Description
</t>
    </r>
    <r>
      <rPr>
        <b/>
        <sz val="9.75"/>
        <color rgb="FF000000"/>
        <rFont val="Calibri"/>
        <charset val="134"/>
      </rPr>
      <t>描述</t>
    </r>
  </si>
  <si>
    <t>Message Name
报文名称</t>
  </si>
  <si>
    <r>
      <rPr>
        <sz val="9.75"/>
        <color rgb="FF000000"/>
        <rFont val="Calibri"/>
        <charset val="134"/>
      </rPr>
      <t>例：</t>
    </r>
    <r>
      <rPr>
        <sz val="9.75"/>
        <color rgb="FF000000"/>
        <rFont val="Calibri"/>
        <charset val="134"/>
      </rPr>
      <t>RBMS_CellV</t>
    </r>
    <r>
      <rPr>
        <sz val="9.75"/>
        <color rgb="FF000000"/>
        <rFont val="Calibri"/>
        <charset val="134"/>
      </rPr>
      <t>表示</t>
    </r>
    <r>
      <rPr>
        <sz val="9.75"/>
        <color rgb="FF000000"/>
        <rFont val="Calibri"/>
        <charset val="134"/>
      </rPr>
      <t>RBMS</t>
    </r>
    <r>
      <rPr>
        <sz val="9.75"/>
        <color rgb="FF000000"/>
        <rFont val="Calibri"/>
        <charset val="134"/>
      </rPr>
      <t>发送的</t>
    </r>
    <r>
      <rPr>
        <sz val="9.75"/>
        <color rgb="FF000000"/>
        <rFont val="Calibri"/>
        <charset val="134"/>
      </rPr>
      <t>CellV</t>
    </r>
    <r>
      <rPr>
        <sz val="9.75"/>
        <color rgb="FF000000"/>
        <rFont val="Calibri"/>
        <charset val="134"/>
      </rPr>
      <t>报文</t>
    </r>
  </si>
  <si>
    <r>
      <rPr>
        <b/>
        <sz val="9.75"/>
        <color rgb="FF000000"/>
        <rFont val="等线"/>
        <charset val="134"/>
        <scheme val="minor"/>
      </rPr>
      <t xml:space="preserve">Byte/Bit Order
</t>
    </r>
    <r>
      <rPr>
        <b/>
        <sz val="9.75"/>
        <color rgb="FF000000"/>
        <rFont val="Calibri"/>
        <charset val="134"/>
      </rPr>
      <t>排列格式</t>
    </r>
  </si>
  <si>
    <t>Intel Little Endian/LSB</t>
  </si>
  <si>
    <t>Message Send Type
报文发送类型</t>
  </si>
  <si>
    <r>
      <rPr>
        <sz val="9.75"/>
        <color rgb="FF000000"/>
        <rFont val="Calibri"/>
        <charset val="134"/>
      </rPr>
      <t>Periodic:</t>
    </r>
    <r>
      <rPr>
        <sz val="9.75"/>
        <color rgb="FF000000"/>
        <rFont val="Calibri"/>
        <charset val="134"/>
      </rPr>
      <t>固定周期发送</t>
    </r>
    <r>
      <rPr>
        <sz val="9.75"/>
        <color rgb="FF000000"/>
        <rFont val="Calibri"/>
        <charset val="134"/>
      </rPr>
      <t>;
Event:</t>
    </r>
    <r>
      <rPr>
        <sz val="9.75"/>
        <color rgb="FF000000"/>
        <rFont val="Calibri"/>
        <charset val="134"/>
      </rPr>
      <t>事件未触发时不发送，事件触发时按快速周期发送</t>
    </r>
    <r>
      <rPr>
        <sz val="9.75"/>
        <color rgb="FF000000"/>
        <rFont val="Calibri"/>
        <charset val="134"/>
      </rPr>
      <t>N</t>
    </r>
    <r>
      <rPr>
        <sz val="9.75"/>
        <color rgb="FF000000"/>
        <rFont val="Calibri"/>
        <charset val="134"/>
      </rPr>
      <t>次，快速发送周期默认</t>
    </r>
    <r>
      <rPr>
        <sz val="9.75"/>
        <color rgb="FF000000"/>
        <rFont val="Calibri"/>
        <charset val="134"/>
      </rPr>
      <t>50ms</t>
    </r>
    <r>
      <rPr>
        <sz val="9.75"/>
        <color rgb="FF000000"/>
        <rFont val="Calibri"/>
        <charset val="134"/>
      </rPr>
      <t>，发送次数默认</t>
    </r>
    <r>
      <rPr>
        <sz val="9.75"/>
        <color rgb="FF000000"/>
        <rFont val="Calibri"/>
        <charset val="134"/>
      </rPr>
      <t>3</t>
    </r>
    <r>
      <rPr>
        <sz val="9.75"/>
        <color rgb="FF000000"/>
        <rFont val="Calibri"/>
        <charset val="134"/>
      </rPr>
      <t>次</t>
    </r>
    <r>
      <rPr>
        <sz val="9.75"/>
        <color rgb="FF000000"/>
        <rFont val="Calibri"/>
        <charset val="134"/>
      </rPr>
      <t>;
IfActive:1.</t>
    </r>
    <r>
      <rPr>
        <sz val="9.75"/>
        <color rgb="FF000000"/>
        <rFont val="Calibri"/>
        <charset val="134"/>
      </rPr>
      <t>未触发时固定周期发送，触发后以较快周期发送；</t>
    </r>
    <r>
      <rPr>
        <sz val="9.75"/>
        <color rgb="FF000000"/>
        <rFont val="Calibri"/>
        <charset val="134"/>
      </rPr>
      <t>2.</t>
    </r>
    <r>
      <rPr>
        <sz val="9.75"/>
        <color rgb="FF000000"/>
        <rFont val="Calibri"/>
        <charset val="134"/>
      </rPr>
      <t>未触发时不发送，触发后以固定周期发送</t>
    </r>
    <r>
      <rPr>
        <sz val="9.75"/>
        <color rgb="FF000000"/>
        <rFont val="Calibri"/>
        <charset val="134"/>
      </rPr>
      <t>;
PE:</t>
    </r>
    <r>
      <rPr>
        <sz val="9.75"/>
        <color rgb="FF000000"/>
        <rFont val="Calibri"/>
        <charset val="134"/>
      </rPr>
      <t>事件未触发时按固定周期发送，事件触发时按快速周期发送</t>
    </r>
    <r>
      <rPr>
        <sz val="9.75"/>
        <color rgb="FF000000"/>
        <rFont val="Calibri"/>
        <charset val="134"/>
      </rPr>
      <t>N</t>
    </r>
    <r>
      <rPr>
        <sz val="9.75"/>
        <color rgb="FF000000"/>
        <rFont val="Calibri"/>
        <charset val="134"/>
      </rPr>
      <t>次，快速发送周期默认</t>
    </r>
    <r>
      <rPr>
        <sz val="9.75"/>
        <color rgb="FF000000"/>
        <rFont val="Calibri"/>
        <charset val="134"/>
      </rPr>
      <t>50ms</t>
    </r>
    <r>
      <rPr>
        <sz val="9.75"/>
        <color rgb="FF000000"/>
        <rFont val="Calibri"/>
        <charset val="134"/>
      </rPr>
      <t>，发送次数默认</t>
    </r>
    <r>
      <rPr>
        <sz val="9.75"/>
        <color rgb="FF000000"/>
        <rFont val="Calibri"/>
        <charset val="134"/>
      </rPr>
      <t>3</t>
    </r>
    <r>
      <rPr>
        <sz val="9.75"/>
        <color rgb="FF000000"/>
        <rFont val="Calibri"/>
        <charset val="134"/>
      </rPr>
      <t>次</t>
    </r>
    <r>
      <rPr>
        <sz val="9.75"/>
        <color rgb="FF000000"/>
        <rFont val="Calibri"/>
        <charset val="134"/>
      </rPr>
      <t>;
On Request:</t>
    </r>
    <r>
      <rPr>
        <sz val="9.75"/>
        <color rgb="FF000000"/>
        <rFont val="Calibri"/>
        <charset val="134"/>
      </rPr>
      <t>接收到请求后触发</t>
    </r>
    <r>
      <rPr>
        <sz val="9.75"/>
        <color rgb="FF000000"/>
        <rFont val="Calibri"/>
        <charset val="134"/>
      </rPr>
      <t>;</t>
    </r>
  </si>
  <si>
    <t>Data Type
数据类型</t>
  </si>
  <si>
    <t>Unsigned integer</t>
  </si>
  <si>
    <r>
      <rPr>
        <b/>
        <sz val="9.75"/>
        <color rgb="FF000000"/>
        <rFont val="Calibri"/>
        <charset val="134"/>
      </rPr>
      <t xml:space="preserve">Message Periodic Time (ms)
</t>
    </r>
    <r>
      <rPr>
        <b/>
        <sz val="9.75"/>
        <color rgb="FF000000"/>
        <rFont val="Calibri"/>
        <charset val="134"/>
      </rPr>
      <t>报文周期时间</t>
    </r>
  </si>
  <si>
    <r>
      <rPr>
        <sz val="9.75"/>
        <color rgb="FF000000"/>
        <rFont val="Calibri"/>
        <charset val="134"/>
      </rPr>
      <t>单位：毫秒（</t>
    </r>
    <r>
      <rPr>
        <sz val="9.75"/>
        <color rgb="FF000000"/>
        <rFont val="Calibri"/>
        <charset val="134"/>
      </rPr>
      <t>ms</t>
    </r>
    <r>
      <rPr>
        <sz val="9.75"/>
        <color rgb="FF000000"/>
        <rFont val="Calibri"/>
        <charset val="134"/>
      </rPr>
      <t>）</t>
    </r>
  </si>
  <si>
    <r>
      <rPr>
        <b/>
        <sz val="9.75"/>
        <color rgb="FF000000"/>
        <rFont val="Calibri"/>
        <charset val="134"/>
      </rPr>
      <t xml:space="preserve">说明：
</t>
    </r>
    <r>
      <rPr>
        <sz val="9.75"/>
        <color rgb="FF000000"/>
        <rFont val="Calibri"/>
        <charset val="134"/>
      </rPr>
      <t>Big Endian 大端：一个数值的最高有效字节存放在最低的内存地址上
LSB (Least Significant Bit): 最低有效位, 最右边的一位, 从右到左发送</t>
    </r>
  </si>
  <si>
    <r>
      <rPr>
        <b/>
        <sz val="9.75"/>
        <color rgb="FF000000"/>
        <rFont val="Calibri"/>
        <charset val="134"/>
      </rPr>
      <t xml:space="preserve">Signal Name
</t>
    </r>
    <r>
      <rPr>
        <b/>
        <sz val="9.75"/>
        <color rgb="FF000000"/>
        <rFont val="Calibri"/>
        <charset val="134"/>
      </rPr>
      <t>信号名称</t>
    </r>
  </si>
  <si>
    <r>
      <rPr>
        <sz val="9.75"/>
        <color rgb="FF000000"/>
        <rFont val="Calibri"/>
        <charset val="134"/>
      </rPr>
      <t>例：</t>
    </r>
    <r>
      <rPr>
        <sz val="9.75"/>
        <color rgb="FF000000"/>
        <rFont val="Calibri"/>
        <charset val="134"/>
      </rPr>
      <t>RBMS_Life</t>
    </r>
    <r>
      <rPr>
        <sz val="9.75"/>
        <color rgb="FF000000"/>
        <rFont val="Calibri"/>
        <charset val="134"/>
      </rPr>
      <t>表示</t>
    </r>
    <r>
      <rPr>
        <sz val="9.75"/>
        <color rgb="FF000000"/>
        <rFont val="Calibri"/>
        <charset val="134"/>
      </rPr>
      <t>RACK BMS</t>
    </r>
    <r>
      <rPr>
        <sz val="9.75"/>
        <color rgb="FF000000"/>
        <rFont val="Calibri"/>
        <charset val="134"/>
      </rPr>
      <t>发送的生命值信号</t>
    </r>
  </si>
  <si>
    <r>
      <rPr>
        <b/>
        <sz val="9.75"/>
        <color rgb="FF000000"/>
        <rFont val="Calibri"/>
        <charset val="134"/>
      </rPr>
      <t xml:space="preserve">Signal Description
</t>
    </r>
    <r>
      <rPr>
        <b/>
        <sz val="9.75"/>
        <color rgb="FF000000"/>
        <rFont val="Calibri"/>
        <charset val="134"/>
      </rPr>
      <t>信号描述</t>
    </r>
  </si>
  <si>
    <r>
      <rPr>
        <b/>
        <sz val="9.75"/>
        <color rgb="FF000000"/>
        <rFont val="Calibri"/>
        <charset val="134"/>
      </rPr>
      <t xml:space="preserve">Byte
</t>
    </r>
    <r>
      <rPr>
        <b/>
        <sz val="9.75"/>
        <color rgb="FF000000"/>
        <rFont val="Calibri"/>
        <charset val="134"/>
      </rPr>
      <t>字节</t>
    </r>
  </si>
  <si>
    <t>1-1500Byte</t>
  </si>
  <si>
    <r>
      <rPr>
        <b/>
        <sz val="9.75"/>
        <color rgb="FF000000"/>
        <rFont val="Calibri"/>
        <charset val="134"/>
      </rPr>
      <t xml:space="preserve">Bit
</t>
    </r>
    <r>
      <rPr>
        <b/>
        <sz val="9.75"/>
        <color rgb="FF000000"/>
        <rFont val="Calibri"/>
        <charset val="134"/>
      </rPr>
      <t>位</t>
    </r>
  </si>
  <si>
    <t>8-1Bit</t>
  </si>
  <si>
    <r>
      <rPr>
        <b/>
        <sz val="9.75"/>
        <color rgb="FF000000"/>
        <rFont val="Calibri"/>
        <charset val="134"/>
      </rPr>
      <t xml:space="preserve">Signal Send Type
</t>
    </r>
    <r>
      <rPr>
        <b/>
        <sz val="9.75"/>
        <color rgb="FF000000"/>
        <rFont val="Calibri"/>
        <charset val="134"/>
      </rPr>
      <t>信号发送类型</t>
    </r>
  </si>
  <si>
    <t>Periodic
OnChange 
OnChangeWithRepetition
IfActive</t>
  </si>
  <si>
    <r>
      <rPr>
        <b/>
        <sz val="9.75"/>
        <color rgb="FF000000"/>
        <rFont val="Calibri"/>
        <charset val="134"/>
      </rPr>
      <t xml:space="preserve">Bit Length (Bit)
</t>
    </r>
    <r>
      <rPr>
        <b/>
        <sz val="9.75"/>
        <color rgb="FF000000"/>
        <rFont val="Calibri"/>
        <charset val="134"/>
      </rPr>
      <t>信号长度</t>
    </r>
  </si>
  <si>
    <r>
      <rPr>
        <b/>
        <sz val="9.75"/>
        <color rgb="FF000000"/>
        <rFont val="Calibri"/>
        <charset val="134"/>
      </rPr>
      <t xml:space="preserve">Resolution
</t>
    </r>
    <r>
      <rPr>
        <b/>
        <sz val="9.75"/>
        <color rgb="FF000000"/>
        <rFont val="Calibri"/>
        <charset val="134"/>
      </rPr>
      <t>精度</t>
    </r>
  </si>
  <si>
    <r>
      <rPr>
        <sz val="9.75"/>
        <color rgb="FF000000"/>
        <rFont val="Calibri"/>
        <charset val="134"/>
      </rPr>
      <t xml:space="preserve">Used to Transform the Hex Value to Physical Value or in Reverse Direction.
[Physical Value] = ( [Hex Value] * [Resolution] ) + [Offset]
</t>
    </r>
    <r>
      <rPr>
        <sz val="9.75"/>
        <color rgb="FF000000"/>
        <rFont val="Calibri"/>
        <charset val="134"/>
      </rPr>
      <t xml:space="preserve">用于十六进制和物理值间的相互转换。
</t>
    </r>
    <r>
      <rPr>
        <sz val="9.75"/>
        <color rgb="FF000000"/>
        <rFont val="Calibri"/>
        <charset val="134"/>
      </rPr>
      <t>[</t>
    </r>
    <r>
      <rPr>
        <sz val="9.75"/>
        <color rgb="FF000000"/>
        <rFont val="Calibri"/>
        <charset val="134"/>
      </rPr>
      <t>物理值</t>
    </r>
    <r>
      <rPr>
        <sz val="9.75"/>
        <color rgb="FF000000"/>
        <rFont val="Calibri"/>
        <charset val="134"/>
      </rPr>
      <t>] = ( [</t>
    </r>
    <r>
      <rPr>
        <sz val="9.75"/>
        <color rgb="FF000000"/>
        <rFont val="Calibri"/>
        <charset val="134"/>
      </rPr>
      <t>十六进制值</t>
    </r>
    <r>
      <rPr>
        <sz val="9.75"/>
        <color rgb="FF000000"/>
        <rFont val="Calibri"/>
        <charset val="134"/>
      </rPr>
      <t>] * [</t>
    </r>
    <r>
      <rPr>
        <sz val="9.75"/>
        <color rgb="FF000000"/>
        <rFont val="Calibri"/>
        <charset val="134"/>
      </rPr>
      <t>精度</t>
    </r>
    <r>
      <rPr>
        <sz val="9.75"/>
        <color rgb="FF000000"/>
        <rFont val="Calibri"/>
        <charset val="134"/>
      </rPr>
      <t>] ) + [</t>
    </r>
    <r>
      <rPr>
        <sz val="9.75"/>
        <color rgb="FF000000"/>
        <rFont val="Calibri"/>
        <charset val="134"/>
      </rPr>
      <t>偏移量</t>
    </r>
    <r>
      <rPr>
        <sz val="9.75"/>
        <color rgb="FF000000"/>
        <rFont val="Calibri"/>
        <charset val="134"/>
      </rPr>
      <t>]</t>
    </r>
  </si>
  <si>
    <r>
      <rPr>
        <b/>
        <sz val="9.75"/>
        <color rgb="FF000000"/>
        <rFont val="Calibri"/>
        <charset val="134"/>
      </rPr>
      <t xml:space="preserve">Offset
</t>
    </r>
    <r>
      <rPr>
        <b/>
        <sz val="9.75"/>
        <color rgb="FF000000"/>
        <rFont val="Calibri"/>
        <charset val="134"/>
      </rPr>
      <t>偏移量</t>
    </r>
  </si>
  <si>
    <r>
      <rPr>
        <sz val="9.75"/>
        <color rgb="FF000000"/>
        <rFont val="Calibri"/>
        <charset val="134"/>
      </rPr>
      <t xml:space="preserve">Offset Value of the Signal.
</t>
    </r>
    <r>
      <rPr>
        <sz val="9.75"/>
        <color rgb="FF000000"/>
        <rFont val="Calibri"/>
        <charset val="134"/>
      </rPr>
      <t>信号的偏移量。</t>
    </r>
  </si>
  <si>
    <r>
      <rPr>
        <b/>
        <sz val="9.75"/>
        <color rgb="FF000000"/>
        <rFont val="Calibri"/>
        <charset val="134"/>
      </rPr>
      <t xml:space="preserve">Signal Min. Value (phys)
</t>
    </r>
    <r>
      <rPr>
        <b/>
        <sz val="9.75"/>
        <color rgb="FF000000"/>
        <rFont val="Calibri"/>
        <charset val="134"/>
      </rPr>
      <t>物理最小值</t>
    </r>
  </si>
  <si>
    <r>
      <rPr>
        <sz val="9.75"/>
        <color rgb="FF000000"/>
        <rFont val="等线"/>
        <charset val="134"/>
        <scheme val="minor"/>
      </rPr>
      <t xml:space="preserve">Physical Minimum Value of the Signal in Physical Value
</t>
    </r>
    <r>
      <rPr>
        <sz val="9.75"/>
        <color rgb="FF000000"/>
        <rFont val="Calibri"/>
        <charset val="134"/>
      </rPr>
      <t>信号的物理最小值</t>
    </r>
  </si>
  <si>
    <r>
      <rPr>
        <b/>
        <sz val="9.75"/>
        <color rgb="FF000000"/>
        <rFont val="Calibri"/>
        <charset val="134"/>
      </rPr>
      <t xml:space="preserve">Signal Max. Value(phys)
</t>
    </r>
    <r>
      <rPr>
        <b/>
        <sz val="9.75"/>
        <color rgb="FF000000"/>
        <rFont val="Calibri"/>
        <charset val="134"/>
      </rPr>
      <t>物理最大值</t>
    </r>
  </si>
  <si>
    <r>
      <rPr>
        <sz val="9.75"/>
        <color rgb="FF000000"/>
        <rFont val="Calibri"/>
        <charset val="134"/>
      </rPr>
      <t xml:space="preserve">Physical maximum Value of the signal in physical Value
</t>
    </r>
    <r>
      <rPr>
        <sz val="9.75"/>
        <color rgb="FF000000"/>
        <rFont val="Calibri"/>
        <charset val="134"/>
      </rPr>
      <t>信号的物理最大值</t>
    </r>
  </si>
  <si>
    <r>
      <rPr>
        <b/>
        <sz val="9.75"/>
        <color rgb="FF000000"/>
        <rFont val="Calibri"/>
        <charset val="134"/>
      </rPr>
      <t xml:space="preserve">Signal Max. Value(Raw)
</t>
    </r>
    <r>
      <rPr>
        <b/>
        <sz val="9.75"/>
        <color rgb="FF000000"/>
        <rFont val="Calibri"/>
        <charset val="134"/>
      </rPr>
      <t>原始最大值</t>
    </r>
  </si>
  <si>
    <r>
      <rPr>
        <sz val="9.75"/>
        <color rgb="FF000000"/>
        <rFont val="Calibri"/>
        <charset val="134"/>
      </rPr>
      <t xml:space="preserve">Raw maximum Value of the signal in physical Value
</t>
    </r>
    <r>
      <rPr>
        <sz val="9.75"/>
        <color rgb="FF000000"/>
        <rFont val="Calibri"/>
        <charset val="134"/>
      </rPr>
      <t>信号的原始最大值</t>
    </r>
  </si>
  <si>
    <t>Initial Value(Hex)
初始值</t>
  </si>
  <si>
    <r>
      <rPr>
        <sz val="9.75"/>
        <color rgb="FF000000"/>
        <rFont val="Calibri"/>
        <charset val="134"/>
      </rPr>
      <t xml:space="preserve">Predefined Value If no valid signal is Available after Network Startup.
</t>
    </r>
    <r>
      <rPr>
        <sz val="9.75"/>
        <color rgb="FF000000"/>
        <rFont val="Calibri"/>
        <charset val="134"/>
      </rPr>
      <t>网络启动后没有可用的有效值而预定义的值</t>
    </r>
  </si>
  <si>
    <r>
      <rPr>
        <b/>
        <sz val="9.75"/>
        <color rgb="FF000000"/>
        <rFont val="Calibri"/>
        <charset val="134"/>
      </rPr>
      <t xml:space="preserve">Unit
</t>
    </r>
    <r>
      <rPr>
        <b/>
        <sz val="9.75"/>
        <color rgb="FF000000"/>
        <rFont val="Calibri"/>
        <charset val="134"/>
      </rPr>
      <t>单位</t>
    </r>
  </si>
  <si>
    <r>
      <rPr>
        <sz val="9.75"/>
        <color rgb="FF000000"/>
        <rFont val="Calibri"/>
        <charset val="134"/>
      </rPr>
      <t xml:space="preserve">Unit of the signal physical Value
</t>
    </r>
    <r>
      <rPr>
        <sz val="9.75"/>
        <color rgb="FF000000"/>
        <rFont val="Calibri"/>
        <charset val="134"/>
      </rPr>
      <t>信号物理值的单位</t>
    </r>
  </si>
  <si>
    <t>Signal Value Description
信号值描述</t>
  </si>
  <si>
    <r>
      <rPr>
        <sz val="9.75"/>
        <color rgb="FF000000"/>
        <rFont val="Calibri"/>
        <charset val="134"/>
      </rPr>
      <t xml:space="preserve">Hex-Physics Representation of the Signal Value
</t>
    </r>
    <r>
      <rPr>
        <sz val="9.75"/>
        <color rgb="FF000000"/>
        <rFont val="Calibri"/>
        <charset val="134"/>
      </rPr>
      <t>信号十六进制值所代表的物理值</t>
    </r>
  </si>
  <si>
    <t>Message Periodic Time Fast(ms)
报文的快速发送周期(ms)</t>
  </si>
  <si>
    <r>
      <rPr>
        <sz val="9.75"/>
        <color rgb="FF000000"/>
        <rFont val="Calibri"/>
        <charset val="134"/>
      </rPr>
      <t xml:space="preserve">The Fast Periodic Time of Message if the Send Type is not Periodic.
</t>
    </r>
    <r>
      <rPr>
        <sz val="9.75"/>
        <color rgb="FF000000"/>
        <rFont val="Calibri"/>
        <charset val="134"/>
      </rPr>
      <t>若报文非周期发送而定义的快速发送周期。</t>
    </r>
  </si>
  <si>
    <t>Message Nr. Of Reption
报文的快速发送次数</t>
  </si>
  <si>
    <r>
      <rPr>
        <sz val="9.75"/>
        <color rgb="FF000000"/>
        <rFont val="Calibri"/>
        <charset val="134"/>
      </rPr>
      <t xml:space="preserve">The Repetition Number of Message if  the Send Type is not Periodic
</t>
    </r>
    <r>
      <rPr>
        <sz val="9.75"/>
        <color rgb="FF000000"/>
        <rFont val="Calibri"/>
        <charset val="134"/>
      </rPr>
      <t>若报文非周期发送而定义的快速发送次数。</t>
    </r>
  </si>
  <si>
    <t>Message Delay Time(ms)
报文延时时间(ms)</t>
  </si>
  <si>
    <r>
      <rPr>
        <sz val="9.75"/>
        <color rgb="FF000000"/>
        <rFont val="Calibri"/>
        <charset val="134"/>
      </rPr>
      <t xml:space="preserve">The Min Time between the Same Message if the Send Type is not Periodic
</t>
    </r>
    <r>
      <rPr>
        <sz val="9.75"/>
        <color rgb="FF000000"/>
        <rFont val="Calibri"/>
        <charset val="134"/>
      </rPr>
      <t>若报文非周期发送，相同报文间的最小时间间隔。</t>
    </r>
  </si>
  <si>
    <t>BMS No.</t>
  </si>
  <si>
    <t>IP Address</t>
  </si>
  <si>
    <t>Bank BMS</t>
  </si>
  <si>
    <r>
      <rPr>
        <sz val="10.5"/>
        <color rgb="FF000000"/>
        <rFont val="等线"/>
        <charset val="134"/>
        <scheme val="minor"/>
      </rPr>
      <t>192.168.1.1</t>
    </r>
    <r>
      <rPr>
        <sz val="10.5"/>
        <color rgb="FF000000"/>
        <rFont val="等线"/>
        <charset val="134"/>
        <scheme val="minor"/>
      </rPr>
      <t>36</t>
    </r>
  </si>
  <si>
    <t>Rack BMS #1</t>
  </si>
  <si>
    <r>
      <rPr>
        <sz val="10.5"/>
        <color rgb="FF000000"/>
        <rFont val="等线"/>
        <charset val="134"/>
        <scheme val="minor"/>
      </rPr>
      <t>192.168.1.137</t>
    </r>
  </si>
  <si>
    <t>Rack BMS #2</t>
  </si>
  <si>
    <r>
      <rPr>
        <sz val="10.5"/>
        <color rgb="FF000000"/>
        <rFont val="等线"/>
        <charset val="134"/>
        <scheme val="minor"/>
      </rPr>
      <t>192.168.1.138</t>
    </r>
  </si>
  <si>
    <t>Rack BMS #3</t>
  </si>
  <si>
    <r>
      <rPr>
        <sz val="10.5"/>
        <color rgb="FF000000"/>
        <rFont val="等线"/>
        <charset val="134"/>
        <scheme val="minor"/>
      </rPr>
      <t>192.168.1.139</t>
    </r>
  </si>
  <si>
    <t>Rack BMS #4</t>
  </si>
  <si>
    <r>
      <rPr>
        <sz val="10.5"/>
        <color rgb="FF000000"/>
        <rFont val="等线"/>
        <charset val="134"/>
        <scheme val="minor"/>
      </rPr>
      <t>192.168.1.140</t>
    </r>
  </si>
  <si>
    <t>Rack BMS #5</t>
  </si>
  <si>
    <r>
      <rPr>
        <sz val="10.5"/>
        <color rgb="FF000000"/>
        <rFont val="等线"/>
        <charset val="134"/>
        <scheme val="minor"/>
      </rPr>
      <t>192.168.1.141</t>
    </r>
  </si>
  <si>
    <t>Rack BMS #6</t>
  </si>
  <si>
    <r>
      <rPr>
        <sz val="10.5"/>
        <color rgb="FF000000"/>
        <rFont val="等线"/>
        <charset val="134"/>
        <scheme val="minor"/>
      </rPr>
      <t>192.168.1.142</t>
    </r>
  </si>
  <si>
    <t>Rack BMS #7</t>
  </si>
  <si>
    <r>
      <rPr>
        <sz val="10.5"/>
        <color rgb="FF000000"/>
        <rFont val="等线"/>
        <charset val="134"/>
        <scheme val="minor"/>
      </rPr>
      <t>192.168.1.143</t>
    </r>
  </si>
  <si>
    <t>Rack BMS #8</t>
  </si>
  <si>
    <r>
      <rPr>
        <sz val="10.5"/>
        <color rgb="FF000000"/>
        <rFont val="等线"/>
        <charset val="134"/>
        <scheme val="minor"/>
      </rPr>
      <t>192.168.1.144</t>
    </r>
  </si>
  <si>
    <t>Rack BMS #9</t>
  </si>
  <si>
    <r>
      <rPr>
        <sz val="10.5"/>
        <color rgb="FF000000"/>
        <rFont val="等线"/>
        <charset val="134"/>
        <scheme val="minor"/>
      </rPr>
      <t>192.168.1.145</t>
    </r>
  </si>
  <si>
    <t>Rack BMS #10</t>
  </si>
  <si>
    <r>
      <rPr>
        <sz val="10.5"/>
        <color rgb="FF000000"/>
        <rFont val="等线"/>
        <charset val="134"/>
        <scheme val="minor"/>
      </rPr>
      <t>192.168.1.146</t>
    </r>
  </si>
  <si>
    <t>Rack BMS #11</t>
  </si>
  <si>
    <r>
      <rPr>
        <sz val="10.5"/>
        <color rgb="FF000000"/>
        <rFont val="等线"/>
        <charset val="134"/>
        <scheme val="minor"/>
      </rPr>
      <t>192.168.1.147</t>
    </r>
  </si>
  <si>
    <t>Rack BMS #12</t>
  </si>
  <si>
    <r>
      <rPr>
        <sz val="10.5"/>
        <color rgb="FF000000"/>
        <rFont val="等线"/>
        <charset val="134"/>
        <scheme val="minor"/>
      </rPr>
      <t>192.168.1.148</t>
    </r>
  </si>
  <si>
    <r>
      <rPr>
        <sz val="10.5"/>
        <color rgb="FF000000"/>
        <rFont val="等线"/>
        <charset val="134"/>
        <scheme val="minor"/>
      </rPr>
      <t>H</t>
    </r>
    <r>
      <rPr>
        <sz val="10.5"/>
        <color rgb="FF000000"/>
        <rFont val="等线"/>
        <charset val="134"/>
        <scheme val="minor"/>
      </rPr>
      <t>MI</t>
    </r>
  </si>
  <si>
    <r>
      <rPr>
        <sz val="10.5"/>
        <color rgb="FF000000"/>
        <rFont val="等线"/>
        <charset val="134"/>
        <scheme val="minor"/>
      </rPr>
      <t>192.168.1.149</t>
    </r>
  </si>
  <si>
    <t>Message Name</t>
  </si>
  <si>
    <t>Description</t>
  </si>
  <si>
    <t>Send Type</t>
  </si>
  <si>
    <t>Periodic Time (ms)</t>
  </si>
  <si>
    <t xml:space="preserve"> cmdGroup</t>
  </si>
  <si>
    <t>cmdid</t>
  </si>
  <si>
    <r>
      <rPr>
        <b/>
        <sz val="9.75"/>
        <color rgb="FF000000"/>
        <rFont val="宋体"/>
        <charset val="134"/>
      </rPr>
      <t xml:space="preserve">命令类型
</t>
    </r>
    <r>
      <rPr>
        <sz val="9.75"/>
        <color rgb="FF000000"/>
        <rFont val="Calibri"/>
        <charset val="134"/>
      </rPr>
      <t>0x01:</t>
    </r>
    <r>
      <rPr>
        <sz val="9.75"/>
        <color rgb="FF000000"/>
        <rFont val="宋体"/>
        <charset val="134"/>
      </rPr>
      <t xml:space="preserve">不需要回应的报文；
</t>
    </r>
    <r>
      <rPr>
        <sz val="9.75"/>
        <color rgb="FF000000"/>
        <rFont val="Calibri"/>
        <charset val="134"/>
      </rPr>
      <t>0x02:</t>
    </r>
    <r>
      <rPr>
        <sz val="9.75"/>
        <color rgb="FF000000"/>
        <rFont val="宋体"/>
        <charset val="134"/>
      </rPr>
      <t>需要回应的报文；</t>
    </r>
    <r>
      <rPr>
        <sz val="9.75"/>
        <color rgb="FF000000"/>
        <rFont val="Calibri"/>
        <charset val="134"/>
      </rPr>
      <t xml:space="preserve"> 
0x03:</t>
    </r>
    <r>
      <rPr>
        <sz val="9.75"/>
        <color rgb="FF000000"/>
        <rFont val="宋体"/>
        <charset val="134"/>
      </rPr>
      <t>回应的报文</t>
    </r>
  </si>
  <si>
    <t>请求payload</t>
  </si>
  <si>
    <t>响应payload</t>
  </si>
  <si>
    <t>HMI</t>
  </si>
  <si>
    <t>BBMS_A</t>
  </si>
  <si>
    <t>BBMS_M</t>
  </si>
  <si>
    <t>RBMS</t>
  </si>
  <si>
    <t>Rx_cmdType (RBMS/BBMS_M/BBMS_A)</t>
  </si>
  <si>
    <t>BBMS_A Store</t>
  </si>
  <si>
    <t>HMI Store</t>
  </si>
  <si>
    <t>cmdNUm</t>
  </si>
  <si>
    <t>RBMS_SumInfo</t>
  </si>
  <si>
    <r>
      <rPr>
        <sz val="9.75"/>
        <color rgb="FF000000"/>
        <rFont val="Calibri"/>
        <charset val="134"/>
      </rPr>
      <t xml:space="preserve">Rack </t>
    </r>
    <r>
      <rPr>
        <sz val="9.75"/>
        <color rgb="FF000000"/>
        <rFont val="Calibri"/>
        <charset val="134"/>
      </rPr>
      <t>概要数据(系统状态、高压状态、接插件温度、消防干接点、TMS、FCU、温湿度、水浸传感器；SOX、持续和瞬时功率、电压温度概要、故障和心跳信号；可充/放容量电量)</t>
    </r>
  </si>
  <si>
    <t>Periodic</t>
  </si>
  <si>
    <r>
      <rPr>
        <sz val="9.75"/>
        <color rgb="FF000000"/>
        <rFont val="等线"/>
        <charset val="134"/>
        <scheme val="minor"/>
      </rPr>
      <t>0x0</t>
    </r>
    <r>
      <rPr>
        <sz val="9.75"/>
        <color rgb="FF000000"/>
        <rFont val="等线"/>
        <charset val="134"/>
        <scheme val="minor"/>
      </rPr>
      <t>3</t>
    </r>
  </si>
  <si>
    <t>0x01</t>
  </si>
  <si>
    <t>struct RBMS_SumInfo</t>
  </si>
  <si>
    <t>/</t>
  </si>
  <si>
    <t>Rx</t>
  </si>
  <si>
    <t>Tx</t>
  </si>
  <si>
    <t>Set</t>
  </si>
  <si>
    <t>RBMS_Volt</t>
  </si>
  <si>
    <t>电芯电压及其有效性、各AFE总压</t>
  </si>
  <si>
    <t>struct RBMS_Volt</t>
  </si>
  <si>
    <t>RBMS_Temp</t>
  </si>
  <si>
    <t>电芯温度、极柱温度、Pack正负极连接件温度、PCB板温及其有效性</t>
  </si>
  <si>
    <t>struct RBMS_Temp</t>
  </si>
  <si>
    <t>RBMS_CellBalSt</t>
  </si>
  <si>
    <r>
      <rPr>
        <sz val="9.75"/>
        <color rgb="FF000000"/>
        <rFont val="Calibri"/>
        <charset val="134"/>
      </rPr>
      <t xml:space="preserve">Cell Balancing State 
</t>
    </r>
    <r>
      <rPr>
        <sz val="9.75"/>
        <color rgb="FF000000"/>
        <rFont val="Calibri"/>
        <charset val="134"/>
      </rPr>
      <t>电芯均衡状态</t>
    </r>
  </si>
  <si>
    <t>struct RBMS_CellBalSt</t>
  </si>
  <si>
    <t>RBMS_CellSdr</t>
  </si>
  <si>
    <t>单体电芯自放电率</t>
  </si>
  <si>
    <t>struct RBMS_CellSdr</t>
  </si>
  <si>
    <t>RBMS_Fault</t>
  </si>
  <si>
    <t>RBMS故障列表</t>
  </si>
  <si>
    <t>0x04</t>
  </si>
  <si>
    <t>struct FaultFlags</t>
  </si>
  <si>
    <t>BBMS_SumInfo</t>
  </si>
  <si>
    <t>Bank 概要数据</t>
  </si>
  <si>
    <r>
      <rPr>
        <sz val="9.75"/>
        <color rgb="FF000000"/>
        <rFont val="等线"/>
        <charset val="134"/>
        <scheme val="minor"/>
      </rPr>
      <t>0x0</t>
    </r>
    <r>
      <rPr>
        <sz val="9.75"/>
        <color rgb="FF000000"/>
        <rFont val="等线"/>
        <charset val="134"/>
        <scheme val="minor"/>
      </rPr>
      <t>2</t>
    </r>
  </si>
  <si>
    <t>struct BBMS_SumInfo</t>
  </si>
  <si>
    <t>BBMS_Fault</t>
  </si>
  <si>
    <t>BMS故障列表</t>
  </si>
  <si>
    <t>BBMS_CtlWord</t>
  </si>
  <si>
    <t>BBMS Control
BBMS控制指令</t>
  </si>
  <si>
    <t>0x02</t>
  </si>
  <si>
    <t>struct BBMS_CtlWord</t>
  </si>
  <si>
    <t>struct state{
    uint8_t state;
   //00：写入成功，01：写入失败
}</t>
  </si>
  <si>
    <t>存储所有Rack的BBMS控制命令</t>
  </si>
  <si>
    <t>struct BBMS_CtlWordAllRack</t>
  </si>
  <si>
    <t>HMI_CtlWord</t>
  </si>
  <si>
    <t>HMI Control
HMI 控制指令</t>
  </si>
  <si>
    <t>OnChange</t>
  </si>
  <si>
    <r>
      <rPr>
        <sz val="9.75"/>
        <color rgb="FF000000"/>
        <rFont val="等线"/>
        <charset val="134"/>
        <scheme val="minor"/>
      </rPr>
      <t>0</t>
    </r>
    <r>
      <rPr>
        <sz val="9.75"/>
        <color rgb="FF000000"/>
        <rFont val="等线"/>
        <charset val="134"/>
        <scheme val="minor"/>
      </rPr>
      <t>x04</t>
    </r>
  </si>
  <si>
    <t>struct HMI_CtlWord</t>
  </si>
  <si>
    <r>
      <rPr>
        <sz val="9.75"/>
        <color rgb="FF000000"/>
        <rFont val="等线"/>
        <charset val="134"/>
        <scheme val="minor"/>
      </rPr>
      <t>T</t>
    </r>
    <r>
      <rPr>
        <sz val="9.75"/>
        <color rgb="FF000000"/>
        <rFont val="等线"/>
        <charset val="134"/>
        <scheme val="minor"/>
      </rPr>
      <t>x</t>
    </r>
  </si>
  <si>
    <r>
      <rPr>
        <sz val="9.75"/>
        <color rgb="FF000000"/>
        <rFont val="等线"/>
        <charset val="134"/>
        <scheme val="minor"/>
      </rPr>
      <t>R</t>
    </r>
    <r>
      <rPr>
        <sz val="9.75"/>
        <color rgb="FF000000"/>
        <rFont val="等线"/>
        <charset val="134"/>
        <scheme val="minor"/>
      </rPr>
      <t>x</t>
    </r>
  </si>
  <si>
    <t>HMI_TMSCtrlWord</t>
  </si>
  <si>
    <t>HMI TMS控制指令(BBMS)</t>
  </si>
  <si>
    <r>
      <rPr>
        <sz val="9.75"/>
        <color rgb="FF000000"/>
        <rFont val="等线"/>
        <charset val="134"/>
        <scheme val="minor"/>
      </rPr>
      <t>0</t>
    </r>
    <r>
      <rPr>
        <sz val="9.75"/>
        <color rgb="FF000000"/>
        <rFont val="等线"/>
        <charset val="134"/>
        <scheme val="minor"/>
      </rPr>
      <t>x02</t>
    </r>
  </si>
  <si>
    <t>struct HMI_TMSCtrlWord</t>
  </si>
  <si>
    <t>HMI TMS控制指令(RBMS)</t>
  </si>
  <si>
    <t>0x03</t>
  </si>
  <si>
    <t>HMI_BankDOCtrl</t>
  </si>
  <si>
    <t>HMI三级板DO控制指令（灯）</t>
  </si>
  <si>
    <t>struct HMI_BankDOCtrl</t>
  </si>
  <si>
    <t>HMI_RackCaliCtrl</t>
  </si>
  <si>
    <t>Rack标定与控制</t>
  </si>
  <si>
    <t>struct HMI_RackCaliCtrl</t>
  </si>
  <si>
    <t>HMI_RBMSRlyCtrl</t>
  </si>
  <si>
    <t>HMI二级板继电器强控指令</t>
  </si>
  <si>
    <t>struct HMI_RBMSRlyCtrl</t>
  </si>
  <si>
    <t>TMS_SumInfo</t>
  </si>
  <si>
    <t>热管理信息(BBMS)</t>
  </si>
  <si>
    <t>struct TMS_SumInfo</t>
  </si>
  <si>
    <t>热管理信息(RBMS)</t>
  </si>
  <si>
    <t>ParaThr_CellV</t>
  </si>
  <si>
    <t>读取-电压阈值参数</t>
  </si>
  <si>
    <t>struct ParaThr_CellV</t>
  </si>
  <si>
    <t>Get</t>
  </si>
  <si>
    <t>写入-电压阈值参数</t>
  </si>
  <si>
    <t>ParaThr_RackV</t>
  </si>
  <si>
    <t>读取-簇电压阈值参数</t>
  </si>
  <si>
    <t>struct ParaThr_RackV</t>
  </si>
  <si>
    <t>写入-簇电压阈值参数</t>
  </si>
  <si>
    <t>ParaThr_RackI</t>
  </si>
  <si>
    <t>读取-簇电流阈值参数</t>
  </si>
  <si>
    <t>struct ParaThr_RackI</t>
  </si>
  <si>
    <t>写入-簇电流阈值参数</t>
  </si>
  <si>
    <t>ParaThr_ModuleT</t>
  </si>
  <si>
    <t>读取-温度阈值参数</t>
  </si>
  <si>
    <t>struct ParaThr_ModuleT</t>
  </si>
  <si>
    <t>写入-温度阈值参数</t>
  </si>
  <si>
    <t>ParaThr_SOX</t>
  </si>
  <si>
    <t>读取-SOX阈值参数</t>
  </si>
  <si>
    <t>struct ParaThr_SOX</t>
  </si>
  <si>
    <t>写入-SOX阈值参数</t>
  </si>
  <si>
    <t>ParaThr_AUX</t>
  </si>
  <si>
    <t>读取-AUX阈值参数</t>
  </si>
  <si>
    <t>struct ParaThr_AUX</t>
  </si>
  <si>
    <t>写入-AUX阈值参数</t>
  </si>
  <si>
    <t>ParaThr_TMS</t>
  </si>
  <si>
    <t>读取-TMS阈值参数(BBMS)</t>
  </si>
  <si>
    <t>struct ParaThr_TMS</t>
  </si>
  <si>
    <t>写入-TMS阈值参数(BBMS)</t>
  </si>
  <si>
    <t>读取-TMS阈值参数(RBMS)</t>
  </si>
  <si>
    <t>写入-TMS阈值参数(RBMS)</t>
  </si>
  <si>
    <t>HMI_RBMSDOCtrl</t>
  </si>
  <si>
    <t>HMI二级板DO控制命令</t>
  </si>
  <si>
    <t>struct HMI_RBMSDOCtrl</t>
  </si>
  <si>
    <t>HMI_BBMSDOCtrl</t>
  </si>
  <si>
    <t>HMI三级板DO控制命令</t>
  </si>
  <si>
    <t>struct HMI_BBMSDOCtrl</t>
  </si>
  <si>
    <t>RBMS_SOXdebugData1</t>
  </si>
  <si>
    <t>SOX算法调试的输入数据，包含电流、电压、温度等</t>
  </si>
  <si>
    <t>struct RBMS_SOXdebugData1</t>
  </si>
  <si>
    <t>RBMS_SOXdebugData2</t>
  </si>
  <si>
    <t>SOX算法调试的输出数据，包含SOC、SOHC、容量等</t>
  </si>
  <si>
    <t>struct RBMS_SOXdebugData2</t>
  </si>
  <si>
    <t>HMI_RackFaultCali</t>
  </si>
  <si>
    <t>写入-Rack故障累积次数标定</t>
  </si>
  <si>
    <t>struct HMI_RackFaultCali</t>
  </si>
  <si>
    <t>HMI_BankFaultCali</t>
  </si>
  <si>
    <t>写入-Bank故障累积次数标定</t>
  </si>
  <si>
    <t>struct HMI_BankFaultCali</t>
  </si>
  <si>
    <t>HMI_FltOvTiNbr</t>
  </si>
  <si>
    <t>读取-RBMS/BBMS故障越限次数</t>
  </si>
  <si>
    <t>struct HMI_FltOvTiNbr</t>
  </si>
  <si>
    <t>RBMS_Debug</t>
  </si>
  <si>
    <t>模型调试信息</t>
  </si>
  <si>
    <t>struct RBMS_Debug</t>
  </si>
  <si>
    <t>BBMS_A_SOCInfo</t>
  </si>
  <si>
    <t>单芯计算的SOC以及各簇SOC结果</t>
  </si>
  <si>
    <t>struct BBMS_A_SOCInfo</t>
  </si>
  <si>
    <t>BBMS_A_SOHInfo</t>
  </si>
  <si>
    <t>单芯计算的SOH以及各簇SOH结果</t>
  </si>
  <si>
    <t>struct BBMS_A_SOHInfo</t>
  </si>
  <si>
    <t>BBMS_A_Fault</t>
  </si>
  <si>
    <t>BBMS_A核的故障列表</t>
  </si>
  <si>
    <t>HMI_FltEna</t>
  </si>
  <si>
    <t>读取-故障使能数组</t>
  </si>
  <si>
    <t>写入-故障使能数组</t>
  </si>
  <si>
    <t>BBMS_A_Selfdr</t>
  </si>
  <si>
    <t>读取-自放电率演变信息</t>
  </si>
  <si>
    <t>struct BBMS_A_Selfdr</t>
  </si>
  <si>
    <t>BBMS_SafetySignal</t>
  </si>
  <si>
    <t>功能安全相关信号</t>
  </si>
  <si>
    <t>struct BBMS_SafetySignal</t>
  </si>
  <si>
    <t>BBMS_A_CtlWord</t>
  </si>
  <si>
    <t>A核控制命令</t>
  </si>
  <si>
    <t>struct BBMS_A_CtlWord</t>
  </si>
  <si>
    <t>Signal Name</t>
  </si>
  <si>
    <t>Signal Description</t>
  </si>
  <si>
    <t>Byte</t>
  </si>
  <si>
    <t>Start Bit</t>
  </si>
  <si>
    <t>Bit Length (Bit)</t>
  </si>
  <si>
    <t>Resolution</t>
  </si>
  <si>
    <t>offset</t>
  </si>
  <si>
    <t>Signal Min. Value  (Valid)</t>
  </si>
  <si>
    <t>Signal Max. Value (Valid)</t>
  </si>
  <si>
    <t xml:space="preserve">Initial Value </t>
  </si>
  <si>
    <t>Unit</t>
  </si>
  <si>
    <t>CSV Store Length(Byte)</t>
  </si>
  <si>
    <t>Signal Value Description</t>
  </si>
  <si>
    <t>Upper Computer Display</t>
  </si>
  <si>
    <t>remark</t>
  </si>
  <si>
    <t>Tx Mapping Signal (RBMS/BBMS_M/BBMS_A)</t>
  </si>
  <si>
    <t>Rx Mapping Signal (BBMS_A)</t>
  </si>
  <si>
    <t>Rx Mapping Signal (BBMS_M)</t>
  </si>
  <si>
    <t>Rx Mapping Signal (RBMS)</t>
  </si>
  <si>
    <t>RBMS_St</t>
  </si>
  <si>
    <r>
      <rPr>
        <sz val="9.75"/>
        <color rgb="FF000000"/>
        <rFont val="Calibri"/>
        <charset val="134"/>
      </rPr>
      <t xml:space="preserve">Battery String Status
</t>
    </r>
    <r>
      <rPr>
        <sz val="9.75"/>
        <color rgb="FF000000"/>
        <rFont val="微软雅黑"/>
        <charset val="134"/>
      </rPr>
      <t>电池串工作状态</t>
    </r>
  </si>
  <si>
    <t>Bit0[1]: Rack Enable Status;Rack使能状态
Signal;
0X0-Disabled;
0X1-Enabled;
Bit1[1]: Rack Online Status;Rack在线状态
Signal;
0X0-Offline;
0X1-Online;
Bit2[1]: Rack Control Mode Status;Rack控制模式
Signal;
0X0-BMS Control;
0X1-Debug;
Bit3[1]: Overall Balancing Status;均衡状态
Signal;
0X0-Stop;
0X1-Ongoing;
Bit4[0]: Fault Hardline Status;故障路线状态
Signal;
0X0- Activitied;
0X1- Disactivitied;
Bit5[1]: Green Light Status;绿灯状态
Signal;
0X0-Off;
0X1-On;
Bit6[1]: Yellow Light Status;黄灯状态
Signal;
0X0-Off;
0X1-On;
Bit7[1]: Red Light Status;红灯状态
Signal;
0X0-Off;
0X1-On;</t>
  </si>
  <si>
    <t>Rack状态,Rack Status[1,4]</t>
  </si>
  <si>
    <t>ScEMCT_RBMS_St</t>
  </si>
  <si>
    <t>BSWSRackSt</t>
  </si>
  <si>
    <t>RBMS_ChaSt</t>
  </si>
  <si>
    <r>
      <t>Rack Charging Status
Rack</t>
    </r>
    <r>
      <rPr>
        <sz val="10"/>
        <color rgb="FF000000"/>
        <rFont val="微软雅黑"/>
        <charset val="134"/>
      </rPr>
      <t>充放电状态</t>
    </r>
  </si>
  <si>
    <t>Enum
0X1: Not Connected;
0X2: Full Discharge;
0X3: Discharge;
0X4: Charge;
0X5: Full Charge;
0X6: Standing;</t>
  </si>
  <si>
    <t>Rack状态,Rack Status[1,5]</t>
  </si>
  <si>
    <t>模型逻辑不需要更新，仅更新显示</t>
  </si>
  <si>
    <t>ScEMCT_RBMS_ChaSt</t>
  </si>
  <si>
    <t>BSWSRackChaSt</t>
  </si>
  <si>
    <t>RBMS_SysOperSt</t>
  </si>
  <si>
    <t>Rack Operating Status
Rack运行状态</t>
  </si>
  <si>
    <t>Enum
0X1: Not Connected;
0X2: Starting;
0X3: Connected;
0X4: Reserved;
0X5: SOC Protection;
0X63: Fault;</t>
  </si>
  <si>
    <t>Rack状态,Rack Status[1,6]</t>
  </si>
  <si>
    <r>
      <rPr>
        <sz val="9.75"/>
        <rFont val="等线"/>
        <charset val="134"/>
        <scheme val="minor"/>
      </rPr>
      <t xml:space="preserve">xuc 0826：RBMS_SysOperSt中SOC低直接用SOC低故障 </t>
    </r>
    <r>
      <rPr>
        <sz val="9.75"/>
        <rFont val="Calibri"/>
        <charset val="134"/>
      </rPr>
      <t>@张龙b</t>
    </r>
    <r>
      <rPr>
        <sz val="10"/>
        <rFont val="等线"/>
        <charset val="134"/>
        <scheme val="minor"/>
      </rPr>
      <t xml:space="preserve">
其他模型逻辑不需要更新，仅更新显示</t>
    </r>
  </si>
  <si>
    <t>ScEMCT_RBMS_SysOperSt</t>
  </si>
  <si>
    <t>BSWSRackSysOperSt</t>
  </si>
  <si>
    <t>RBMS_ConSt</t>
  </si>
  <si>
    <t>Contactor Status
继电器/干接点状态</t>
  </si>
  <si>
    <t>Bit0[1]: Main Negative Contactor Status;主负继电器状态;
Signal;
0X0-Open;
0X1-Closed;
Bit1[1]: Main Positive Contactor Status;主正继电器状态;
Signal;
0X0-Open;
0X1-Closed;
Bit2[1]: Precharge Contactor Status;预充继电器状态
Signal;
0X0-Open;
0X1-Closed;
Bit3[0]: Reserved;保留
Signal;
0X0-Open;
0X1-Closed;
Bit4[0]: Reserved;保留
Signal;
0X0-Open;
0X1-Closed;
Bit5[0]: Reserved;保留
Signal;
0X0-Open;
0X1-Closed;
Bit6[1]: QS Switch Status;隔离开关QS状态
Signal;
0X0-Closed;
0X1-Open;
Bit7[1]: HV Interlock Status;高压互锁状态
Signal;
0X0-Closed;
0X1-Open;
Bit8-Bit9[0]: HV Box Cooling Fan Status;高压箱冷却风扇状态
Signal;
0X0-Open;
0X1-Closed;
Bit10[1]: EStop Status;急停状态
Signal;
0X0-Closed;
0X1-Open;
Bit11[0]: Reserved;保留
Signal；
0X0-Open;
0X1-Closed;
Bit12[0]: Reserved;保留
Signal;
0X0-Open;
0X1-Closed;
Bit13[0]: Reserved;保留
Signal;
0X0-Open;
0X1-Closed;
Bit14[1]: Isolation Finished Flag;绝缘完成标志
Signal;
0X0-No;
0X1-Yes;
Bit15[1]: Door Open Status;电柜门状态
Signal;
0X0-Closed;
0X1-Open;</t>
  </si>
  <si>
    <t>Rack状态,Rack Status[1,8]</t>
  </si>
  <si>
    <t>ScEMCT_RBMS_ConSt</t>
  </si>
  <si>
    <t>BSWSRackConSt</t>
  </si>
  <si>
    <t>RBMS_ConFail</t>
  </si>
  <si>
    <t>HV Connect Fail Reason
高压连接失败原因</t>
  </si>
  <si>
    <t>Enums
Bit0: Insulation Unfinished
Bit1: Debug Mode
Bit2: Battery String Disabled
Bit3: EMS Trip
Bit4: Extreme Fault CRC Check Failed
Bit5: Precharge Timeout
Bit6: Hv Differential not Achieved During Precharge Phase
Bit7: Precharge Fault Set
Bit8: Relay Fault Set
Bit9: RBMS has Level 1 Fault
Bit10: Hv Control Mode Disconnected
Bit11: Extreme Fault Set
Bit12: Emergency Stop Signal Set</t>
  </si>
  <si>
    <t>Rack状态,Rack Status[1,7]</t>
  </si>
  <si>
    <t>ScEMCT_RBMS_ConFail</t>
  </si>
  <si>
    <t>BSWSRackConFail</t>
  </si>
  <si>
    <t>RBMS_V</t>
  </si>
  <si>
    <t>Battery String Voltage (V)
电池串电压 (V)</t>
  </si>
  <si>
    <t>V</t>
  </si>
  <si>
    <t>Rack采样信息,Rack Sampling Information[3,11]</t>
  </si>
  <si>
    <t>ScEMCT_RBMS_V</t>
  </si>
  <si>
    <t>BSWSRackV</t>
  </si>
  <si>
    <t>RBMS_DCBusV</t>
  </si>
  <si>
    <t>DC Bus Voltage (V)
总线电压 (V)</t>
  </si>
  <si>
    <t>Rack采样信息,Rack Sampling Information[3,12]</t>
  </si>
  <si>
    <t>ScEMCT_RBMS_DCBusV</t>
  </si>
  <si>
    <t>BSWSRackDCBusV</t>
  </si>
  <si>
    <t>RBMS_A_HighAccu</t>
  </si>
  <si>
    <t>DC Bus Current (A) (High accu)
总线电流 (A) (高精度)</t>
  </si>
  <si>
    <t>A</t>
  </si>
  <si>
    <t>songx0830：簇电流是否可以直接用single?
xuc 0904: 已提高分辨率</t>
  </si>
  <si>
    <t>ScSGPC_BatIA</t>
  </si>
  <si>
    <t>RBMS_IsoR</t>
  </si>
  <si>
    <t>Insulation Resistance (kOhm)
绝缘阻值 (kOhm)</t>
  </si>
  <si>
    <t>kOhm</t>
  </si>
  <si>
    <t>Rack采样信息,Rack Sampling Information[3,4]</t>
  </si>
  <si>
    <t>ScEMCT_RBMS_IsoR</t>
  </si>
  <si>
    <t>BSWSRackIsoR</t>
  </si>
  <si>
    <t>RBMS_HvBoxMaxTemp</t>
  </si>
  <si>
    <t>Max HV Box Temperature (℃)
最高高压箱温度 (℃)</t>
  </si>
  <si>
    <t>℃</t>
  </si>
  <si>
    <t>Rack采样信息,Rack Sampling Information[3,30]</t>
  </si>
  <si>
    <t>ScCLTH_CtlBoxTMaxDegC</t>
  </si>
  <si>
    <t>BSWSRackMaxHvBoxTDegC</t>
  </si>
  <si>
    <t>RBMS_HvBoxMinTemp</t>
  </si>
  <si>
    <t>Min HV Box Temperature (℃)
最低高压箱温度 (℃)</t>
  </si>
  <si>
    <t>Rack采样信息,Rack Sampling Information[3,31]</t>
  </si>
  <si>
    <t>ScCLTH_CtlBoxTMinDegC</t>
  </si>
  <si>
    <t>BSWSRackMinHvBoxTDegC</t>
  </si>
  <si>
    <t>Reserved3</t>
  </si>
  <si>
    <t>Reserved3
预留占位3</t>
  </si>
  <si>
    <t>RBMS_LowPowSply</t>
  </si>
  <si>
    <t>Low Power Supply Voltage (mV)
低压供电电压 (mV)</t>
  </si>
  <si>
    <t>mV</t>
  </si>
  <si>
    <t>Rack采样信息,Rack Sampling Information[3,9]</t>
  </si>
  <si>
    <t>ScEMCT_RBMS_LowPowSply</t>
  </si>
  <si>
    <t>BSWSRackLowPowSply</t>
  </si>
  <si>
    <t>RBMS_RlyCtrlSeqStState</t>
  </si>
  <si>
    <t>Relay Control Status
继电器控制状态</t>
  </si>
  <si>
    <t>Enum
0X0: Initial;
0X1: ClsMainNeg;
0X2: ClsPrech;
0X3: ClsMainPos;
0X4: Online;
0X5: WaitForCurrDwn;
0X6: OpenMainPos;
0X7: OpenMainNeg;
0X8: DlyForNxtPowup;
0X9: Service;
0XA: SftyOpenMainPos;
0XB: SftyOpenMainNeg;
0XC: SftyDlyForNxtPowup;</t>
  </si>
  <si>
    <t>Rack状态,Rack Status[1,9]</t>
  </si>
  <si>
    <t>SeCTSC_RlyCtrlSeqStState</t>
  </si>
  <si>
    <t>Reserved</t>
  </si>
  <si>
    <t>Reserved
预留占位</t>
  </si>
  <si>
    <t>Reserved1</t>
  </si>
  <si>
    <t>Reserved1
预留占位1</t>
  </si>
  <si>
    <t>RBMS_HisSleepTiWrMin</t>
  </si>
  <si>
    <t>Rack History Sleep Time (min)
历史休眠时间 (min)</t>
  </si>
  <si>
    <t>Min</t>
  </si>
  <si>
    <t>Rack历史信息,Rack History Information[4,1]</t>
  </si>
  <si>
    <t>ScEMCT_RBMS_HisSleepTiWrMin</t>
  </si>
  <si>
    <t>BSWSRackHisSleepTiWrMin</t>
  </si>
  <si>
    <t>RBMS_HisRunTiWrMin</t>
  </si>
  <si>
    <t>Rack History Run Time (min)
历史运行时间 (min)</t>
  </si>
  <si>
    <t>Rack历史信息,Rack History Information[4,2]</t>
  </si>
  <si>
    <t>ScEMCT_RBMS_HisRunTiWrMin</t>
  </si>
  <si>
    <t>BSWSRackHisRunTiWrMin</t>
  </si>
  <si>
    <t>RBMS_LstSleepDurTiMin</t>
  </si>
  <si>
    <t>Last Power-down Sleep Time (min)
上次下电休眠时间 (min)</t>
  </si>
  <si>
    <t>ScSGPC_LstSleepDurTiMin</t>
  </si>
  <si>
    <t>RBMS_IDLearnCodeSt</t>
  </si>
  <si>
    <t>Rack ID Learn Status
Rack ID编码状态</t>
  </si>
  <si>
    <t>Enum
0X0: Initial;
0X1: Addressing;
0X2: Present RBMS Finished;
0X3: All RBMS Finished;
0X4: Failed;</t>
  </si>
  <si>
    <t>Rack状态,Rack Status[1,2]</t>
  </si>
  <si>
    <t>ScEMCT_RBMS_IDLearnCodeSt</t>
  </si>
  <si>
    <t>RBMS_IsoRPos</t>
  </si>
  <si>
    <t>Positive to GND Insulation Resistance (kOhm)
正对地绝缘阻值 (kOhm)</t>
  </si>
  <si>
    <t>ScEMCT_RBMS_IsoRPos</t>
  </si>
  <si>
    <t>BSWSRackIsoRPos</t>
  </si>
  <si>
    <t>RBMS_IsoRNeg</t>
  </si>
  <si>
    <t>Negative to GND Insulation Resistance (kOhm)
负对地绝缘阻值 (kOhm)</t>
  </si>
  <si>
    <t>ScEMCT_RBMS_IsoRNeg</t>
  </si>
  <si>
    <t>BSWSRackIsoRNeg</t>
  </si>
  <si>
    <t>RBMS_CmdInhibitFlg</t>
  </si>
  <si>
    <t>Insulation Disable Flag
绝缘禁止标志位</t>
  </si>
  <si>
    <t>flg</t>
  </si>
  <si>
    <t>Enum
0X0: Enable
0X1: Disable</t>
  </si>
  <si>
    <t>ScEMCT_RBMS_CmdInhibitFlg</t>
  </si>
  <si>
    <t>BSWSRackCmdInhibitFlg</t>
  </si>
  <si>
    <t>RBMS_IslnHvVldNbr</t>
  </si>
  <si>
    <t>Insulation High Voltage Validity Status
绝缘高压有效性状态</t>
  </si>
  <si>
    <t>Bit0[0]: Hv Battery Validity;高压有效性
Signal;
0X0-Invalid;
0X1-Valid;
Bit1[0]: Postive Voltage Validity;正极电压有效性
Signal;
0X0-Invalid;
0X1-Valid;
Bit2[0]: Negetive Voltage Validity;负极电压有效性
Signal;
0X0-Invalid;
0X1-Valid;</t>
  </si>
  <si>
    <t>统一按照bit 长度设置最大值</t>
  </si>
  <si>
    <t>ScEMCT_RBMS_IslnHvVldNbr</t>
  </si>
  <si>
    <t>BSWSRackIslnHvVldNbr</t>
  </si>
  <si>
    <t>RBMS_IslnInhibitNbr</t>
  </si>
  <si>
    <t>Insulation Prohibition Reason
绝缘禁止原因</t>
  </si>
  <si>
    <t>Enum
0X0: Normal;
0X1: HMI Insulation Prohibition;
0X2: Insulation-related Voltage Invalid;
0X3: Hv Insulation Prohibition;
0X4: XCP Configuration Insulation Prohibition;</t>
  </si>
  <si>
    <t>Rack状态,Rack Status[1,10]</t>
  </si>
  <si>
    <t>ScEMCT_RBMS_IslnInhibitNbr</t>
  </si>
  <si>
    <t>BSWSRackIslnInhibitNbr</t>
  </si>
  <si>
    <t>RBMS_CellTMUXFaiIDNbr[RACK_TEMPERATURE_SENSOR_MUX_NUMBER]</t>
  </si>
  <si>
    <t>Temp Sampling MUX Fail Position
温度采样MUX失效位置</t>
  </si>
  <si>
    <t>47-110</t>
  </si>
  <si>
    <t>Rack采样信息,Rack Sampling Information[3,19]</t>
  </si>
  <si>
    <t>所有失效的MUX位置，MUX编号索引从1开始，末尾用0填充</t>
  </si>
  <si>
    <t>SaEMCT_RBMS_CellTMUXFaiIDNbr</t>
  </si>
  <si>
    <t>RBMS_SoC</t>
  </si>
  <si>
    <t>Rack SOC (%)
Rack SOC（%）</t>
  </si>
  <si>
    <t>%</t>
  </si>
  <si>
    <t>Rack SOX状态,Rack SOX Status[2,1]</t>
  </si>
  <si>
    <t>发送显示SOC</t>
  </si>
  <si>
    <t>ScEMCT_RBMS_SoC</t>
  </si>
  <si>
    <t>BSWSRackSoC</t>
  </si>
  <si>
    <t>RBMS_SoH</t>
  </si>
  <si>
    <t>Rack SOH (%)
Rack SOH（%）</t>
  </si>
  <si>
    <t>Rack SOX状态,Rack SOX Status[2,2]</t>
  </si>
  <si>
    <t>发送显示SOH</t>
  </si>
  <si>
    <t>ScEMCT_RBMS_SoH</t>
  </si>
  <si>
    <t>BSWSRackSoH</t>
  </si>
  <si>
    <t>RBMS_SoEC</t>
  </si>
  <si>
    <t>Rack SOE for Charge (kWh)
Rack可充能量 (kWh)</t>
  </si>
  <si>
    <t>kWh</t>
  </si>
  <si>
    <t>Rack SOX状态,Rack SOX Status[2,6]</t>
  </si>
  <si>
    <t>ScEMCT_RBMS_SoEC</t>
  </si>
  <si>
    <t>BSWSRackSoEC</t>
  </si>
  <si>
    <t>RBMS_SoED</t>
  </si>
  <si>
    <t>Rack SOE for Discharge (kWh)
Rack可放能量 (kWh)</t>
  </si>
  <si>
    <t>Rack SOX状态,Rack SOX Status[2,7]</t>
  </si>
  <si>
    <t>ScEMCT_RBMS_SoED</t>
  </si>
  <si>
    <t>BSWSRackSoED</t>
  </si>
  <si>
    <t>RBMS_SoFPulseChrgCurr</t>
  </si>
  <si>
    <t>Pulse Charge Curr Limit (A)
脉冲充电电流限制 (A)</t>
  </si>
  <si>
    <t>ScEMCT_RBMS_SoFPulseChrgCurr</t>
  </si>
  <si>
    <t>BSWSRackSoFPulseChrgCurr</t>
  </si>
  <si>
    <t>RBMS_SoFPulseDisChrgCurr</t>
  </si>
  <si>
    <t>Pulse Discharge Curr Limit (A)
脉冲放电电流限制 (A)</t>
  </si>
  <si>
    <t>ScEMCT_RBMS_SoFPulseDisChrgCurr</t>
  </si>
  <si>
    <t>BSWSRackSoFPulseDisChrgCurr</t>
  </si>
  <si>
    <t>RBMS_SoFPulseChrgPwr</t>
  </si>
  <si>
    <t>Pulse Charge Power Limit (kW)
脉冲充电功率限制 (kW)</t>
  </si>
  <si>
    <t>kW</t>
  </si>
  <si>
    <t>ScEMCT_RBMS_SoFPulseChrgPwr</t>
  </si>
  <si>
    <t>BSWSRackSoFPulseChrgPwr</t>
  </si>
  <si>
    <t>RBMS_SoFPulseDisChrgPwr</t>
  </si>
  <si>
    <t>Pulse Discharge Power Limit (kW)
脉冲放电功率限制 (kW)</t>
  </si>
  <si>
    <t>ScEMCT_RBMS_SoFPulseDisChrgPwr</t>
  </si>
  <si>
    <t>BSWSRackSoFPulseDisChrgPwr</t>
  </si>
  <si>
    <t>RBMS_SoFContChrgCurr</t>
  </si>
  <si>
    <t>Const Charge Curr Limit (A)
持续充电电流限制 (A)</t>
  </si>
  <si>
    <t>Rack SOX状态,Rack SOX Status[2,8]</t>
  </si>
  <si>
    <t>ScEMCT_RBMS_SoFContChrgCurr</t>
  </si>
  <si>
    <t>BSWSRackSoFContChrgCurr</t>
  </si>
  <si>
    <t>RBMS_SoFContDisChrgCurr</t>
  </si>
  <si>
    <t>Const Discharge Curr Limit (A)
持续放电电流限制 (A)</t>
  </si>
  <si>
    <t>Rack SOX状态,Rack SOX Status[2,9]</t>
  </si>
  <si>
    <t>ScEMCT_RBMS_SoFContDisChrgCurr</t>
  </si>
  <si>
    <t>BSWSRackSoFContDisChrgCurr</t>
  </si>
  <si>
    <t>RBMS_SoFContChrgPwr</t>
  </si>
  <si>
    <t>Const Charge Power Limit (kW)
持续充电功率限制 (kW)</t>
  </si>
  <si>
    <t>ScEMCT_RBMS_SoFContChrgPwr</t>
  </si>
  <si>
    <t>BSWSRackSoFContChrgPwr</t>
  </si>
  <si>
    <t>RBMS_SoFContDisChrgPwr</t>
  </si>
  <si>
    <t>Const Discharge Power Limit (kW)
持续放电功率限制 (kW)</t>
  </si>
  <si>
    <t>ScEMCT_RBMS_SoFContDisChrgPwr</t>
  </si>
  <si>
    <t>BSWSRackSoFContDisChrgPwr</t>
  </si>
  <si>
    <t>RBMS_CellVMax</t>
  </si>
  <si>
    <t>Max Cell Voltage (mV)
最大电芯电压 (mV)</t>
  </si>
  <si>
    <t>Rack采样信息,Rack Sampling Information[3,13]</t>
  </si>
  <si>
    <t>ScCLVH_MaxCellVmV</t>
  </si>
  <si>
    <t>BSWSRackCellVMax</t>
  </si>
  <si>
    <t>RBMS_CellVMaxPstn</t>
  </si>
  <si>
    <t>Max Cell Voltage Position
最大电芯电压位置</t>
  </si>
  <si>
    <t>Rack采样信息,Rack Sampling Information[3,14]</t>
  </si>
  <si>
    <t>ScCLVH_MaxCellVIdxNbr</t>
  </si>
  <si>
    <t>BSWSRackCellVMaxPstn</t>
  </si>
  <si>
    <t>RBMS_CellVMin</t>
  </si>
  <si>
    <t>Min Cell Voltage (mV)
最小电芯电压 (mV)</t>
  </si>
  <si>
    <t>Rack采样信息,Rack Sampling Information[3,15]</t>
  </si>
  <si>
    <t>ScCLVH_MinCellVmV</t>
  </si>
  <si>
    <t>BSWSRackCellVMin</t>
  </si>
  <si>
    <t>RBMS_CellVMinPstn</t>
  </si>
  <si>
    <t>Min Cell Voltage Position
最小电芯电压位置</t>
  </si>
  <si>
    <t>Rack采样信息,Rack Sampling Information[3,16]</t>
  </si>
  <si>
    <t>ScCLVH_MinCellVIdxNbr</t>
  </si>
  <si>
    <t>BSWSRackCellVMinPstn</t>
  </si>
  <si>
    <t>RBMS_CellVAvg</t>
  </si>
  <si>
    <t>Average Cell Voltage (mV)
平均电芯电压 (mV)</t>
  </si>
  <si>
    <t>Rack采样信息,Rack Sampling Information[3,17]</t>
  </si>
  <si>
    <t>ScCLVH_AvgCellVmV</t>
  </si>
  <si>
    <t>BSWSRackCellVAvg</t>
  </si>
  <si>
    <t>RBMS_ModTmpMax</t>
  </si>
  <si>
    <t>Max Module Temp (℃)
最高电芯温度 (℃)</t>
  </si>
  <si>
    <t>Rack采样信息,Rack Sampling Information[3,20]</t>
  </si>
  <si>
    <t>ScCLTH_MaxCellTDegC</t>
  </si>
  <si>
    <t>BSWSRackModTmpMax</t>
  </si>
  <si>
    <t>Reserved4</t>
  </si>
  <si>
    <t>Reserved4
预留占位4</t>
  </si>
  <si>
    <t>RBMS_ModTmpMin</t>
  </si>
  <si>
    <t>Min Cell Temp (℃)
最低电芯温度 (℃)</t>
  </si>
  <si>
    <t>Rack采样信息,Rack Sampling Information[3,22]</t>
  </si>
  <si>
    <t>ScCLTH_MinCellTDegC</t>
  </si>
  <si>
    <t>BSWSRackModTmpMin</t>
  </si>
  <si>
    <t>RBMS_MCURstRsnFltNbr</t>
  </si>
  <si>
    <t>Fault Causes Leading to MCU Reset
导致MCU复位的故障原因</t>
  </si>
  <si>
    <t>Nbr</t>
  </si>
  <si>
    <t>Bit0[0]: CPU Power-On Self-Test;MCU内部的CPU上电自检
Signal;
0X0-Nomal;
0X1-Fault;
Bit1[0]: Periodic CPU Self-Test;MCU内部的CPU周期性自检
Signal;
0X0-Nomal;
0X1-Fault;
Bit2[0]: RAM Test;RAM检测(ECC+寻址)
Signal;
0X0-Nomal;
0X1-Fault;
Bit3[0]: FLASH Test;FLASH检测(ECC+寻址)
Signal;
0X0-Nomal;
0X1-Fault;
Bit4[0]: Power supply/Clock/Interrupt/Timer/Register Configuration Readback Test;电源检测、时钟检测、中断检测、Timer检测、系统关键寄存器配置回读检测
Signal;
0X0-Nomal;
0X1-Fault;
Bit5[0]: Over-Temperature Detection for MCU Chip;MCU芯片过温检测
Signal;
0X0-Nomal;
0X1-Fault;
Bit6[0]: Control-Flow Detection;控制流检测
Signal;
0X0-Nomal;
0X1-Fault;
Bit7[0]: Hardfault Process;Hardfault处理
Signal;
0X0-Nomal;
0X1-Fault;</t>
  </si>
  <si>
    <t>BSWSMCURstFltRsnNbr</t>
  </si>
  <si>
    <t>RBMS_ModTmpAvg</t>
  </si>
  <si>
    <t>Average Cell Temp (℃)
平均电芯温度 (℃)</t>
  </si>
  <si>
    <t>Rack采样信息,Rack Sampling Information[3,24]</t>
  </si>
  <si>
    <t>ScCLTH_AvgCellTDegC</t>
  </si>
  <si>
    <t>BSWSRackModTmpAvg</t>
  </si>
  <si>
    <t>RBMS_MaxPoleTDegC</t>
  </si>
  <si>
    <t>Max Pole Temp (℃)
最高极柱温度 (℃)</t>
  </si>
  <si>
    <t>Rack采样信息,Rack Sampling Information[3,25]</t>
  </si>
  <si>
    <t>ScCLTH_MaxPoleTDegC</t>
  </si>
  <si>
    <t>BSWSRackMaxPoleTDegC</t>
  </si>
  <si>
    <t>RBMS_MaxPoleTIdxNbr</t>
  </si>
  <si>
    <t>Max Pole Temp Position
最高极柱温度位置</t>
  </si>
  <si>
    <t>Rack采样信息,Rack Sampling Information[3,26]</t>
  </si>
  <si>
    <t>ScCLTH_MaxPoleTIdxNbr</t>
  </si>
  <si>
    <t>RBMS_MinPoleTDegC</t>
  </si>
  <si>
    <t>Min Pole Temp (℃)
最低极柱温度 (℃)</t>
  </si>
  <si>
    <t>Rack采样信息,Rack Sampling Information[3,27]</t>
  </si>
  <si>
    <t>ScCLTH_MinPoleTDegC</t>
  </si>
  <si>
    <t>BSWSRackMinPoleTDegC</t>
  </si>
  <si>
    <t>RBMS_MinPoleTIdxNbr</t>
  </si>
  <si>
    <t>Min Pole Temp Position
最低极柱温度位置</t>
  </si>
  <si>
    <t>Rack采样信息,Rack Sampling Information[3,28]</t>
  </si>
  <si>
    <t>ScCLTH_MinPoleTIdxNbr</t>
  </si>
  <si>
    <t>RBMS_MaxPoleTMdulIdxNbr</t>
  </si>
  <si>
    <t>Max Pole Temp Module Position
最高极柱温度模组位置</t>
  </si>
  <si>
    <t>ScCLTH_MaxPoleTMdulIdxNbr</t>
  </si>
  <si>
    <t>BSWSRackPoleTmpMaxMdulPstnNbr</t>
  </si>
  <si>
    <t>RBMS_MinPoleTMdulIdxNbr</t>
  </si>
  <si>
    <t>Min Pole Temp Module Position
最低极柱温度模组位置</t>
  </si>
  <si>
    <t>ScCLTH_MinPoleTMdulIdxNbr</t>
  </si>
  <si>
    <t>BSWSRackPoleTmpMinMdulPstnNbr</t>
  </si>
  <si>
    <t>RBMS_AvgPoleTDegC</t>
  </si>
  <si>
    <t>Average Pole Temp (℃)
平均极柱温度 (℃)</t>
  </si>
  <si>
    <t>Rack采样信息,Rack Sampling Information[3,29]</t>
  </si>
  <si>
    <t>ScCLTH_AvgPoleTDegC</t>
  </si>
  <si>
    <t>RBMS_CommType</t>
  </si>
  <si>
    <t>Communication Type
通讯类型</t>
  </si>
  <si>
    <t>Enum
0X0: CAN
0X1: LAN</t>
  </si>
  <si>
    <t>ScEMCT_RBMS_CommType</t>
  </si>
  <si>
    <t>RBMS_StrCtrlHb</t>
  </si>
  <si>
    <t>Rack BMS Heartbeat
Rack BMS心跳信号</t>
  </si>
  <si>
    <t>Rack状态,Rack Status[1,1]</t>
  </si>
  <si>
    <t>0-65535</t>
  </si>
  <si>
    <t>ScEMCT_RBMS_StrCtrlHb</t>
  </si>
  <si>
    <t>BSWSRackStrCtrlHb</t>
  </si>
  <si>
    <t>RBMS_ResChAvlCapAh</t>
  </si>
  <si>
    <t>Remaining Charge Cap (Ah)
可充容量 (Ah)</t>
  </si>
  <si>
    <t>Ah</t>
  </si>
  <si>
    <t>Rack SOX状态,Rack SOX Status[2,4]</t>
  </si>
  <si>
    <t>ScEMCT_RBMS_ResChAvlCapAh</t>
  </si>
  <si>
    <t>BSWSRackResChAvlCapAh</t>
  </si>
  <si>
    <t>RBMS_ResDischAvlCapAh</t>
  </si>
  <si>
    <t>Remaining Discharge Cap (Ah)
可放容量 (Ah)</t>
  </si>
  <si>
    <t>Rack SOX状态,Rack SOX Status[2,5]</t>
  </si>
  <si>
    <t>ScEMCT_RBMS_ResDischAvlCapAh</t>
  </si>
  <si>
    <t>BSWSRackResDischAvlCapAh</t>
  </si>
  <si>
    <t>RBMS_LstFullChCapAh</t>
  </si>
  <si>
    <t>Rack Last Full-Charge Cap (Ah)
最近一次簇满充容量 (Ah)</t>
  </si>
  <si>
    <t>ScEMCT_RBMS_LstFullChCapAh</t>
  </si>
  <si>
    <t>BSWSRackLstFullChCapAh</t>
  </si>
  <si>
    <t>RBMS_LstFullDischCapAh</t>
  </si>
  <si>
    <t>Rack Last Full-Discharge Cap (Ah)
最近一次簇满放容量 (Ah)</t>
  </si>
  <si>
    <t>ScEMCT_RBMS_LstFullDischCapAh</t>
  </si>
  <si>
    <t>BSWSRackLstFullDischCapAh</t>
  </si>
  <si>
    <t>RBMS_CycNbr</t>
  </si>
  <si>
    <t>Full Equiv Ch-Disch Cycles
等效完整充放电循环次数</t>
  </si>
  <si>
    <t>Rack历史信息,Rack History Information[4,3]</t>
  </si>
  <si>
    <t>ScEMCT_RBMS_CycNbr</t>
  </si>
  <si>
    <t>BSWSRackCycNbr</t>
  </si>
  <si>
    <t>RBMS_MaxPoleTMdulInnerIdxNbr</t>
  </si>
  <si>
    <t>Max Pole Temp Module Inner Position
最高极柱温度模组内位置</t>
  </si>
  <si>
    <t>ScCLTH_MaxPoleTMdulInnerIdxNbr</t>
  </si>
  <si>
    <t>BSWSRackPoleTmpMaxMdulInnerPstnNbr</t>
  </si>
  <si>
    <t>RBMS_MinPoleTMdulInnerIdxNbr</t>
  </si>
  <si>
    <t>Min Pole Temp Module Inner Position
最低极柱温度模组内位置</t>
  </si>
  <si>
    <t>ScCLTH_MinPoleTMdulInnerIdxNbr</t>
  </si>
  <si>
    <t>BSWSRackPoleTmpMinMdulInnerPstnNbr</t>
  </si>
  <si>
    <t>RBMS_AFEChipTmpMax</t>
  </si>
  <si>
    <t>Max AFE Chip Temperature (℃)
最高AFE芯片温度 (℃)</t>
  </si>
  <si>
    <t>Rack采样信息,Rack Sampling Information[3,3]</t>
  </si>
  <si>
    <t>ScEMCT_RBMS_AFEChipTmpMax</t>
  </si>
  <si>
    <t>RBMS_AFEChipTmpMin</t>
  </si>
  <si>
    <t>Min AFE Temperature (℃)
最低AFE温度 (℃)</t>
  </si>
  <si>
    <t>ScEMCT_RBMS_AFEChipTmpMin</t>
  </si>
  <si>
    <t>RBMS_MCURstRsnNbr</t>
  </si>
  <si>
    <t>MCU Reset Source
MCU复位源</t>
  </si>
  <si>
    <t>Enum
0xAA: Software Reset
0xBB: Power-On or Power-Down Reset
0xCC: CPU Reset
0xDD: BOR Reset
0xEE: Internal Watchdog Reset
0x55: Window Watchdog Reset</t>
  </si>
  <si>
    <t>ScEMCT_RBMS_MCURstRsnNbr</t>
  </si>
  <si>
    <t>BSWSRackMCURstRsnNbr</t>
  </si>
  <si>
    <t>RBMS_GenlVldFlg</t>
  </si>
  <si>
    <t>RBMS Sampling Validity Flag
RBMS采样有效性标志</t>
  </si>
  <si>
    <t>Bit0[1]: Cell Temperature General Validity;电芯温度概要有效性
Signal;
0X0-Invalid;
0X1-Valid;
Bit1[1]: Cell Voltage General Validity;电芯电压概要有效性
Signal;
0X0-Invalid;
0X1-Valid;
Bit2[1]: Battery Current Validity;簇电流有效性
Signal;
0X0-Invalid;
0X1-Valid;
Bit3[0]: LinkPosVoltage Validity;LinkPos电压有效性
Signal;
0X0-Invalid;
0X1-Valid;
Bit4[0]: Hv Box Temperature General Validity;高压箱温度概要有效性
Signal;
0X0-Invalid;
0X1-Valid;
Bit5[0]: Pole Temperature General Validity;极柱温度概要有效性
Signal;
0X0-Invalid;
0X1-Valid;
Bit6[0]: String Voltage Validity;电池串电压有效性
Signal;
0X0-Invalid;
0X1-Valid;</t>
  </si>
  <si>
    <t>Rack采样信息,Rack Sampling Information[3,5]</t>
  </si>
  <si>
    <t>(SbCLTH_GenlCellTVldFlg &lt;&lt; 0) | (SbCLVH_GenlCellVVldFlg &lt;&lt; 1) | (SbEMCT_RBMS_BatIVldFlg &lt;&lt; 2) | (SbEMCT_RBMS_HvLnkPosVVldFlg &lt;&lt; 3) | (SbCLTH_GenlHvBoxTVldFlg &lt;&lt; 4) | (SbCLTH_GenlPoleTVldFlg &lt;&lt; 5) | (SbEMCT_RBMS_HvBatVVldFlg &lt;&lt; 6)</t>
  </si>
  <si>
    <t>BSWSRackGenlVldFlg</t>
  </si>
  <si>
    <t>RBMS_IslnFinalBatV</t>
  </si>
  <si>
    <t>Total Insulation Voltage (V)
绝缘总压 (V)</t>
  </si>
  <si>
    <t>ScEMCT_RBMS_IslnFinalBatV</t>
  </si>
  <si>
    <t>BSWSRackIslnFinalBatV</t>
  </si>
  <si>
    <t>RBMS_IslnFinalPosV</t>
  </si>
  <si>
    <t>Insulation Positive to GND Voltage (V)
绝缘正对地电压 (V)</t>
  </si>
  <si>
    <t>ScEMCT_RBMS_IslnFinalPosV</t>
  </si>
  <si>
    <t>BSWSRackIslnFinalPosV</t>
  </si>
  <si>
    <t>RBMS_IslnFinalNegV</t>
  </si>
  <si>
    <t>Insulation Negative to GND Voltage (V)
绝缘负对地电压 (V)</t>
  </si>
  <si>
    <t>ScEMCT_RBMS_IslnFinalNegV</t>
  </si>
  <si>
    <t>BSWSRackIslnFinalNegV</t>
  </si>
  <si>
    <t>RBMS_IslnMeastStState</t>
  </si>
  <si>
    <t>Insulation Measure Status
绝缘测量状态</t>
  </si>
  <si>
    <t>Enum
0X0: Initial;
0X1: Pending;
0X2: Finished;
0X3: Inhibit;</t>
  </si>
  <si>
    <t>Rack状态,Rack Status[1,11]</t>
  </si>
  <si>
    <t>ScEMCT_RBMS_IslnMeastStState</t>
  </si>
  <si>
    <t>BSWSRackIslnMeastStState</t>
  </si>
  <si>
    <t>RBMS_LstChEkWh</t>
  </si>
  <si>
    <t>Rack Last Charge Energy (kWh)
最近一次簇充电能量 (kWh)</t>
  </si>
  <si>
    <t>Rack历史信息,Rack History Information[4,4]</t>
  </si>
  <si>
    <t>ScEMCT_RBMS_LstChEkWh</t>
  </si>
  <si>
    <t>BSWSRackLstChEkWh</t>
  </si>
  <si>
    <t>RBMS_LstDchEkWh</t>
  </si>
  <si>
    <t>Rack Last Discharge Energy (kWh)
最近一次簇放电能量 (kWh)</t>
  </si>
  <si>
    <t>Rack历史信息,Rack History Information[4,5]</t>
  </si>
  <si>
    <t>ScEMCT_RBMS_LstDchEkWh</t>
  </si>
  <si>
    <t>BSWSRackLstDchEkWh</t>
  </si>
  <si>
    <t>RBMS_BalBdTmpMax</t>
  </si>
  <si>
    <t>Max Balancing Board Temp (℃)
最高均衡板温 (℃)</t>
  </si>
  <si>
    <t>Rack采样信息,Rack Sampling Information[3,18]</t>
  </si>
  <si>
    <t>ScCLTH_MaxPCBBdTDegC</t>
  </si>
  <si>
    <t>RBMS_RmngCellBalTiMax</t>
  </si>
  <si>
    <t>Max Balancing Remain Time (min)
最大剩余均衡时间 (min)</t>
  </si>
  <si>
    <t>Rack状态,Rack Status[1,12]</t>
  </si>
  <si>
    <t>ScEMCT_RBMS_RmngCellBalTiMax</t>
  </si>
  <si>
    <t>RBMS_RealSysSOHC</t>
  </si>
  <si>
    <t>Rack Real SOH (%)
Rack真实SOH (%)</t>
  </si>
  <si>
    <t>ScSOHA_RealSysSOHCPct</t>
  </si>
  <si>
    <t>RBMS_RealSysCapAh</t>
  </si>
  <si>
    <t>Rack Max Available Capacity (Ah)
电池簇最大可用容量 (Ah)</t>
  </si>
  <si>
    <t>Rack SOX状态,Rack SOX Status[2,3]</t>
  </si>
  <si>
    <t>songx0830：表格已有信号：替换名字为：RBMS_RealCellCapAh</t>
  </si>
  <si>
    <t>ScSOHA_RealSysCapAh_dbug</t>
  </si>
  <si>
    <t>RBMS_RealCellCapAh</t>
  </si>
  <si>
    <t>Min Cell Real Capacity (Ah)
最小电芯真实容量 (Ah)</t>
  </si>
  <si>
    <t>songx0830：是否需要考虑与RBMS_SysMinSOHC名称统一？</t>
  </si>
  <si>
    <t>RBMS_SysMaxSOC</t>
  </si>
  <si>
    <t>RBMS Max SOC (%)
RBMS最大SOC (%)</t>
  </si>
  <si>
    <t>ScEMCT_RBMS_SysMaxSOC</t>
  </si>
  <si>
    <t>RBMS_SysMinSOC</t>
  </si>
  <si>
    <t>RBMS Min SOC (%)
RBMS最小SOC (%)</t>
  </si>
  <si>
    <t>ScEMCT_RBMS_SysMinSOC</t>
  </si>
  <si>
    <t>RBMS_RealSysSOCPct</t>
  </si>
  <si>
    <t>Rack Real SOC (%)
Rack真实SOC (%)</t>
  </si>
  <si>
    <t>ScSOCA_RealSysSOCPct_dbug</t>
  </si>
  <si>
    <t>RBMS_AccuDisChrgAh2</t>
  </si>
  <si>
    <t>Accu Discharge Cap (Ah)
累计放电容量 (Ah)</t>
  </si>
  <si>
    <t>Rack历史信息,Rack History Information[4,7]</t>
  </si>
  <si>
    <t>三级板A核算法需求高精度容量</t>
  </si>
  <si>
    <t>ScHIST_HistAccuDischCapAh</t>
  </si>
  <si>
    <t>RBMS_AccuDisChrgkWh2</t>
  </si>
  <si>
    <t>Accu Discharge Eng (kWh)
累计放电能量 (kWh)</t>
  </si>
  <si>
    <t>Rack历史信息,Rack History Information[4,9]</t>
  </si>
  <si>
    <t>上位机显示</t>
  </si>
  <si>
    <t>ScHIST_HistAccuDischEngKwh</t>
  </si>
  <si>
    <t>RBMS_AccuChrgAh2</t>
  </si>
  <si>
    <t>Accu Charge Cap (Ah)
累计充电容量 (Ah)</t>
  </si>
  <si>
    <t>Rack历史信息,Rack History Information[4,6]</t>
  </si>
  <si>
    <t>ScHIST_HistAccuChCapAh</t>
  </si>
  <si>
    <t>RBMS_AccuChrgkWh2</t>
  </si>
  <si>
    <t>Accu Charge Eng (kWh)
累计充电能量 (kWh)</t>
  </si>
  <si>
    <t>Rack历史信息,Rack History Information[4,8]</t>
  </si>
  <si>
    <t>ScHIST_HistAccuChEngKwh</t>
  </si>
  <si>
    <t>RBMS_BMSMaxFltLevel</t>
  </si>
  <si>
    <t>Rack Fault Level
Rack故障等级</t>
  </si>
  <si>
    <t>Enum
0X1: Level 1 Fault;
0X2: Level 2 Fault;
0X3: Level 3 Fault;
0X7: No Fault;</t>
  </si>
  <si>
    <t>Rack状态,Rack Status[1,3]</t>
  </si>
  <si>
    <t>ScEMCT_RBMS_BMSMaxFltLevel</t>
  </si>
  <si>
    <t>BSWSRackBMSMaxFltLevel</t>
  </si>
  <si>
    <t>RBMS_MaxCellVMdulTDegC</t>
  </si>
  <si>
    <t>Max Voltage Cell Temp (℃)
最大电压电芯对应温度 (℃)</t>
  </si>
  <si>
    <t>songx0830：新增SOCA/SOHA算法输入信号</t>
  </si>
  <si>
    <t>ScCLTH_MaxCellVMdulTDegC</t>
  </si>
  <si>
    <t>RBMS_MinCellVMdulTDegC</t>
  </si>
  <si>
    <t>Min Voltage Cell Temp (℃)
最小电压电芯对应温度 (℃)</t>
  </si>
  <si>
    <t>ScCLTH_MinCellVMdulTDegC</t>
  </si>
  <si>
    <t>RBMS_MaxCellVMdulTVldFlg</t>
  </si>
  <si>
    <t>Max Voltage Cell Temp Validity
最大电压电芯温度有效性</t>
  </si>
  <si>
    <t>Enum
0X0: Invalid;
0X1: Valid;</t>
  </si>
  <si>
    <t>SbCLTH_MaxCellVMdulTVldFlg</t>
  </si>
  <si>
    <t>RBMS_MinCellVMdulTVldFlg</t>
  </si>
  <si>
    <t>Min Voltage Cell Temp Validity
最小电压电芯温度有效性</t>
  </si>
  <si>
    <t>SbCLTH_MinCellVMdulTVldFlg</t>
  </si>
  <si>
    <t>RBMS_A</t>
  </si>
  <si>
    <t>DC Bus Current (A)
总线电流 (A)</t>
  </si>
  <si>
    <t>Rack采样信息,Rack Sampling Information[3,6]</t>
  </si>
  <si>
    <t>ScEMCT_RBMS_A</t>
  </si>
  <si>
    <t>BSWSRackA</t>
  </si>
  <si>
    <t>RBMS_A1</t>
  </si>
  <si>
    <t>Rack Current of Sensor 1 (A)
传感器1的簇电流 (A)</t>
  </si>
  <si>
    <t>Rack采样信息,Rack Sampling Information[3,7]</t>
  </si>
  <si>
    <t>SaEMCT_RBMS_A[0]</t>
  </si>
  <si>
    <t>RBMS_A2</t>
  </si>
  <si>
    <t>Rack Current of Sensor 2 (A)
传感器2的簇电流 (A)</t>
  </si>
  <si>
    <t>Rack采样信息,Rack Sampling Information[3,8]</t>
  </si>
  <si>
    <t>SaEMCT_RBMS_A[1]</t>
  </si>
  <si>
    <t>RBMS_BalBdTmpMin</t>
  </si>
  <si>
    <t>Min Balancing Board Temp (℃)
最低均衡板温 (℃)</t>
  </si>
  <si>
    <t>ScCLTH_MinPCBBdTDegC</t>
  </si>
  <si>
    <t>RBMS_PreChrgRT</t>
  </si>
  <si>
    <t>Precharge Resistor Temp (℃)
预充电阻温度 (℃)</t>
  </si>
  <si>
    <t>ScEMCT_RBMS_PreChrgRT</t>
  </si>
  <si>
    <t>BSWSRackPreChrgRT</t>
  </si>
  <si>
    <t>RBMS_RlyCtrlCmd</t>
  </si>
  <si>
    <t>Relay Control Cmd
继电器控制命令</t>
  </si>
  <si>
    <t>Bit0[0]: Precharge Relay Control Cmd;预充继电器控制命令
Signal;
0X0-Default;
0X1-Control;
Bit1[0]: Main Negative Relay Control Cmd;主负继电器控制命令
Signal;
0X0-Default;
0X1-Control;
Bit2[0]: Main Positive Relay Control Cmd;主正继电器控制命令
Signal;
0X0-Default;
0X1-Control;
Bit3[0]: Main Positive Relay High-Side Control Cmd;主正继电器高边控制命令
Signal;
0X0-Default;
0X1-Control;
Bit4[0]: Main Positive Relay Low-Side Control Cmd;主正继电器低边控制命令
Signal;
0X0-Default;
0X1-Control;
Bit5[0]: Main Negative Relay High-Side Control Cmd;主负继电器高边控制命令
Signal;
0X0-Default;
0X1-Control;
Bit6[0]: Main Negative Relay Low-Side Control Cmd;主负继电器低边控制命令
Signal;
0X0-Default;
0X1-Control;</t>
  </si>
  <si>
    <t>ScEMCT_RBMS_RlyCtrlCmd</t>
  </si>
  <si>
    <t>RBMS_FaultEvt</t>
  </si>
  <si>
    <t>Fault Event
故障信息</t>
  </si>
  <si>
    <t>Bit0[0]：Cell Over Voltage Level 1;单体电压高一级故障
Signal;
0X0-Nomal;
0X1-Fault;
Bit1[0]: Cell Under Voltage Level 1;单体电压低一级故障
Signal;
0X0-Nomal;
0X1-Fault;
Bit2[0]: String Over Voltage Level 1;电池串过压一级故障
Signal;
0X0-Nomal;
0X1-Fault;
Bit3[0]: String Under Voltage Level 1;电池串欠压一级故障
Signal;
0X0-Nomal;
0X1-Fault;
Bit4[0]: Cell Over Voltage Level 2;单体电压高二级故障
Signal;
0X0-Nomal;
0X1-Fault;
Bit5[0]: Cell Under Voltage Level 2;单体电压低二级故障
Signal;
0X0-Nomal;
0X1-Fault;
Bit6[0]: String Over Voltage Level 2;电池串过压二故障
Signal;
0X0-Nomal;
0X1-Fault;
Bit7[0]: String Under Voltage Level 2;电池串欠压二级故障
Signal;
0X0-Nomal;
0X1-Fault;
Bit8[0]: Battery Over Temperature Level 1;过温一级故障
Signal;
0X0-Nomal;
0X1-Fault;
Bit9[0]: Battery Under Temperature Level 1;欠温一级故障
Signal;
0X0-Nomal;
0X1-Fault;
Bit10[0]: Cell Thermal Runaway Fault;电芯热失控故障
Signal;
0X0-Nomal;
0X1-Fault;
Bit11[0]; Cell Extreme Over Voltage; 极限过压故障
Signal;
0X0-Nomal;
0X1-Fault;
Bit12[0]: Cell Extreme Under Voltage ;极限欠压故障
Signal;
0X0-Nomal;
0X1-Fault;
Bit13[0]: Cell Extreme Over Temperature;极限过温故障
Signal;
0X0-Nomal;
0X1-Fault;
Bit14[0]: Cell Temperature Rise too Fast;温升过快故障
Signal;
0X0-Nomal;
0X1-Fault;</t>
  </si>
  <si>
    <t>ScEMCT_RBMS_FaultEvt</t>
  </si>
  <si>
    <t>BSWSRackFaultEvt</t>
  </si>
  <si>
    <t>RBMS_AttachState</t>
  </si>
  <si>
    <t>Attachment Status
附件状态</t>
  </si>
  <si>
    <t>Bit0[0]: EStop Status;急停状态
Signal;
0X0-Closed;
0X1-Open;
Bit1[0]: Reserved;保留
Signal;
0X0-Closed;
0X1-Open;
Bit2[0]: Reserved;保留
Signal;
0X0-Closed;
0X1-Open;
Bit3[0]: Fan Status;风机状态
Signal;
0X0-Open;
0X1-Closed;
Bit4[0]: EPOtoPCS 标志;EPOtoPCS Flg
Signal;
0X0-Default;
0X1-Control;</t>
  </si>
  <si>
    <t>ScEMCT_RBMS_AttachState</t>
  </si>
  <si>
    <t>Reserved2</t>
  </si>
  <si>
    <t>Reserved2
预留占位2</t>
  </si>
  <si>
    <t>RBMS_MaxCellVMdulIdxNbr</t>
  </si>
  <si>
    <t>Max Cell Voltage Module Position
最高电芯电压模组位置</t>
  </si>
  <si>
    <t>ScCLVH_MaxCellVIdxMdulNbr</t>
  </si>
  <si>
    <t>BSWSRackCellVMaxMdulPstnNbr</t>
  </si>
  <si>
    <t>RBMS_MinCellVMdulIdxNbr</t>
  </si>
  <si>
    <t>Min Cell Voltage Module Position
最低电芯电压模组位置</t>
  </si>
  <si>
    <t>ScCLVH_MinCellVIdxMdulNbr</t>
  </si>
  <si>
    <t>BSWSRackCellVMinMdulPstnNbr</t>
  </si>
  <si>
    <t>RBMS_MaxTMdulIdxNbr</t>
  </si>
  <si>
    <t>Max Cell Temp Module Position
最高电芯温度模组位置</t>
  </si>
  <si>
    <t>ScCLTH_MaxTMdulIdxNbr</t>
  </si>
  <si>
    <t>BSWSRackModTmpMaxMdulPstnNbr</t>
  </si>
  <si>
    <t>RBMS_MinTMdulIdxNbr</t>
  </si>
  <si>
    <t>Min Cell Temp Module Position
最低电芯温度模组位置</t>
  </si>
  <si>
    <t>ScCLTH_MinTMdulIdxNbr</t>
  </si>
  <si>
    <t>BSWSRackModTmpMinMdulPstnNbr</t>
  </si>
  <si>
    <t>RBMS_MaxCellVMdulInnerIdxNbr</t>
  </si>
  <si>
    <t>Max Cell Voltage Module Inner Position
最高电芯电压模组内位置</t>
  </si>
  <si>
    <t>ScCLVH_MaxCellVMdulInnerIdxNbr</t>
  </si>
  <si>
    <t>BSWSRackCellVMaxMdulInnerPstnNbr</t>
  </si>
  <si>
    <t>RBMS_MinCellVMdulInnerIdxNbr</t>
  </si>
  <si>
    <t>Min Cell Voltage Module Inner Position
最低电芯电压模组内位置</t>
  </si>
  <si>
    <t>ScCLVH_MinCellVMdulInnerIdxNbr</t>
  </si>
  <si>
    <t>BSWSRackCellVMinMdulInnerPstnNbr</t>
  </si>
  <si>
    <t>RBMS_MaxTMdulInnerIdxNbr</t>
  </si>
  <si>
    <t>Max Cell Temp Module Inner Position
最高电芯温度模组内位置</t>
  </si>
  <si>
    <t>ScCLTH_MaxTMdulInnerIdxNbr</t>
  </si>
  <si>
    <t>BSWSRackModTmpMaxMdulInnerPstnNbr</t>
  </si>
  <si>
    <t>RBMS_MinTMdulInnerIdxNbr</t>
  </si>
  <si>
    <t>Min Cell Temp Module Inner Position
最低电芯温度模组内位置</t>
  </si>
  <si>
    <t>ScCLTH_MinTMdulInnerIdxNbr</t>
  </si>
  <si>
    <t>BSWSRackModTmpMinMdulInnerPstnNbr</t>
  </si>
  <si>
    <t>RBMS_DaisyChain1LastNode</t>
  </si>
  <si>
    <t>AFE Daisy Chain Master Chain Nodes
AFE菊花链主链节点数</t>
  </si>
  <si>
    <t>Rack采样信息,Rack Sampling Information[3,1]</t>
  </si>
  <si>
    <t>BSWSChain1LastNode</t>
  </si>
  <si>
    <t>RBMS_DaisyChain2LastNode</t>
  </si>
  <si>
    <t>AFE Daisy Chain Slave Chain Nodes
AFE菊花链副链节点数</t>
  </si>
  <si>
    <t>Rack采样信息,Rack Sampling Information[3,2]</t>
  </si>
  <si>
    <t>BSWSChain2LastNode</t>
  </si>
  <si>
    <t>RBMS_ModTmpMaxPstn</t>
  </si>
  <si>
    <t>Max Cell Temp Position
最高电芯温度位置</t>
  </si>
  <si>
    <t>Rack采样信息,Rack Sampling Information[3,21]</t>
  </si>
  <si>
    <t>ScCLTH_MaxCellTIdxNbr</t>
  </si>
  <si>
    <t>BSWSRackModTmpMaxPstn</t>
  </si>
  <si>
    <t>RBMS_ModTmpMinPstn</t>
  </si>
  <si>
    <t>Min Module Temp Position
最低电芯温度位置</t>
  </si>
  <si>
    <t>Rack采样信息,Rack Sampling Information[3,23]</t>
  </si>
  <si>
    <t>ScCLTH_MinCellTIdxNbr</t>
  </si>
  <si>
    <t>BSWSRackModTmpMinPstn</t>
  </si>
  <si>
    <t>RBMS_AccuDisChrgAh</t>
  </si>
  <si>
    <t>Accu Discharge Cap (Ah) (Low accu)
累计放电容量 (Ah) (低精度)</t>
  </si>
  <si>
    <t>ScEMCT_RBMS_AccuDisChrgAh</t>
  </si>
  <si>
    <t>BSWSRackAccuDisChrgAh</t>
  </si>
  <si>
    <t>RBMS_AccuDisChrgkWh</t>
  </si>
  <si>
    <t>Accu Discharge Eng (kWh) (Low accu)
累计放电能量 (kWh) (低精度)</t>
  </si>
  <si>
    <t>ScEMCT_RBMS_AccuDisChrgkWh</t>
  </si>
  <si>
    <t>BSWSRackAccuDisChrgkWh</t>
  </si>
  <si>
    <t>RBMS_AccuChrgAh</t>
  </si>
  <si>
    <t>Accu Charge Cap (Ah) (Low accu)
累计充电容量 (Ah) (低精度)</t>
  </si>
  <si>
    <t>ScEMCT_RBMS_AccuChrgAh</t>
  </si>
  <si>
    <t>BSWSRackAccuChrgAh</t>
  </si>
  <si>
    <t>RBMS_AccuChrgkWh</t>
  </si>
  <si>
    <t>Accu Charge Eng (kWh) (Low accu)
累计充电能量 (kWh) (低精度)</t>
  </si>
  <si>
    <t>ScEMCT_RBMS_AccuChrgkWh</t>
  </si>
  <si>
    <t>BSWSRackAccuChrgkWh</t>
  </si>
  <si>
    <t>RBMS_LstChCapAh</t>
  </si>
  <si>
    <t>Rack Last Charge Cap (Ah)
最近一次簇充电容量 (Ah)</t>
  </si>
  <si>
    <t>ScEMCT_RBMS_LstChCapAh</t>
  </si>
  <si>
    <t>BSWSRackLstChCapAh</t>
  </si>
  <si>
    <t>RBMS_LstDchCapAh</t>
  </si>
  <si>
    <t>Rack Last Discharge Cap (Ah)
最近一次簇放电容量 (Ah)</t>
  </si>
  <si>
    <t>ScEMCT_RBMS_LstDchCapAh</t>
  </si>
  <si>
    <t>BSWSRackLstDchCapAh</t>
  </si>
  <si>
    <t>RBMS_FltSOPDischCoeffPct</t>
  </si>
  <si>
    <t>Fault-based Discharge Power Limit Coefficient (%)
基于故障的放电功率限制系数</t>
  </si>
  <si>
    <t>ScSOPC_FltSOPDischCoeffPct</t>
  </si>
  <si>
    <t>BSWSRackFltSOPDischCoeffPct</t>
  </si>
  <si>
    <t>RBMS_FltSOPChCoeffPct</t>
  </si>
  <si>
    <t>Fault-based Charge Power Limit Coefficient (%)
基于故障的充电功率限制系数</t>
  </si>
  <si>
    <t>ScSOPC_FltSOPChCoeffPct</t>
  </si>
  <si>
    <t>BSWSRackFltSOPChCoeffPct</t>
  </si>
  <si>
    <t>RBMS_CurrSnsrPowSplyVoltmV</t>
  </si>
  <si>
    <t>Current Sensor Power Supply Volt (mV)
电流传感器供电电压 (mV)</t>
  </si>
  <si>
    <t>Rack采样信息,Rack Sampling Information[3,10]</t>
  </si>
  <si>
    <t>ScEMCT_RBMS_CurrSnsrPowSplyValmV</t>
  </si>
  <si>
    <t>RBMS_CtlBoxT0DegC</t>
  </si>
  <si>
    <t>HV Box Temperature0 (℃)
高压箱温度T0 (℃)</t>
  </si>
  <si>
    <t>ScCLTH_CtlBoxT0DegC</t>
  </si>
  <si>
    <t>RBMS_CtlBoxT1DegC</t>
  </si>
  <si>
    <t>HV Box Temperature1 (℃)
高压箱温度T1 (℃)</t>
  </si>
  <si>
    <t>ScCLTH_CtlBoxT1DegC</t>
  </si>
  <si>
    <t>RBMS_CtlBoxT2DegC</t>
  </si>
  <si>
    <t>HV Box Temperature2 (℃)
高压箱温度T2 (℃)</t>
  </si>
  <si>
    <t>ScCLTH_CtlBoxT2DegC</t>
  </si>
  <si>
    <t>RBMS_CtlBoxT3DegC</t>
  </si>
  <si>
    <t>HV Box Temperature3 (℃)
高压箱温度T3 (℃)</t>
  </si>
  <si>
    <t>ScCLTH_CtlBoxT3DegC</t>
  </si>
  <si>
    <t>RBMS_PCSChVoltLim</t>
  </si>
  <si>
    <t>Charge Voltage Limit to PCS (V)
发送至PCS的充电限制电压 (V)</t>
  </si>
  <si>
    <t>ScEMCT_PCS_Limit_ChargeVoltage</t>
  </si>
  <si>
    <t>RBMS_PCSDchVoltLim</t>
  </si>
  <si>
    <t>Discharge Voltage Limit to PCS
发送至PCS的放电限制电压 (V)</t>
  </si>
  <si>
    <t>ScEMCT_PCS_Limit_DisChargeVoltage</t>
  </si>
  <si>
    <t>RBMS_PCSSOP</t>
  </si>
  <si>
    <t>SOP to PCS (kW)
发送至PCS的SOP (kW)</t>
  </si>
  <si>
    <t>ScEMCT_PCS_SOP</t>
  </si>
  <si>
    <t>RBMS_PCSBMSSt</t>
  </si>
  <si>
    <t>BMS Status to PCS
发送至PCS的BMS状态</t>
  </si>
  <si>
    <t>ScEMCT_RBMS_BMSSt</t>
  </si>
  <si>
    <t>RBMS_CellBalStatus[TOTAL_SERIES_CELL_NUMBER_PER_RACK_BMS]</t>
  </si>
  <si>
    <t>Cell Balancing Status (up to 416 cells)
电芯均衡状态（最多416个）</t>
  </si>
  <si>
    <t>1-52</t>
  </si>
  <si>
    <t>Y</t>
  </si>
  <si>
    <t>SaEMCT_RBMS_CellBalSt</t>
  </si>
  <si>
    <t>RBMS_CellSdrate[TOTAL_SERIES_CELL_NUMBER_PER_RACK_BMS]</t>
  </si>
  <si>
    <t>Cell Self Discharge Rate (up to 416 cells)
电芯自放电率（最多416个）</t>
  </si>
  <si>
    <t>1-416</t>
  </si>
  <si>
    <t>%/month</t>
  </si>
  <si>
    <t>SaEMCT_RBMS_CellSdr</t>
  </si>
  <si>
    <t>RBMS_Fault[200]</t>
  </si>
  <si>
    <t>RBMS Fault Array
RBMS故障数组</t>
  </si>
  <si>
    <t>1-25</t>
  </si>
  <si>
    <t>参考RBMS故障列表</t>
  </si>
  <si>
    <t>SaFDCH_FltStsFlt||SaFDCH_FltStsSftyFlt</t>
  </si>
  <si>
    <t>BBMS_BatSt</t>
  </si>
  <si>
    <t>Bank Status
Bank工作状态</t>
  </si>
  <si>
    <t>Enum
0X0: Allocation;
0X1: Not Connected;
0X2: Reserved;
0X3: Connected;
0X4: Reserved;
0X5: SOC Protection;
0X63: Fault;</t>
  </si>
  <si>
    <t>Bank状态,Bank Status[1,5]</t>
  </si>
  <si>
    <t>ScEMCT_BBMS_BatSt</t>
  </si>
  <si>
    <t>BBMS_ChSt</t>
  </si>
  <si>
    <t>Bank Charging Status
Bank充放电状态</t>
  </si>
  <si>
    <t>Bank状态,Bank Status[1,6]</t>
  </si>
  <si>
    <t>ScEMCT_BBMS_ChSt</t>
  </si>
  <si>
    <t>BBMS_SysOperSt</t>
  </si>
  <si>
    <t>Bank System Operating Status
Bank系统运行状态</t>
  </si>
  <si>
    <t>Bit0-Bit2[1]: Bank Control Mode;Bank控制模式
Signal;
0X1-Debug;
0X2-BMS Control;
0X3-EMS Control;
Bit3[0]: Address Allocation;地址分配
Signal;
0X0-Assiging;
0X1-Assign Done;
Bit4-Bit5[1]: Bank Operate Control CMD;Bank运行控制指令
Signal;
0X0-Default;
0X1-Connect;
0X2-Disconnect;
Bit6[0]: Fault Clear;故障清除
Signal;
0X0-Disable;
0X1-Enable;</t>
  </si>
  <si>
    <t>Bank状态,Bank Status[1,7]</t>
  </si>
  <si>
    <t>xuc 0828: EMCT模型逻辑做了，BBMS工程中未mapping，上位机Bank运行模式控制与Bank控制模式应该不能正确显示</t>
  </si>
  <si>
    <t>ScEMCT_BBMS_SysOperSt</t>
  </si>
  <si>
    <t>BBMS_PmtRkFltNum</t>
  </si>
  <si>
    <t>Min number of Racks Allowed to Run
允许运行的最小Rack数量</t>
  </si>
  <si>
    <t>Bank状态,Bank Status[1,12]</t>
  </si>
  <si>
    <t>ScEMCT_BBMS_PmtRkFltNum</t>
  </si>
  <si>
    <t>BBMS_SetInverterSt</t>
  </si>
  <si>
    <t>Set Inverter Status
设置逆变器状态</t>
  </si>
  <si>
    <t>Enum
0X1: PCS Shut Down
0X2: PCS Standby
0X3: PCS Running</t>
  </si>
  <si>
    <t>ScEMCT_BBMS_SetInverterSt</t>
  </si>
  <si>
    <t>BBMS_RackFltLvl1Nbr</t>
  </si>
  <si>
    <t>Positions of Rack with Emergency Fault 
存在严重故障的Rack位置</t>
  </si>
  <si>
    <r>
      <rPr>
        <sz val="9.75"/>
        <color rgb="FF000000"/>
        <rFont val="等线"/>
        <charset val="134"/>
        <scheme val="minor"/>
      </rPr>
      <t xml:space="preserve">Enums
</t>
    </r>
    <r>
      <rPr>
        <sz val="9.75"/>
        <rFont val="Calibri"/>
        <charset val="134"/>
      </rPr>
      <t>Bit0: Rack1
Bit1: Rack2
Bit2: Rack3
Bit3: Rack4
Bit4: Rack5
Bit5: Rack6
Bit6: Rack7
Bit7: Rack8
Bit8: Rack9
Bit9: Rack10
Bit10: Rack11
Bit11: Rack12
Bit12: Rack13
Bit13: Rack14
Bit14: Rack15
Bit15: Rack16</t>
    </r>
  </si>
  <si>
    <t>Bank状态,Bank Status[1,9]</t>
  </si>
  <si>
    <t>ScEMCT_BBMS_RackFltLvl1Nbr</t>
  </si>
  <si>
    <t>BBMS_CntrSt</t>
  </si>
  <si>
    <t>Bank Contactor Status
Bank接触器状态</t>
  </si>
  <si>
    <t>Bit0[0]: EPO Input Status;急停故障状态
Signal;
0X0-Nomal;
0X1-Fault;
Bit1[0]: CmbstGas Status;可燃气体故障状态
Signal;
0X0-Nomal;
0X1-Fault;
Bit2[0]: Fire Extinguisher Warn Status;消防三级故障状态
Signal;
0X0-Nomal;
0X1-Fault;
Bit3[0]: Fire Extinguisher Fault Status;消防二级故障状态
Signal;
0X0-Nomal;
0X1-Fault;
Bit4[0]: Fire Extinguisher Actuator Status;消防一级故障状态
Signal;
0X0-Nomal;
0X1-Fault;
Bit5[0]: QF Switch Status;断路器QF故障状态
Signal;
0X0-Nomal;
0X1-Fault;
Bit6[1]: QS Status;隔离开关QS故障状态
Signal;
0X0-Nomal;
0X1-Fault;
Bit7[0]: SPD Status;浪涌反馈故障状态
Signal;
0X0-Nomal;
0X1-Fault;
Bit8[0]: Green Light Status;绿灯状态
Signal;
0X0-Off;
0X1-On;
Bit9[0]: Yellow Light Status;黄灯状态
Signal;
0X0-Off;
0X1-On;
Bit10[0]: Red Light Status;红灯状态
Signal;
0X0-Off;
0X1-On;
Bit11: Reserved;保留
Signal;
0X0-Off;
0X1-On;
Bit12[0]: Door Status;门禁故障状态
Signal;
0X0-Nomal;
0X1-Fault;
Bit13[0]: Aerosol Status;气溶胶故障状态
Signal;
0X0-Nomal;
0X1-Fault;
Bit14[0]: Expprf Fan Status;防爆风机状态
Signal;
0X0-Closed;
0X1-Open;
Bit15[0]: Expprf Fan Fault Status;防爆风机故障状态
Signal;
0X0-Nomal;
0X1-Fault;</t>
  </si>
  <si>
    <t>ScEMCT_BBMS_CntrSt</t>
  </si>
  <si>
    <t>BBMS_SOC</t>
  </si>
  <si>
    <t>System SOC (%) 
系统SOC (%)</t>
  </si>
  <si>
    <t>Bank SOX状态,Bank SOX Status[2,1]</t>
  </si>
  <si>
    <t>ScEMCT_BBMS_SOC</t>
  </si>
  <si>
    <t>BBMS_SOH</t>
  </si>
  <si>
    <t>System SOH (%) 
系统SOH (%)</t>
  </si>
  <si>
    <t>Bank SOX状态,Bank SOX Status[2,2]</t>
  </si>
  <si>
    <t>ScEMCT_BBMS_SOH</t>
  </si>
  <si>
    <t>BBMS_MaxChrgE</t>
  </si>
  <si>
    <t>SOE for Charge (kWh) 
系统可充能量 (kWh)</t>
  </si>
  <si>
    <t>Bank SOX状态,Bank SOX Status[2,3]</t>
  </si>
  <si>
    <t>ScEMCT_BBMS_MaxChrgE</t>
  </si>
  <si>
    <t>BBMS_MaxDisChrgE</t>
  </si>
  <si>
    <t>SOE for Discharge (kWh) 
系统可放能量 (kWh)</t>
  </si>
  <si>
    <t>Bank SOX状态,Bank SOX Status[2,4]</t>
  </si>
  <si>
    <t>ScEMCT_BBMS_MaxDisChrgE</t>
  </si>
  <si>
    <t>BBMS_MaxContChrgPower</t>
  </si>
  <si>
    <t>Const Charge Power Limit (kW) 
持续充电功率限制 (kW)</t>
  </si>
  <si>
    <t>Bank SOX状态,Bank SOX Status[2,9]</t>
  </si>
  <si>
    <t>ScEMCT_BBMS_MaxContChrgPower</t>
  </si>
  <si>
    <t>BBMS_Max60sChrgPower</t>
  </si>
  <si>
    <t>Pulse Charge Power Limit (kW) 
脉冲充电功率限制 (kW)</t>
  </si>
  <si>
    <t>ScEMCT_BBMS_Max60sChrgPower</t>
  </si>
  <si>
    <t>BBMS_MaxContDisChrgPower</t>
  </si>
  <si>
    <t>Const Discharge Power Limit (kW) 
持续放电功率限制 (kW)</t>
  </si>
  <si>
    <t>Bank SOX状态,Bank SOX Status[2,10]</t>
  </si>
  <si>
    <t>ScEMCT_BBMS_MaxContDisChrgPower</t>
  </si>
  <si>
    <t>BBMS_Max60sDisChrgPower</t>
  </si>
  <si>
    <t>Pulse Discharge Power Limit (kW) 
脉冲放电功率限制 (kW)</t>
  </si>
  <si>
    <t>ScEMCT_BBMS_Max60sDisChrgPower</t>
  </si>
  <si>
    <t>BBMS_MaxContChrgCur</t>
  </si>
  <si>
    <t>Const Charge Curr Limit (A) 
持续充电电流限制 (A)</t>
  </si>
  <si>
    <t>Bank SOX状态,Bank SOX Status[2,7]</t>
  </si>
  <si>
    <t>ScEMCT_BBMS_MaxContChrgCur</t>
  </si>
  <si>
    <t>BBMS_Max60sChrgCur</t>
  </si>
  <si>
    <t>Pulse Charge Curr Limit (A) 
脉冲充电电流限制 (A)</t>
  </si>
  <si>
    <t>ScEMCT_BBMS_Max60sChrgCur</t>
  </si>
  <si>
    <t>BBMS_MaxContDisChrgCur</t>
  </si>
  <si>
    <t>Const Discharge Curr Limit (A) 
持续放电电流限制 (A)</t>
  </si>
  <si>
    <t>Bank SOX状态,Bank SOX Status[2,8]</t>
  </si>
  <si>
    <t>ScEMCT_BBMS_MaxContDisChrgCur</t>
  </si>
  <si>
    <t>BBMS_Max60sDisChrgCur</t>
  </si>
  <si>
    <t>Pulse Discharge Curr Limit (A) 
脉冲放电电流限制 (A)</t>
  </si>
  <si>
    <t>ScEMCT_BBMS_Max60sDisChrgCur</t>
  </si>
  <si>
    <t>BBMS_HumSensorRH</t>
  </si>
  <si>
    <t>Bank Humidity (RH) 
Bank湿度 (RH)</t>
  </si>
  <si>
    <t>RH</t>
  </si>
  <si>
    <t>ScEMCT_BBMS_HumSensorRH</t>
  </si>
  <si>
    <t>BBMS_TmpSensorRH</t>
  </si>
  <si>
    <t>Bank Temp (℃) 
Bank温度 (℃)</t>
  </si>
  <si>
    <t>ScEMCT_BBMS_TmpSensorRH</t>
  </si>
  <si>
    <t>BBMS_WtrSt</t>
  </si>
  <si>
    <t>Bank Water Sensor Status 
Bank水浸状态</t>
  </si>
  <si>
    <t>Bank状态,Bank Status[1,13]</t>
  </si>
  <si>
    <t>ScEMCT_BBMS_WtrSt</t>
  </si>
  <si>
    <t>BBMS_StrCtrlHb</t>
  </si>
  <si>
    <t>Bank BMS Heartbeat
Bank BMS心跳信号</t>
  </si>
  <si>
    <t>Bank状态,Bank Status[1,1]</t>
  </si>
  <si>
    <t>ScEMCT_BBMS_StrCtrlHb</t>
  </si>
  <si>
    <t>BBMS_DCBusV</t>
  </si>
  <si>
    <t>DC Bus Voltage (V)
母线电压 (V)</t>
  </si>
  <si>
    <t>Bank采样信息,Bank Sampling Information[3,7]</t>
  </si>
  <si>
    <t>ScEMCT_BBMS_DCBusV</t>
  </si>
  <si>
    <t>BBMS_TotalDCCur</t>
  </si>
  <si>
    <t>DC Bus Current (A)
母线电流 (A)</t>
  </si>
  <si>
    <t>Bank采样信息,Bank Sampling Information[3,2]</t>
  </si>
  <si>
    <t>xuc 0826: 最多36簇并联？电流最大多少？ 300*36=10800A？元器件可行性？</t>
  </si>
  <si>
    <t>ScEMCT_BBMS_TotalDCCur</t>
  </si>
  <si>
    <t>BBMS_TotalPower</t>
  </si>
  <si>
    <t>Total Power (kW)
总功率 (kW)</t>
  </si>
  <si>
    <t>Bank采样信息,Bank Sampling Information[3,1]</t>
  </si>
  <si>
    <t>xuc 0826: 功率需要计算 1rack 1MWh，35Rack 36Mwh</t>
  </si>
  <si>
    <t>ScEMCT_BBMS_TotalPower</t>
  </si>
  <si>
    <t>BBMS_MaxRackCur</t>
  </si>
  <si>
    <t>Max Rack Current (A)
最大Rack电流 (A)</t>
  </si>
  <si>
    <t>Bank采样信息,Bank Sampling Information[3,3]</t>
  </si>
  <si>
    <t>ScEMCT_BBMS_MaxRackCur</t>
  </si>
  <si>
    <t>BBMS_MaxCurRackNr</t>
  </si>
  <si>
    <t>Max Current Rack Position
最大电流Rack位置</t>
  </si>
  <si>
    <t>Bank采样信息,Bank Sampling Information[3,4]</t>
  </si>
  <si>
    <t>ScEMCT_BBMS_MaxCurRackNr</t>
  </si>
  <si>
    <t>BBMS_MinRackCur</t>
  </si>
  <si>
    <t>Min Rack Current (A)
最小Rack电流 (A)</t>
  </si>
  <si>
    <t>Bank采样信息,Bank Sampling Information[3,5]</t>
  </si>
  <si>
    <t>ScEMCT_BBMS_MinRackCur</t>
  </si>
  <si>
    <t>BBMS_MinCurRackNr</t>
  </si>
  <si>
    <t>Min Current Rack Position
最小电流Rack位置</t>
  </si>
  <si>
    <t>Bank采样信息,Bank Sampling Information[3,6]</t>
  </si>
  <si>
    <t>ScEMCT_BBMS_MinCurRackNr</t>
  </si>
  <si>
    <t>BBMS_MaxCellV</t>
  </si>
  <si>
    <t>Bank采样信息,Bank Sampling Information[3,8]</t>
  </si>
  <si>
    <t>ScEMCT_BBMS_MaxCellV</t>
  </si>
  <si>
    <t>BBMS_MaxVCellRackNr</t>
  </si>
  <si>
    <t>Max Cell Voltage Rack Position
最大电芯电压Rack位置</t>
  </si>
  <si>
    <t>Bank采样信息,Bank Sampling Information[3,9]</t>
  </si>
  <si>
    <t>ScEMCT_BBMS_MaxVCellRackNr</t>
  </si>
  <si>
    <t>BBMS_MaxVCellTrayNr</t>
  </si>
  <si>
    <t>Max Cell Voltage Module Position
最大电芯电压模组位置</t>
  </si>
  <si>
    <t>Bank采样信息,Bank Sampling Information[3,10]</t>
  </si>
  <si>
    <t>ScEMCT_BBMS_MaxVCellTrayNr</t>
  </si>
  <si>
    <t>BBMS_MaxVCellNr</t>
  </si>
  <si>
    <t>Max Cell Voltage Module Inner Position
最大电芯电压模组内位置</t>
  </si>
  <si>
    <t>Bank采样信息,Bank Sampling Information[3,11]</t>
  </si>
  <si>
    <t>ScEMCT_BBMS_MaxVCellNr</t>
  </si>
  <si>
    <t>BBMS_MinCellV</t>
  </si>
  <si>
    <t>Bank采样信息,Bank Sampling Information[3,12]</t>
  </si>
  <si>
    <t>ScEMCT_BBMS_MinCellV</t>
  </si>
  <si>
    <t>BBMS_MinVCellRackNr</t>
  </si>
  <si>
    <t>Min Cell Voltage Rack Position
最小电芯电压Rack位置</t>
  </si>
  <si>
    <t>Bank采样信息,Bank Sampling Information[3,13]</t>
  </si>
  <si>
    <t>ScEMCT_BBMS_MinVCellRackNr</t>
  </si>
  <si>
    <t>BBMS_MinVCellTrayNr</t>
  </si>
  <si>
    <t>Min Cell Voltage Module Position
最小电芯电压模组位置</t>
  </si>
  <si>
    <t>Bank采样信息,Bank Sampling Information[3,14]</t>
  </si>
  <si>
    <t>ScEMCT_BBMS_MinVCellTrayNr</t>
  </si>
  <si>
    <t>BBMS_MinVCellNr</t>
  </si>
  <si>
    <t>Min Cell Voltage Position
最小电芯电压模组内位置</t>
  </si>
  <si>
    <t>Bank采样信息,Bank Sampling Information[3,15]</t>
  </si>
  <si>
    <t>ScEMCT_BBMS_MinVCellNr</t>
  </si>
  <si>
    <t>BBMS_AvgCellV</t>
  </si>
  <si>
    <t>Bank采样信息,Bank Sampling Information[3,16]</t>
  </si>
  <si>
    <t>ScEMCT_BBMS_AvgCellV</t>
  </si>
  <si>
    <t>BBMS_MaxHvBoxTRackNr</t>
  </si>
  <si>
    <t>Max Hv Box Temp Rack Position
最高高压箱温度Rack位置</t>
  </si>
  <si>
    <t>Bank采样信息,Bank Sampling Information[3,35]</t>
  </si>
  <si>
    <t>ScBKPC_BankMaxHvBoxTRackIdx</t>
  </si>
  <si>
    <t>BBMS_MaxTCellRackNr</t>
  </si>
  <si>
    <t>Max Cell Temp Rack Position
最高电芯温度Rack位置</t>
  </si>
  <si>
    <t>Bank采样信息,Bank Sampling Information[3,18]</t>
  </si>
  <si>
    <t>ScBKPC_BankMaxMdulTRackIdxNbr</t>
  </si>
  <si>
    <t>BBMS_MaxTCellTrayNr</t>
  </si>
  <si>
    <t>Bank采样信息,Bank Sampling Information[3,19]</t>
  </si>
  <si>
    <t>ScBKPC_BankMaxMdulTMdulIdxNbr</t>
  </si>
  <si>
    <t>BBMS_MaxTCellNr</t>
  </si>
  <si>
    <t>Max Cell Temp Module Inner Position 
最高电芯温度模组内位置</t>
  </si>
  <si>
    <t>Bank采样信息,Bank Sampling Information[3,20]</t>
  </si>
  <si>
    <t>ScBKPC_BankMaxMdulTCellIdxNbr</t>
  </si>
  <si>
    <t>BBMS_MinHvBoxTRackNr</t>
  </si>
  <si>
    <t>Min Hv Box Temp Rack Position
最低高压箱温度Rack位置</t>
  </si>
  <si>
    <t>Bank采样信息,Bank Sampling Information[3,37]</t>
  </si>
  <si>
    <t>ScBKPC_BankMinHvBoxTRackIdx</t>
  </si>
  <si>
    <t>BBMS_MinTCellRackNr</t>
  </si>
  <si>
    <t>Min Cell Temp Rack Position
最低电芯温度Rack位置</t>
  </si>
  <si>
    <t>Bank采样信息,Bank Sampling Information[3,22]</t>
  </si>
  <si>
    <t>ScBKPC_BankMinMdulTRackIdxNbr</t>
  </si>
  <si>
    <t>BBMS_MinTCellTrayNr</t>
  </si>
  <si>
    <t>Bank采样信息,Bank Sampling Information[3,23]</t>
  </si>
  <si>
    <t>ScBKPC_BankMinMdulTMdulIdxNbr</t>
  </si>
  <si>
    <t>BBMS_MinTCellNr</t>
  </si>
  <si>
    <t>Min Cell Temp Module Inner Position 
最低电芯温度模组内位置</t>
  </si>
  <si>
    <t>Bank采样信息,Bank Sampling Information[3,24]</t>
  </si>
  <si>
    <t>ScBKPC_BankMinMdulTCellIdxNbr</t>
  </si>
  <si>
    <t>BBMS_ProhUpgradeFlg</t>
  </si>
  <si>
    <t>Prohibited Upgrade Flag
禁止升级标志位</t>
  </si>
  <si>
    <t>0x0: 允许升级
0x1: 禁止升级</t>
  </si>
  <si>
    <t>SbBKPC_ProhUpgradeFlg</t>
  </si>
  <si>
    <t>BBMS_BMSMaxFltLevel</t>
  </si>
  <si>
    <t>System Fault Level
系统故障等级</t>
  </si>
  <si>
    <t>Bank状态,Bank Status[1,4]</t>
  </si>
  <si>
    <t>ScEMCT_BBMS_BMSMaxFltLevel</t>
  </si>
  <si>
    <t>BBMS_IDLearnSt</t>
  </si>
  <si>
    <t>Bank ID Learn Status 
Bank ID编码状态</t>
  </si>
  <si>
    <t>Enum
0X0: Not Started;
0X1: Initializing;
0X2: Finished;
0X3: ID Fail;
0X4: Timeout Fail;
0X5: Address Response Fail;</t>
  </si>
  <si>
    <t>Bank状态,Bank Status[1,2]</t>
  </si>
  <si>
    <t>ScEMCT_BBMS_IDLearnStrtNbr</t>
  </si>
  <si>
    <t>BBMS_IDLearnFaiLocationNbr</t>
  </si>
  <si>
    <t>Bank ID Learn Fail Position
Bank ID编码失败位置</t>
  </si>
  <si>
    <t>Bank状态,Bank Status[1,3]</t>
  </si>
  <si>
    <t>ScEMCT_BBMS_IDLearnFaiLocationNbr</t>
  </si>
  <si>
    <t>BBMS_IsoRPos</t>
  </si>
  <si>
    <t>ScEMCT_BBMS_IsoRPos</t>
  </si>
  <si>
    <t>BBMS_IsoRNeg</t>
  </si>
  <si>
    <t>ScEMCT_BBMS_IsoRNeg</t>
  </si>
  <si>
    <t>BBMS_AccuChrgC</t>
  </si>
  <si>
    <t>Bank历史信息,Bank History Information[4,3]</t>
  </si>
  <si>
    <t>ScBSOX_HistAccuChCapAh</t>
  </si>
  <si>
    <t>BBMS_AccuChrgE</t>
  </si>
  <si>
    <t>Bank历史信息,Bank History Information[4,5]</t>
  </si>
  <si>
    <t>ScBSOX_HistAccuChEngkWh</t>
  </si>
  <si>
    <t>BBMS_AccuDisChrgC</t>
  </si>
  <si>
    <t>Bank历史信息,Bank History Information[4,4]</t>
  </si>
  <si>
    <t>ScBSOX_HistAccuDischCapAh</t>
  </si>
  <si>
    <t>BBMS_AccuDisChrgE</t>
  </si>
  <si>
    <t>Bank历史信息,Bank History Information[4,6]</t>
  </si>
  <si>
    <t>ScBSOX_HistAccuDischEngkWh</t>
  </si>
  <si>
    <t>BBMS_LstChEkWh</t>
  </si>
  <si>
    <t>Bank Last Charge Energy (kWh)
最近一次堆充电能量 (kWh)</t>
  </si>
  <si>
    <t>Bank历史信息,Bank History Information[4,1]</t>
  </si>
  <si>
    <t>ScBSOX_LstChEngKwh</t>
  </si>
  <si>
    <t>BBMS_LstDchEkWh</t>
  </si>
  <si>
    <t>Bank Last Discharge Energy (kWh)
最近一次堆放电能量 (kWh)</t>
  </si>
  <si>
    <t>Bank历史信息,Bank History Information[4,2]</t>
  </si>
  <si>
    <t>ScBSOX_LstDischEngKwh</t>
  </si>
  <si>
    <t>BBMS_RackEnaNbr</t>
  </si>
  <si>
    <t>Rack Enable Number
Rack使能数量</t>
  </si>
  <si>
    <t>Bank状态,Bank Status[1,10]</t>
  </si>
  <si>
    <t>ScBKPC_RackEnaNbr</t>
  </si>
  <si>
    <t>BBMS_RackOnlineNbr</t>
  </si>
  <si>
    <t>Rack Online Number
Rack在线数量</t>
  </si>
  <si>
    <t>Bank状态,Bank Status[1,11]</t>
  </si>
  <si>
    <t>ScBKPC_RackOnlineNbr</t>
  </si>
  <si>
    <t>BBMS_ConFail</t>
  </si>
  <si>
    <t>Enums
Bit0: Enabled Rack has Level 1 Fault
Bit1: Bank has Level 1 Fault
Bit2: Enabled Rack Insulation Unfinished
Bit3: Between-Rack Voltage Differential too High
Bit4: Bank is in Debug Mode
Bit5: Bank is in EMS Control Mode, and EMS has not sent Hv cmd
Bit6: Number of Enabled Rack is Less than Required Minimum for System Operation</t>
  </si>
  <si>
    <t>Bank状态,Bank Status[1,8]</t>
  </si>
  <si>
    <t>ScEMCT_BBMS_ConFail</t>
  </si>
  <si>
    <t>BBMS_MaxChrgCap</t>
  </si>
  <si>
    <t>Bank SOX状态,Bank SOX Status[2,5]</t>
  </si>
  <si>
    <t>ScBSOX_ResChCapAh</t>
  </si>
  <si>
    <t>BBMS_MaxDisChrgCap</t>
  </si>
  <si>
    <t>Bank SOX状态,Bank SOX Status[2,6]</t>
  </si>
  <si>
    <t>ScBSOX_ResDischCapAh</t>
  </si>
  <si>
    <t>BBMS_MaxHvBoxTDegC</t>
  </si>
  <si>
    <t>Max Hv Box Temp (℃)
最高高压箱温度 (℃)</t>
  </si>
  <si>
    <t>Bank采样信息,Bank Sampling Information[3,34]</t>
  </si>
  <si>
    <t>ScBKPC_BankMaxHvBoxTDegC</t>
  </si>
  <si>
    <t>BBMS_MinHvBoxTDegC</t>
  </si>
  <si>
    <t>Min Hv Box Temp (℃)
最低高压箱温度 (℃)</t>
  </si>
  <si>
    <t>Bank采样信息,Bank Sampling Information[3,36]</t>
  </si>
  <si>
    <t>ScBKPC_BankMinHvBoxTDegC</t>
  </si>
  <si>
    <t>BBMS_MaxCellT</t>
  </si>
  <si>
    <t>Max Cell Temp (℃) 
最高电芯温度 (℃)</t>
  </si>
  <si>
    <t>Bank采样信息,Bank Sampling Information[3,17]</t>
  </si>
  <si>
    <t>ScBKPC_BankMaxMdulTDegC</t>
  </si>
  <si>
    <t>BBMS_MinCellT</t>
  </si>
  <si>
    <t>Min Cell Temp (℃) 
最低电芯温度 (℃)</t>
  </si>
  <si>
    <t>Bank采样信息,Bank Sampling Information[3,21]</t>
  </si>
  <si>
    <t>ScBKPC_BankMinMdulTDegC</t>
  </si>
  <si>
    <t>BBMS_AvgCellT</t>
  </si>
  <si>
    <t>Average Cell Temp (℃) 
平均电芯温度 (℃)</t>
  </si>
  <si>
    <t>Bank采样信息,Bank Sampling Information[3,25]</t>
  </si>
  <si>
    <t>ScBKPC_BankAvgMdulTDegC</t>
  </si>
  <si>
    <t>BBMS_MaxPoleT</t>
  </si>
  <si>
    <t>Bank采样信息,Bank Sampling Information[3,26]</t>
  </si>
  <si>
    <t>ScBKPC_BankMaxPoleTDegC</t>
  </si>
  <si>
    <t>BBMS_MinPoleT</t>
  </si>
  <si>
    <t>Bank采样信息,Bank Sampling Information[3,30]</t>
  </si>
  <si>
    <t>ScBKPC_BankMinPoleTDegC</t>
  </si>
  <si>
    <t>BBMS_MaxPoleTRackNr</t>
  </si>
  <si>
    <t>Max Pole Temp Rack Position
最高极柱温度Rack位置</t>
  </si>
  <si>
    <t>Bank采样信息,Bank Sampling Information[3,27]</t>
  </si>
  <si>
    <t>ScBKPC_BankMaxPoleTRackIdx</t>
  </si>
  <si>
    <t>BBMS_MaxPoleTMdulNr</t>
  </si>
  <si>
    <t>Bank采样信息,Bank Sampling Information[3,28]</t>
  </si>
  <si>
    <t>ScBKPC_BankMaxPoleTMdulIdx</t>
  </si>
  <si>
    <t>BBMS_MaxPoleTMdulInnerNr</t>
  </si>
  <si>
    <t>Max Pole Temp Module Inner Position 
最高极柱温度模组内位置</t>
  </si>
  <si>
    <t>Bank采样信息,Bank Sampling Information[3,29]</t>
  </si>
  <si>
    <t>ScBKPC_BankMaxPoleTMdulInnerIdx</t>
  </si>
  <si>
    <t>BBMS_MinPoleTRackNr</t>
  </si>
  <si>
    <t>Min Pole Temp Rack Position
最低极柱温度Rack位置</t>
  </si>
  <si>
    <t>Bank采样信息,Bank Sampling Information[3,31]</t>
  </si>
  <si>
    <t>ScBKPC_BankMinPoleTRackIdx</t>
  </si>
  <si>
    <t>BBMS_MinPoleTMdulNr</t>
  </si>
  <si>
    <t>Bank采样信息,Bank Sampling Information[3,32]</t>
  </si>
  <si>
    <t>ScBKPC_BankMinPoleTMdulIdx</t>
  </si>
  <si>
    <t>BBMS_MinPoleTMdulInnerNr</t>
  </si>
  <si>
    <t>Min Pole Temp Module Inner Position 
最低极柱温度模组内位置</t>
  </si>
  <si>
    <t>Bank采样信息,Bank Sampling Information[3,33]</t>
  </si>
  <si>
    <t>ScBKPC_BankMinPoleTMdulInnerIdx</t>
  </si>
  <si>
    <t>BBMS_Fault[200]</t>
  </si>
  <si>
    <t>BBMS Fault Array
BBMS故障数组</t>
  </si>
  <si>
    <t>参考BBMS故障列表</t>
  </si>
  <si>
    <t>BBMS_SetCon</t>
  </si>
  <si>
    <t>Connect/Disconnect String
连接/断开电池串</t>
  </si>
  <si>
    <t>0x0:NO REQ
0x1:NORMAL CONNECT
0x2:MANUAL CONNECT
0x3:DISCONNECT</t>
  </si>
  <si>
    <t>SaEMCT_BBMS_SetCon</t>
  </si>
  <si>
    <t>BBMS_SetEnaIso</t>
  </si>
  <si>
    <t>Enable/Disable Insulation Measurement 
使能/禁止绝缘检测</t>
  </si>
  <si>
    <t>0x0:空闲
0x1:使能
0x2:禁止
0x3:无效</t>
  </si>
  <si>
    <t>ScEMCT_BBMS_SetEnaIso</t>
  </si>
  <si>
    <t>BBMS_SetEna</t>
  </si>
  <si>
    <t>Enable/Disable String
使能/禁止电池串</t>
  </si>
  <si>
    <t>SaEMCT_BBMS_SetEna</t>
  </si>
  <si>
    <t>BBMS_Heartbeat</t>
  </si>
  <si>
    <t>Bank heartbeat
Bank 心跳</t>
  </si>
  <si>
    <t>0-255</t>
  </si>
  <si>
    <t>ScEMCT_BBMS_Heartbeat</t>
  </si>
  <si>
    <t>BBMS_RackEnableFlg</t>
  </si>
  <si>
    <t>Enable/Disable String After Rack Exit
退簇后使能/禁止电池串</t>
  </si>
  <si>
    <t>0x0:禁止
0x1:使能</t>
  </si>
  <si>
    <t>SaBCFR_RackEnableFlg</t>
  </si>
  <si>
    <t>BSWSBBMSRackEnableFlg</t>
  </si>
  <si>
    <t>BBMS_AllowRackExitFlg</t>
  </si>
  <si>
    <t>Allow Rack Exit System Flag
允许退簇系统标志位</t>
  </si>
  <si>
    <t>0x0:非退簇系统
0x1:退簇系统</t>
  </si>
  <si>
    <t>SbBCFR_AllowRackPowerDownAloneFlg</t>
  </si>
  <si>
    <t>BSWSBBMSAllowRackPowerDownAloneFlg</t>
  </si>
  <si>
    <t>BBMS_LocRemCtl</t>
  </si>
  <si>
    <t>Control Mode
控制模式</t>
  </si>
  <si>
    <t>0x0:空闲
0x1:调试
0x2:BMS控制
0x3:EMS控制
0x4:无效</t>
  </si>
  <si>
    <t>SaEMCT_BBMS_LocRemCtl</t>
  </si>
  <si>
    <t>BBMS_SystemAchitectureNbr</t>
  </si>
  <si>
    <t>System Architecture Type
系统架构类型</t>
  </si>
  <si>
    <t>0x0: 集中式架构
0x1: 组串式架构</t>
  </si>
  <si>
    <t>SYSTEM_INTEGRATION_CONFIGURATION</t>
  </si>
  <si>
    <t>BSWBBMSSystemAchitectureNbr</t>
  </si>
  <si>
    <t>BBMS_BankFltLvl</t>
  </si>
  <si>
    <t>Bank Fault Level
Bank故障等级</t>
  </si>
  <si>
    <t>0X0: Default
0X1: Level 1 Fault;
0X2: Level 2 Fault;
0X3: Level 3 Fault;
0X7: No Fault;</t>
  </si>
  <si>
    <t>ScBKPC_BBMSFltLvlNbr</t>
  </si>
  <si>
    <t>BSWSBBMSFltLvlNbr</t>
  </si>
  <si>
    <t>BBMS_FltSOPDischCoeffPct</t>
  </si>
  <si>
    <t>0-100</t>
  </si>
  <si>
    <t>ScBSOX_BankFltSOPChCoeffPct</t>
  </si>
  <si>
    <t>BSWSBBMSFltSOPDischCoeffPct</t>
  </si>
  <si>
    <t>BBMS_FltSOPChCoeffPct</t>
  </si>
  <si>
    <t>ScBSOX_BankFltSOPDischCoeffPct</t>
  </si>
  <si>
    <t>BSWSBBMSFltSOPChCoeffPct</t>
  </si>
  <si>
    <t>HMI_AlmRst</t>
  </si>
  <si>
    <t>Alarm Reset
清除所有故障信息</t>
  </si>
  <si>
    <t>0x0:空闲
0x1:清除
0x2:置位
0x3:无效</t>
  </si>
  <si>
    <t>EGLGR_AlmRst</t>
  </si>
  <si>
    <t>HMI_SetEnaIso</t>
  </si>
  <si>
    <t>EGLGR_SetEnaIso</t>
  </si>
  <si>
    <t>HMI_SetEna</t>
  </si>
  <si>
    <t>Enable/Disable String (RBMS)
使能/禁止电池串</t>
  </si>
  <si>
    <t>EGLGR_SetEna</t>
  </si>
  <si>
    <t>HMI_EPORst</t>
  </si>
  <si>
    <t>EPO Reset
清除所有EPO</t>
  </si>
  <si>
    <t>EGLGR_EPORst</t>
  </si>
  <si>
    <t>HMI_EnaIsoManualCtrl</t>
  </si>
  <si>
    <t>Enable/Disable Insulation Measurement Manual Control (RBMS)
手动控制使能/禁止绝缘检测</t>
  </si>
  <si>
    <t>EGLGR_EnaIsoManualCtrl</t>
  </si>
  <si>
    <t>HMI_SetCon</t>
  </si>
  <si>
    <t>Connect/Disconnect String (RBMS)
连接/断开电池串</t>
  </si>
  <si>
    <t>EGLGR_SetCon</t>
  </si>
  <si>
    <t>HMI_IDLearnManualCtrl</t>
  </si>
  <si>
    <t>Manually Control Bank Executing ID Learn
手动控制Bank执行ID编码</t>
  </si>
  <si>
    <t>0x1:启动ID编码
Other: 不编码</t>
  </si>
  <si>
    <t>该信号仅BBMS有效，每次启动仅发送2帧后自动退出(模块通过上升沿识别)</t>
  </si>
  <si>
    <t>EGLGR_IDLearnManualCtrl</t>
  </si>
  <si>
    <t>HMI_AutoHvUpConf</t>
  </si>
  <si>
    <t>Auto Hv up configuration
自动上高压设置</t>
  </si>
  <si>
    <t>0xAA:启动自动上高压设置
Other: 非自动上高压</t>
  </si>
  <si>
    <t>EGLGR_AutoHvUpConf</t>
  </si>
  <si>
    <t>HMI_IDLearnDoCtrl</t>
  </si>
  <si>
    <t>ID Learn DO Control
自动编码DO输出控制</t>
  </si>
  <si>
    <t>ID Learn DO控制信号，0x55 DO拉高；0xAA DO拉低</t>
  </si>
  <si>
    <t>HMI_PmtRkFltNum</t>
  </si>
  <si>
    <t>MapValid: &gt; 0</t>
  </si>
  <si>
    <t>该信号仅BBMS有效</t>
  </si>
  <si>
    <t>BESS_ALLOWED_RACK_FOR_PARTIAL_OPERATION_MIN</t>
  </si>
  <si>
    <t>HMI_PCSComDiagConf</t>
  </si>
  <si>
    <t>PCS Communication Diagnosis Configuration
PCS 通讯诊断设置</t>
  </si>
  <si>
    <t>EGLGR_PCSComDiagConf</t>
  </si>
  <si>
    <t>HMI_LocRemCtl</t>
  </si>
  <si>
    <t>0x0:空闲
0x1:调试
0x2:BMS控制
0x3:EMS控制（仅对BBMS有效）
0x4:无效</t>
  </si>
  <si>
    <t>EGLGR_LocRemCtl</t>
  </si>
  <si>
    <t>HMI TMS控制指令</t>
  </si>
  <si>
    <t>HMI_TMSManCtrlMode</t>
  </si>
  <si>
    <t>Force Control TMS Operating Mode
强控TMS工作模式</t>
  </si>
  <si>
    <t>0x0：关机模式
0x1：制冷模式
0x2：制热模式
0x3：自循环模式</t>
  </si>
  <si>
    <t>BSWSTMSManCtrlMode</t>
  </si>
  <si>
    <t>HMI_TMSManCtrlTempDegC</t>
  </si>
  <si>
    <t>Force Control TMS Operating Temperature
强控TMS工作温度</t>
  </si>
  <si>
    <t>BSWSTMSManCtrlTempDegC</t>
  </si>
  <si>
    <t>HMI_TMSManCtrlEnaFlg</t>
  </si>
  <si>
    <t>Force Control TMS Enable Signal
强控TMS使能信号</t>
  </si>
  <si>
    <t>BSWSTMSManCtrlEnaFlg</t>
  </si>
  <si>
    <t>TMSNo</t>
  </si>
  <si>
    <t>TMS Number
TMS编号</t>
  </si>
  <si>
    <t>此参数用于1个堆包含多个TMS时，取值范围为[0,TMS_NUM-1]</t>
  </si>
  <si>
    <t>HMI_LightManCtlNbr</t>
  </si>
  <si>
    <t>Light control
强控灯</t>
  </si>
  <si>
    <t>bit0: 强控绿灯
bit1: 强控红灯
bit2: 强控黄灯</t>
  </si>
  <si>
    <t>EGLGR_LightManCtlNbr</t>
  </si>
  <si>
    <t>BSWSLightManCtlNbr</t>
  </si>
  <si>
    <t>HMI_RSOXHistInfoIndicator</t>
  </si>
  <si>
    <t>Rack History Info Calibration Indicator
Rack历史累计信息指示</t>
  </si>
  <si>
    <t>0-默认，
1-标定累计充电容量，
2-标定累计充电能量，
3-标定累计放电容量，
4-标定累计放电能量
5-标定历史运行时间，
6-标定历史休眠时间</t>
  </si>
  <si>
    <t>BSWSRSOXHistInfoIndicator</t>
  </si>
  <si>
    <t>HMI_RSOXHistAccuCaliVal</t>
  </si>
  <si>
    <t>Rack History Info Calibration Value
Rack历史累计信息标定值</t>
  </si>
  <si>
    <t>BSWSRSOXHistAccuCaliVal</t>
  </si>
  <si>
    <t>HMI_AllSOCCalIndicator</t>
  </si>
  <si>
    <t>SOC Calibration Indicator
SOC标定指示</t>
  </si>
  <si>
    <t>0x55:开启标定
其他：关闭</t>
  </si>
  <si>
    <t>BSWSAllSOCCalIndicator</t>
  </si>
  <si>
    <t>HMI_AllSOCCalValPct</t>
  </si>
  <si>
    <t>SOC Calibration Value (%)
SOC标定值 (%)</t>
  </si>
  <si>
    <t>BSWSAllSOCCalValPct</t>
  </si>
  <si>
    <t>HMI_AllSOHCalIndicator</t>
  </si>
  <si>
    <t>SOH Calibration Indicator
SOH标定指示</t>
  </si>
  <si>
    <t>BSWSAllSOHCalIndicator</t>
  </si>
  <si>
    <t>HMI_AllSOHCalValPct</t>
  </si>
  <si>
    <t>SOH Calibration Value (%)
SOH标定值 (%)</t>
  </si>
  <si>
    <t>BSWSAllSOHCalValPct</t>
  </si>
  <si>
    <t>HMI_ClrAllSoxNvMNbr</t>
  </si>
  <si>
    <t>Clear SoX NvM Information
清除SoX NvM信息</t>
  </si>
  <si>
    <t>设置为0x55时清除，保持3s后恢复为默认值0x00</t>
  </si>
  <si>
    <t>BSWSClearAllSoxNVM</t>
  </si>
  <si>
    <t>HMI_ForceBalCellIdx</t>
  </si>
  <si>
    <t>Forced Balance Cell ID
强制均衡电芯ID</t>
  </si>
  <si>
    <t>BSWSForceBalCellIdx</t>
  </si>
  <si>
    <t>HMI_ForceBalTiMin</t>
  </si>
  <si>
    <t>Forced Balance Time (min)
强制均衡时间 (min)</t>
  </si>
  <si>
    <t>BSWSForceBalTiMin</t>
  </si>
  <si>
    <t>HMI_ForceBalCtrlNbr</t>
  </si>
  <si>
    <t>Single Cell Balance Force Control Command
单电芯均衡强控开启命令</t>
  </si>
  <si>
    <t>0x55:开启，其他：关闭</t>
  </si>
  <si>
    <t>BSWSForceBalCtrlNbr</t>
  </si>
  <si>
    <t>HMI_CellBalForceCtlCmd</t>
  </si>
  <si>
    <t>Cell Balance Force Control Cmd
电芯均衡强控命令</t>
  </si>
  <si>
    <t>0x0:不走标定
0x1:全开
0x2:奇偶开
0x3:均衡强制关</t>
  </si>
  <si>
    <t>HMI_RlyManCtlEnaFlg</t>
  </si>
  <si>
    <t>Relay Force Control Enable
继电器强控使能</t>
  </si>
  <si>
    <t>0：继电器强控未使能，1：继电器强控使能</t>
  </si>
  <si>
    <t>BSWSRlyManCtlEnaFlg</t>
  </si>
  <si>
    <t>HMI_RlyManCtlIndictrNbr</t>
  </si>
  <si>
    <t>Relay Force Control Target 
继电器强控对象</t>
  </si>
  <si>
    <t>每个bit对应一个继电器：
bit0：预充继电器
bit1：主负继电器
bit2：主正继电器
bit3：加热继电器</t>
  </si>
  <si>
    <t>BSWSRlyManCtlIndictrNbr</t>
  </si>
  <si>
    <t>HMI_RlyManCtlNbr</t>
  </si>
  <si>
    <t>Relay Force Control Cmd
继电器强控命令</t>
  </si>
  <si>
    <t>每个bit对应一个继电器：
bit0：预充继电器，0：断开，1：闭合
bit1：主负继电器，0：断开，1：闭合
bit2：主正继电器，0：断开，1：闭合
bit3：加热继电器，0：断开，1：闭合</t>
  </si>
  <si>
    <t>BSWSRlyManCtlNbr</t>
  </si>
  <si>
    <t>热管理信息（RBMS/BBMS）</t>
  </si>
  <si>
    <t>BBMS_WtrTmpCmd</t>
  </si>
  <si>
    <t>Setting Temp (℃)
设定温度(℃)</t>
  </si>
  <si>
    <t>TMS状态,TMS Status[1,1]</t>
  </si>
  <si>
    <t>ScTMCT_TMSTgtWtrTDegC</t>
  </si>
  <si>
    <t>BBMS_cellTmpMax</t>
  </si>
  <si>
    <t>Max Cell Temp (℃)
电芯最高温度(℃)</t>
  </si>
  <si>
    <t>TMS状态,TMS Status[1,2]</t>
  </si>
  <si>
    <t>ScTMCT_BankMaxMdulTDegC</t>
  </si>
  <si>
    <t>BBMS_cellTmpMin</t>
  </si>
  <si>
    <t>Min Cell Temp (℃)
电芯最低温度(℃)</t>
  </si>
  <si>
    <t>TMS状态,TMS Status[1,3]</t>
  </si>
  <si>
    <t>ScTMCT_BankMinMdulTDegC</t>
  </si>
  <si>
    <t>BBMS_cellTmpAvg</t>
  </si>
  <si>
    <t>Average Cell Temp (℃)
电芯平均温度(℃)</t>
  </si>
  <si>
    <t>TMS状态,TMS Status[1,4]</t>
  </si>
  <si>
    <t>ScTMCT_BankAvgMdulTDegC</t>
  </si>
  <si>
    <t>TMS_OutWtrTmp</t>
  </si>
  <si>
    <t>Outlet Water Temp (℃)
出水温度(℃)</t>
  </si>
  <si>
    <t>TMS状态,TMS Status[1,5]</t>
  </si>
  <si>
    <t>ScTMCR_TMSOutWtrTDegC</t>
  </si>
  <si>
    <t>TMS_BackWtrTmp</t>
  </si>
  <si>
    <t>Inlet Water Temp (℃)
进水温度(℃)</t>
  </si>
  <si>
    <t>TMS状态,TMS Status[1,6]</t>
  </si>
  <si>
    <t>ScTMCR_TMSBackWtrTDegC</t>
  </si>
  <si>
    <t>TMS_EnvTmp</t>
  </si>
  <si>
    <t>Environment Temp (℃)
环境温度(℃)</t>
  </si>
  <si>
    <t>TMS状态,TMS Status[1,7]</t>
  </si>
  <si>
    <t>ScTMCR_TMSEnvTDegC</t>
  </si>
  <si>
    <t>TMS_InWtrP</t>
  </si>
  <si>
    <t>Inlet Water Pressure (Bar)
进水水压(Bar)</t>
  </si>
  <si>
    <t>Bar</t>
  </si>
  <si>
    <t>TMS状态,TMS Status[1,8]</t>
  </si>
  <si>
    <t>ScTMCR_TMSInWtrPres</t>
  </si>
  <si>
    <t>TMS_OutWtrP</t>
  </si>
  <si>
    <t>Outlet Water Pressure  (Bar)
出水水压(Bar)</t>
  </si>
  <si>
    <t>TMS状态,TMS Status[1,9]</t>
  </si>
  <si>
    <t>ScTMCR_TMSOutWtrPres</t>
  </si>
  <si>
    <t>TMS_BBMSFltLevel</t>
  </si>
  <si>
    <t>TMS Fault Level
TMS 故障等级</t>
  </si>
  <si>
    <t>Enum
0x0: Normal;
0x1: Level 1 Fault;
0x2: Level 2 Fault;
0x3: Level 3 Fault;</t>
  </si>
  <si>
    <t>TMS状态,TMS Status[1,10]</t>
  </si>
  <si>
    <t>ScTMCR_TMSFltLevelState</t>
  </si>
  <si>
    <t>TMS_BBMSFltCode</t>
  </si>
  <si>
    <t>TMS Fault Code
TMS 故障码</t>
  </si>
  <si>
    <t>TMS状态,TMS Status[1,11]</t>
  </si>
  <si>
    <t>ScTMCR_TMSFltCodeNbr</t>
  </si>
  <si>
    <t>BMS_TMSReqMode</t>
  </si>
  <si>
    <r>
      <rPr>
        <sz val="10"/>
        <color theme="1"/>
        <rFont val="Arial"/>
        <charset val="134"/>
      </rPr>
      <t>BMS Request Mode
BMS</t>
    </r>
    <r>
      <rPr>
        <sz val="10"/>
        <color theme="1"/>
        <rFont val="宋体"/>
        <charset val="134"/>
      </rPr>
      <t>请求模式</t>
    </r>
  </si>
  <si>
    <t>Enum
0X0: Shutdown;
0X1: Cooling;
0X2: Heating;
0X3: Self Circulating;</t>
  </si>
  <si>
    <t>TMS状态,TMS Status[1,12]</t>
  </si>
  <si>
    <t>ScTMCT_TMSReqMode</t>
  </si>
  <si>
    <t>TMS_BMSMode</t>
  </si>
  <si>
    <r>
      <rPr>
        <sz val="9.75"/>
        <color rgb="FF000000"/>
        <rFont val="等线"/>
        <charset val="134"/>
        <scheme val="minor"/>
      </rPr>
      <t>TMS Working Mode
TMS</t>
    </r>
    <r>
      <rPr>
        <sz val="10"/>
        <color rgb="FF000000"/>
        <rFont val="宋体"/>
        <charset val="134"/>
      </rPr>
      <t>工作模式</t>
    </r>
  </si>
  <si>
    <t>TMS状态,TMS Status[1,13]</t>
  </si>
  <si>
    <t>ScTMCR_TMSWorkMode</t>
  </si>
  <si>
    <t>TMSCoolState</t>
  </si>
  <si>
    <t>TMS Cool Status
TMS制冷状态</t>
  </si>
  <si>
    <t>Enum
0x0: Standby Cooling;
0x1: Charge Cooling;
0x2: Discharge Cooling;</t>
  </si>
  <si>
    <t>ScTHMC_TMSCoolState</t>
  </si>
  <si>
    <t>电压阈值参数</t>
  </si>
  <si>
    <t>CcCLVH_MaxCellVOvLvl1FltVmV</t>
  </si>
  <si>
    <t>MaxCellVOvLvl1FltVmV
单体过压一级报警阈值</t>
  </si>
  <si>
    <t>FULL_CHARGE_CELLV</t>
  </si>
  <si>
    <t>MaxCellVOvLvl2FltVmV
单体过压二级报警阈值</t>
  </si>
  <si>
    <t>此阈值即为单体满充电压阈值</t>
  </si>
  <si>
    <r>
      <rPr>
        <sz val="9.75"/>
        <color rgb="FF000000"/>
        <rFont val="等线"/>
        <charset val="134"/>
        <scheme val="minor"/>
      </rPr>
      <t>CcCLVH</t>
    </r>
    <r>
      <rPr>
        <sz val="9.75"/>
        <color rgb="FF000000"/>
        <rFont val="等线"/>
        <charset val="134"/>
        <scheme val="minor"/>
      </rPr>
      <t>_</t>
    </r>
    <r>
      <rPr>
        <sz val="9.75"/>
        <color rgb="FF000000"/>
        <rFont val="等线"/>
        <charset val="134"/>
        <scheme val="minor"/>
      </rPr>
      <t>MaxCellVOvLvl2FltRcvryVmV</t>
    </r>
  </si>
  <si>
    <t>MaxCellVOvLvl2FltRcvryVmV
单体过压二级恢复阈值</t>
  </si>
  <si>
    <r>
      <rPr>
        <sz val="9.75"/>
        <color rgb="FF000000"/>
        <rFont val="等线"/>
        <charset val="134"/>
        <scheme val="minor"/>
      </rPr>
      <t>CcCLVH</t>
    </r>
    <r>
      <rPr>
        <sz val="9.75"/>
        <color rgb="FF000000"/>
        <rFont val="等线"/>
        <charset val="134"/>
        <scheme val="minor"/>
      </rPr>
      <t>_</t>
    </r>
    <r>
      <rPr>
        <sz val="9.75"/>
        <color rgb="FF000000"/>
        <rFont val="等线"/>
        <charset val="134"/>
        <scheme val="minor"/>
      </rPr>
      <t>MaxCellVOvLvl3FltVmV</t>
    </r>
  </si>
  <si>
    <t>MaxCellVOvLvl3FltVmV
单体过压三级报警阈值</t>
  </si>
  <si>
    <r>
      <rPr>
        <sz val="9.75"/>
        <color rgb="FF000000"/>
        <rFont val="等线"/>
        <charset val="134"/>
        <scheme val="minor"/>
      </rPr>
      <t>CcCLVH</t>
    </r>
    <r>
      <rPr>
        <sz val="9.75"/>
        <color rgb="FF000000"/>
        <rFont val="等线"/>
        <charset val="134"/>
        <scheme val="minor"/>
      </rPr>
      <t>_</t>
    </r>
    <r>
      <rPr>
        <sz val="9.75"/>
        <color rgb="FF000000"/>
        <rFont val="等线"/>
        <charset val="134"/>
        <scheme val="minor"/>
      </rPr>
      <t>MaxCellVOvLvl3FltRcvryVmV</t>
    </r>
  </si>
  <si>
    <t>MaxCellVOvLvl3FltRcvryVmV
单体过压三级恢复阈值</t>
  </si>
  <si>
    <r>
      <rPr>
        <sz val="9.75"/>
        <color rgb="FF000000"/>
        <rFont val="等线"/>
        <charset val="134"/>
        <scheme val="minor"/>
      </rPr>
      <t>CcCLVH</t>
    </r>
    <r>
      <rPr>
        <sz val="9.75"/>
        <color rgb="FF000000"/>
        <rFont val="等线"/>
        <charset val="134"/>
        <scheme val="minor"/>
      </rPr>
      <t>_</t>
    </r>
    <r>
      <rPr>
        <sz val="9.75"/>
        <color rgb="FF000000"/>
        <rFont val="等线"/>
        <charset val="134"/>
        <scheme val="minor"/>
      </rPr>
      <t>MaxCellVOvLvl4FltVmV</t>
    </r>
  </si>
  <si>
    <t>MaxCellVOvLvl4FltVmV
单体过压极限报警阈值</t>
  </si>
  <si>
    <r>
      <rPr>
        <sz val="9.75"/>
        <color rgb="FF000000"/>
        <rFont val="等线"/>
        <charset val="134"/>
        <scheme val="minor"/>
      </rPr>
      <t>CcCLVH</t>
    </r>
    <r>
      <rPr>
        <sz val="9.75"/>
        <color rgb="FF000000"/>
        <rFont val="等线"/>
        <charset val="134"/>
        <scheme val="minor"/>
      </rPr>
      <t>_</t>
    </r>
    <r>
      <rPr>
        <sz val="9.75"/>
        <color rgb="FF000000"/>
        <rFont val="等线"/>
        <charset val="134"/>
        <scheme val="minor"/>
      </rPr>
      <t>MinCellVUvLvl1FltVmV</t>
    </r>
  </si>
  <si>
    <t>MinCellVUvLvl1FltVmV
单体欠压一级报警阈值</t>
  </si>
  <si>
    <t>FULL_DISCHARGE_CELLV</t>
  </si>
  <si>
    <t>MinCellVUvLvl2FltVmV
单体欠压二级报警阈值</t>
  </si>
  <si>
    <t>此阈值即为单体满放电压阈值</t>
  </si>
  <si>
    <r>
      <rPr>
        <sz val="9.75"/>
        <color rgb="FF000000"/>
        <rFont val="等线"/>
        <charset val="134"/>
        <scheme val="minor"/>
      </rPr>
      <t>CcCLVH</t>
    </r>
    <r>
      <rPr>
        <sz val="9.75"/>
        <color rgb="FF000000"/>
        <rFont val="等线"/>
        <charset val="134"/>
        <scheme val="minor"/>
      </rPr>
      <t>_</t>
    </r>
    <r>
      <rPr>
        <sz val="9.75"/>
        <color rgb="FF000000"/>
        <rFont val="等线"/>
        <charset val="134"/>
        <scheme val="minor"/>
      </rPr>
      <t>MinCellVUvLvl2FltRcvryVmV</t>
    </r>
  </si>
  <si>
    <t>MinCellVUvLvl2FltRcvryVmV
单体欠压二级恢复阈值</t>
  </si>
  <si>
    <r>
      <rPr>
        <sz val="9.75"/>
        <color rgb="FF000000"/>
        <rFont val="等线"/>
        <charset val="134"/>
        <scheme val="minor"/>
      </rPr>
      <t>CcCLVH</t>
    </r>
    <r>
      <rPr>
        <sz val="9.75"/>
        <color rgb="FF000000"/>
        <rFont val="等线"/>
        <charset val="134"/>
        <scheme val="minor"/>
      </rPr>
      <t>_</t>
    </r>
    <r>
      <rPr>
        <sz val="9.75"/>
        <color rgb="FF000000"/>
        <rFont val="等线"/>
        <charset val="134"/>
        <scheme val="minor"/>
      </rPr>
      <t>MinCellVUvLvl3FltVmV</t>
    </r>
  </si>
  <si>
    <t>MinCellVUvLvl3FltVmV
单体欠压三级报警阈值</t>
  </si>
  <si>
    <r>
      <rPr>
        <sz val="9.75"/>
        <color rgb="FF000000"/>
        <rFont val="等线"/>
        <charset val="134"/>
        <scheme val="minor"/>
      </rPr>
      <t>CcCLVH</t>
    </r>
    <r>
      <rPr>
        <sz val="9.75"/>
        <color rgb="FF000000"/>
        <rFont val="等线"/>
        <charset val="134"/>
        <scheme val="minor"/>
      </rPr>
      <t>_</t>
    </r>
    <r>
      <rPr>
        <sz val="9.75"/>
        <color rgb="FF000000"/>
        <rFont val="等线"/>
        <charset val="134"/>
        <scheme val="minor"/>
      </rPr>
      <t>MinCellVUvLvl3FltRcvryVmV</t>
    </r>
  </si>
  <si>
    <t>MinCellVUvLvl3FltRcvryVmV
单体欠压三级恢复阈值</t>
  </si>
  <si>
    <t>CcCLVH_MinCellVUvLvl4FltV1mV</t>
  </si>
  <si>
    <t>MinCellVUvLTLvl4FltVmV
低温单体欠压极限报警阈值</t>
  </si>
  <si>
    <t>CcCLVH_MinCellVUvLvl4FltV2mV</t>
  </si>
  <si>
    <t>MinCellVUvHTLvl4FltVmV
常温单体欠压极限报警阈值</t>
  </si>
  <si>
    <r>
      <rPr>
        <sz val="9.75"/>
        <color rgb="FF000000"/>
        <rFont val="等线"/>
        <charset val="134"/>
        <scheme val="minor"/>
      </rPr>
      <t>CcCLVH</t>
    </r>
    <r>
      <rPr>
        <sz val="9.75"/>
        <color rgb="FF000000"/>
        <rFont val="等线"/>
        <charset val="134"/>
        <scheme val="minor"/>
      </rPr>
      <t>_</t>
    </r>
    <r>
      <rPr>
        <sz val="9.75"/>
        <color rgb="FF000000"/>
        <rFont val="等线"/>
        <charset val="134"/>
        <scheme val="minor"/>
      </rPr>
      <t>DeltaCellVOLLvl1FltVmV</t>
    </r>
  </si>
  <si>
    <t>DeltaCellVOLLvl1FltVmV
单体压差过大一级报警阈值</t>
  </si>
  <si>
    <r>
      <rPr>
        <sz val="9.75"/>
        <color rgb="FF000000"/>
        <rFont val="等线"/>
        <charset val="134"/>
        <scheme val="minor"/>
      </rPr>
      <t>CcCLVH</t>
    </r>
    <r>
      <rPr>
        <sz val="9.75"/>
        <color rgb="FF000000"/>
        <rFont val="等线"/>
        <charset val="134"/>
        <scheme val="minor"/>
      </rPr>
      <t>_</t>
    </r>
    <r>
      <rPr>
        <sz val="9.75"/>
        <color rgb="FF000000"/>
        <rFont val="等线"/>
        <charset val="134"/>
        <scheme val="minor"/>
      </rPr>
      <t>DeltaCellVOLLvl2FltVmV</t>
    </r>
  </si>
  <si>
    <t>DeltaCellVOLLvl2FltVmV
单体压差过大二级报警阈值</t>
  </si>
  <si>
    <r>
      <rPr>
        <sz val="9.75"/>
        <color rgb="FF000000"/>
        <rFont val="等线"/>
        <charset val="134"/>
        <scheme val="minor"/>
      </rPr>
      <t>CcCLVH</t>
    </r>
    <r>
      <rPr>
        <sz val="9.75"/>
        <color rgb="FF000000"/>
        <rFont val="等线"/>
        <charset val="134"/>
        <scheme val="minor"/>
      </rPr>
      <t>_</t>
    </r>
    <r>
      <rPr>
        <sz val="9.75"/>
        <color rgb="FF000000"/>
        <rFont val="等线"/>
        <charset val="134"/>
        <scheme val="minor"/>
      </rPr>
      <t>DeltaCellVOLLvl2FltRcvryVmV</t>
    </r>
  </si>
  <si>
    <t>DeltaCellVOLLvl2FltRcvryVmV
单体压差过大二级恢复阈值</t>
  </si>
  <si>
    <r>
      <rPr>
        <sz val="9.75"/>
        <color rgb="FF000000"/>
        <rFont val="等线"/>
        <charset val="134"/>
        <scheme val="minor"/>
      </rPr>
      <t>CcCLVH</t>
    </r>
    <r>
      <rPr>
        <sz val="9.75"/>
        <color rgb="FF000000"/>
        <rFont val="等线"/>
        <charset val="134"/>
        <scheme val="minor"/>
      </rPr>
      <t>_</t>
    </r>
    <r>
      <rPr>
        <sz val="9.75"/>
        <color rgb="FF000000"/>
        <rFont val="等线"/>
        <charset val="134"/>
        <scheme val="minor"/>
      </rPr>
      <t>DeltaCellVOLLvl3FltVmV</t>
    </r>
  </si>
  <si>
    <t>DeltaCellVOLLvl3FltVmV
单体压差过大三级报警阈值</t>
  </si>
  <si>
    <r>
      <rPr>
        <sz val="9.75"/>
        <color rgb="FF000000"/>
        <rFont val="等线"/>
        <charset val="134"/>
        <scheme val="minor"/>
      </rPr>
      <t>CcCLVH</t>
    </r>
    <r>
      <rPr>
        <sz val="9.75"/>
        <color rgb="FF000000"/>
        <rFont val="等线"/>
        <charset val="134"/>
        <scheme val="minor"/>
      </rPr>
      <t>_</t>
    </r>
    <r>
      <rPr>
        <sz val="9.75"/>
        <color rgb="FF000000"/>
        <rFont val="等线"/>
        <charset val="134"/>
        <scheme val="minor"/>
      </rPr>
      <t>DeltaCellVOLLvl3FltRcvryVmV</t>
    </r>
  </si>
  <si>
    <t>DeltaCellVOLLvl3FltRcvryVmV
单体压差过大三级恢复阈值</t>
  </si>
  <si>
    <t>簇电压阈值参数</t>
  </si>
  <si>
    <t>CcHVSH_BatOVLvl1FltCfmThdV</t>
  </si>
  <si>
    <t>BatOVLvl1FltCfmThdV
电池串过压一级报警阈值</t>
  </si>
  <si>
    <r>
      <rPr>
        <sz val="9.75"/>
        <color rgb="FF000000"/>
        <rFont val="等线"/>
        <charset val="134"/>
        <scheme val="minor"/>
      </rPr>
      <t>CcHVSH</t>
    </r>
    <r>
      <rPr>
        <sz val="9.75"/>
        <color rgb="FF000000"/>
        <rFont val="等线"/>
        <charset val="134"/>
        <scheme val="minor"/>
      </rPr>
      <t>_</t>
    </r>
    <r>
      <rPr>
        <sz val="9.75"/>
        <color rgb="FF000000"/>
        <rFont val="等线"/>
        <charset val="134"/>
        <scheme val="minor"/>
      </rPr>
      <t>BatOVLvl2FltCfmThdV</t>
    </r>
  </si>
  <si>
    <t>BatOVLvl2FltCfmThdV
电池串过压二级报警阈值</t>
  </si>
  <si>
    <r>
      <rPr>
        <sz val="9.75"/>
        <color rgb="FF000000"/>
        <rFont val="等线"/>
        <charset val="134"/>
        <scheme val="minor"/>
      </rPr>
      <t>CcHVSH</t>
    </r>
    <r>
      <rPr>
        <sz val="9.75"/>
        <color rgb="FF000000"/>
        <rFont val="等线"/>
        <charset val="134"/>
        <scheme val="minor"/>
      </rPr>
      <t>_</t>
    </r>
    <r>
      <rPr>
        <sz val="9.75"/>
        <color rgb="FF000000"/>
        <rFont val="等线"/>
        <charset val="134"/>
        <scheme val="minor"/>
      </rPr>
      <t>BatOVLvl2FltRcvrThdV</t>
    </r>
  </si>
  <si>
    <t>BatOVLvl2FltRcvrThdV
电池串过压二级恢复阈值</t>
  </si>
  <si>
    <r>
      <rPr>
        <sz val="9.75"/>
        <color rgb="FF000000"/>
        <rFont val="等线"/>
        <charset val="134"/>
        <scheme val="minor"/>
      </rPr>
      <t>CcHVSH</t>
    </r>
    <r>
      <rPr>
        <sz val="9.75"/>
        <color rgb="FF000000"/>
        <rFont val="等线"/>
        <charset val="134"/>
        <scheme val="minor"/>
      </rPr>
      <t>_</t>
    </r>
    <r>
      <rPr>
        <sz val="9.75"/>
        <color rgb="FF000000"/>
        <rFont val="等线"/>
        <charset val="134"/>
        <scheme val="minor"/>
      </rPr>
      <t>BatOVLvl3FltCfmThdV</t>
    </r>
  </si>
  <si>
    <t>BatOVLvl3FltCfmThdV
电池串过压三级报警阈值</t>
  </si>
  <si>
    <r>
      <rPr>
        <sz val="9.75"/>
        <color rgb="FF000000"/>
        <rFont val="等线"/>
        <charset val="134"/>
        <scheme val="minor"/>
      </rPr>
      <t>CcHVSH</t>
    </r>
    <r>
      <rPr>
        <sz val="9.75"/>
        <color rgb="FF000000"/>
        <rFont val="等线"/>
        <charset val="134"/>
        <scheme val="minor"/>
      </rPr>
      <t>_</t>
    </r>
    <r>
      <rPr>
        <sz val="9.75"/>
        <color rgb="FF000000"/>
        <rFont val="等线"/>
        <charset val="134"/>
        <scheme val="minor"/>
      </rPr>
      <t>BatOVLvl3FltRcvrThdV</t>
    </r>
  </si>
  <si>
    <t>BatOVLvl3FltRcvrThdV
电池串过压三级恢复阈值</t>
  </si>
  <si>
    <r>
      <rPr>
        <sz val="9.75"/>
        <color rgb="FF000000"/>
        <rFont val="等线"/>
        <charset val="134"/>
        <scheme val="minor"/>
      </rPr>
      <t>CcHVSH</t>
    </r>
    <r>
      <rPr>
        <sz val="9.75"/>
        <color rgb="FF000000"/>
        <rFont val="等线"/>
        <charset val="134"/>
        <scheme val="minor"/>
      </rPr>
      <t>_</t>
    </r>
    <r>
      <rPr>
        <sz val="9.75"/>
        <color rgb="FF000000"/>
        <rFont val="等线"/>
        <charset val="134"/>
        <scheme val="minor"/>
      </rPr>
      <t>BatUVLvl1FltCfmThdV</t>
    </r>
  </si>
  <si>
    <t>BatUVLvl1FltCfmThdV
电池串欠压一级报警阈值</t>
  </si>
  <si>
    <r>
      <rPr>
        <sz val="9.75"/>
        <color rgb="FF000000"/>
        <rFont val="等线"/>
        <charset val="134"/>
        <scheme val="minor"/>
      </rPr>
      <t>CcHVSH</t>
    </r>
    <r>
      <rPr>
        <sz val="9.75"/>
        <color rgb="FF000000"/>
        <rFont val="等线"/>
        <charset val="134"/>
        <scheme val="minor"/>
      </rPr>
      <t>_</t>
    </r>
    <r>
      <rPr>
        <sz val="9.75"/>
        <color rgb="FF000000"/>
        <rFont val="等线"/>
        <charset val="134"/>
        <scheme val="minor"/>
      </rPr>
      <t>BatUVLvl2FltCfmThdV</t>
    </r>
  </si>
  <si>
    <t>BatUVLvl2FltCfmThdV
电池串欠压二级报警阈值</t>
  </si>
  <si>
    <r>
      <rPr>
        <sz val="9.75"/>
        <color rgb="FF000000"/>
        <rFont val="等线"/>
        <charset val="134"/>
        <scheme val="minor"/>
      </rPr>
      <t>CcHVSH</t>
    </r>
    <r>
      <rPr>
        <sz val="9.75"/>
        <color rgb="FF000000"/>
        <rFont val="等线"/>
        <charset val="134"/>
        <scheme val="minor"/>
      </rPr>
      <t>_</t>
    </r>
    <r>
      <rPr>
        <sz val="9.75"/>
        <color rgb="FF000000"/>
        <rFont val="等线"/>
        <charset val="134"/>
        <scheme val="minor"/>
      </rPr>
      <t>BatUVLvl2FltRcvrThdV</t>
    </r>
  </si>
  <si>
    <t>BatUVLvl2FltRcvrThdV
电池串欠压二级恢复阈值</t>
  </si>
  <si>
    <r>
      <rPr>
        <sz val="9.75"/>
        <color rgb="FF000000"/>
        <rFont val="等线"/>
        <charset val="134"/>
        <scheme val="minor"/>
      </rPr>
      <t>CcHVSH</t>
    </r>
    <r>
      <rPr>
        <sz val="9.75"/>
        <color rgb="FF000000"/>
        <rFont val="等线"/>
        <charset val="134"/>
        <scheme val="minor"/>
      </rPr>
      <t>_</t>
    </r>
    <r>
      <rPr>
        <sz val="9.75"/>
        <color rgb="FF000000"/>
        <rFont val="等线"/>
        <charset val="134"/>
        <scheme val="minor"/>
      </rPr>
      <t>BatUVLvl3FltCfmThdV</t>
    </r>
  </si>
  <si>
    <t>BatUVLvl3FltCfmThdV
电池串欠压三级报警阈值</t>
  </si>
  <si>
    <r>
      <rPr>
        <sz val="9.75"/>
        <color rgb="FF000000"/>
        <rFont val="等线"/>
        <charset val="134"/>
        <scheme val="minor"/>
      </rPr>
      <t>CcHVSH</t>
    </r>
    <r>
      <rPr>
        <sz val="9.75"/>
        <color rgb="FF000000"/>
        <rFont val="等线"/>
        <charset val="134"/>
        <scheme val="minor"/>
      </rPr>
      <t>_</t>
    </r>
    <r>
      <rPr>
        <sz val="9.75"/>
        <color rgb="FF000000"/>
        <rFont val="等线"/>
        <charset val="134"/>
        <scheme val="minor"/>
      </rPr>
      <t>BatUVLvl3FltRcvrThdV</t>
    </r>
  </si>
  <si>
    <t>BatUVLvl3FltRcvrThdV
电池串欠压三级恢复阈值</t>
  </si>
  <si>
    <t>簇电流阈值参数</t>
  </si>
  <si>
    <t>CcBTCD_RchaCurLvl1LimThdA</t>
  </si>
  <si>
    <t>ChrgOverCurLvl1AssertThd
充电过流一级报警阈值</t>
  </si>
  <si>
    <t>CcBTCD_RchaCurLvl2LimThdA</t>
  </si>
  <si>
    <t>ChrgOverCurLvl2AssertThd
充电过流二级报警阈值</t>
  </si>
  <si>
    <t>CcBTCD_RchaCurClrLvl2LimThdA</t>
  </si>
  <si>
    <t>ChrgOverCurLvl2DeassertThd
充电过流二级恢复阈值</t>
  </si>
  <si>
    <t>CcBTCD_RchaCurLvl3LimThdA</t>
  </si>
  <si>
    <t>ChrgOverCurLvl3AssertThd
充电过流三级报警阈值</t>
  </si>
  <si>
    <t>CcBTCD_RchaCurClrLvl3LimThdA</t>
  </si>
  <si>
    <t>ChrgOverCurLvl3DeassertThd
充电过流三级恢复阈值</t>
  </si>
  <si>
    <t>CcBTCD_DchILimLvl1ThdA</t>
  </si>
  <si>
    <t>DisChrgOverCurLvl1AssertThd
放电过流一级报警阈值</t>
  </si>
  <si>
    <t>CcBTCD_DchILimLvl2ThdA</t>
  </si>
  <si>
    <t>DisChrgOverCurLvl2AssertThd
放电过流二级报警阈值</t>
  </si>
  <si>
    <t>CcBTCD_DchIClrLimLvl2ThdA</t>
  </si>
  <si>
    <t>DisChrgOverCurLvl2DeassertThd
放电过流二级恢复阈值</t>
  </si>
  <si>
    <t>CcBTCD_DchILimLvl3ThdA</t>
  </si>
  <si>
    <t>DisChrgOverCurLvl3AssertThd
放电过流三级报警阈值</t>
  </si>
  <si>
    <t>CcBTCD_DchIClrLimLvl3ThdA</t>
  </si>
  <si>
    <t>DisChrgOverCurLvl3DeassertThd
放电过流三级恢复阈值</t>
  </si>
  <si>
    <t>温度阈值参数</t>
  </si>
  <si>
    <t>CcCLTH_ChOvtempLvl1LimDegC</t>
  </si>
  <si>
    <t>ChOverTempLvl1AssertThd
充电过温一级报警阈值</t>
  </si>
  <si>
    <t>CcCLTH_ChOvtempLvl2LimDegC</t>
  </si>
  <si>
    <t>ChOverTempLvl2AssertThd
充电过温二级报警阈值</t>
  </si>
  <si>
    <t>CcCLTH_ChOvtempLvl2RcvryLimDegC</t>
  </si>
  <si>
    <t>ChOverTempLvl2DeassertThd
充电过温二级恢复阈值</t>
  </si>
  <si>
    <t>CcCLTH_ChOvtempLvl3LimDegC</t>
  </si>
  <si>
    <t>ChOverTempLvl3AssertThd
充电过温三级报警阈值</t>
  </si>
  <si>
    <t>CcCLTH_ChOvtempLvl3RcvryLimDegC</t>
  </si>
  <si>
    <t>ChOverTempLvl3DeassertThd
充电过温三级恢复阈值</t>
  </si>
  <si>
    <t>CcCLTH_ChUnderTLvl1LimDegC</t>
  </si>
  <si>
    <t>ChUnderTempLvl1AssertThd
充电低温一级报警阈值</t>
  </si>
  <si>
    <t>CcCLTH_ChUnderTLvl2LimDegC</t>
  </si>
  <si>
    <t>ChUnderTempLvl2AssertThd
充电低温二级报警阈值</t>
  </si>
  <si>
    <t>CcCLTH_ChUnderTLvl2RcvryLimDegC</t>
  </si>
  <si>
    <t>ChUnderTempLvl2DeassertThd
充电低温二级恢复阈值</t>
  </si>
  <si>
    <t>CcCLTH_ChUnderTLvl3LimDegC</t>
  </si>
  <si>
    <t>ChUnderTempLvl3AssertThd
充电低温三级报警阈值</t>
  </si>
  <si>
    <t>CcCLTH_ChUnderTLvl3RcvryLimDegC</t>
  </si>
  <si>
    <t>ChUnderTempLvl3DeassertThd
充电低温三级恢复阈值</t>
  </si>
  <si>
    <t>CcCLTH_ChOvtempLvl0LimDegC</t>
  </si>
  <si>
    <t>ChUnderTempLvl0AssertThd
充电极限过温阈值</t>
  </si>
  <si>
    <t>CcCLTH_DischOvtempLvl1LimDegC</t>
  </si>
  <si>
    <t>DischOverTempLvl1AssertThd
放电过温一级报警阈值</t>
  </si>
  <si>
    <t>CcCLTH_DischOvtempLvl2LimDegC</t>
  </si>
  <si>
    <t>DischOverTempLvl2AssertThd
放电过温二级报警阈值</t>
  </si>
  <si>
    <t>CcCLTH_DischOvtempLvl2RcvryLimDegC</t>
  </si>
  <si>
    <t>DischOverTempLvl2DeassertThd
放电过温二级恢复阈值</t>
  </si>
  <si>
    <t>CcCLTH_DischOvtempLvl3LimDegC</t>
  </si>
  <si>
    <t>DischOverTempLvl3AssertThd
放电过温三级报警阈值</t>
  </si>
  <si>
    <t>CcCLTH_DischOvtempLvl3RcvryLimDegC</t>
  </si>
  <si>
    <t>DischOverTempLvl3DeassertThd
放电过温三级恢复阈值</t>
  </si>
  <si>
    <t>CcCLTH_DischOvtempLvl0LimDegC</t>
  </si>
  <si>
    <t>DischOverTempLvl0AssertThd
放电极限过温阈值</t>
  </si>
  <si>
    <t>CcCLTH_CellTempRiseChangeRate</t>
  </si>
  <si>
    <t>CellTempRiseChangeRate
温升过快极限故障阈值</t>
  </si>
  <si>
    <t>CcCLTH_DischUnderTLvl1LimDegC</t>
  </si>
  <si>
    <t>DischUnderTempLvl1AssertThd
放电低温一级报警阈值</t>
  </si>
  <si>
    <t>CcCLTH_DischUnderTLvl2LimDegC</t>
  </si>
  <si>
    <t>DischUnderTempLvl2AssertThd
放电低温二级报警阈值</t>
  </si>
  <si>
    <t>CcCLTH_DischUnderTLvl2RcvryLimDegC</t>
  </si>
  <si>
    <t>DischUnderTempLvl2DeassertThd
放电低温二级恢复阈值</t>
  </si>
  <si>
    <t>CcCLTH_DischUnderTLvl3LimDegC</t>
  </si>
  <si>
    <t>DischUnderTempLvl3AssertThd
放电低温三级报警阈值</t>
  </si>
  <si>
    <t>CcCLTH_DischUnderTLvl3RcvryLimDegC</t>
  </si>
  <si>
    <t>DischUnderTempLvl3DeassertThd
放电低温三级恢复阈值</t>
  </si>
  <si>
    <t>CcCLTH_TempDiffLvl1LimDegC</t>
  </si>
  <si>
    <t>TempDiffTooBigLvl1AssertThd
温差过大报警一级阈值</t>
  </si>
  <si>
    <t>CcCLTH_TempDiffLvl2LimDegC</t>
  </si>
  <si>
    <t>TempDiffTooBigLvl2AssertThd
温差过大报警二级阈值</t>
  </si>
  <si>
    <t>CcCLTH_TempDiffLvl2RcvryLimDegC</t>
  </si>
  <si>
    <t>TempDiffTooBigLvl2DeassertThd
温差过大报警二级恢复阈值</t>
  </si>
  <si>
    <t>CcCLTH_TempDiffLvl3LimDegC</t>
  </si>
  <si>
    <t>TempDiffTooBigLvl3AssertThd
温差过大报警三级阈值</t>
  </si>
  <si>
    <t>CcCLTH_TempDiffLvl3RcvryLimDegC</t>
  </si>
  <si>
    <t>TempDiffTooBigLvl3DeassertThd
温差过大报警三级恢复阈值</t>
  </si>
  <si>
    <t>SOX阈值参数</t>
  </si>
  <si>
    <t>CcSOCA_SOCOverLowLvl1EnaThdValPct</t>
  </si>
  <si>
    <t>SOCLowLvl1AssertThd
SOC低一级报警阈值</t>
  </si>
  <si>
    <t>CcSOCA_SOCOverLowLvl1RecThdValPct</t>
  </si>
  <si>
    <t>SOCLowLvl1DeassertThd
SOC低一级恢复阈值</t>
  </si>
  <si>
    <t>CcSOHA_SOHCOverLowLvl1EnaThdValPct</t>
  </si>
  <si>
    <t>SOHLowLvl1AssertThd
SOH低一级报警阈值</t>
  </si>
  <si>
    <t>CcSOHA_SOHCOverLowLvl2EnaThdValPct</t>
  </si>
  <si>
    <t>SOHLowLvl2AssertThd
SOH低二级报警阈值</t>
  </si>
  <si>
    <t>CcSOHA_SOHCOverLowLvl3EnaThdValPct</t>
  </si>
  <si>
    <t>SOHLowLvl3AssertThd
SOH低三级报警阈值</t>
  </si>
  <si>
    <t>CcSOCA_SOCDiffOverHighEnaThdValPct</t>
  </si>
  <si>
    <t>SOCDiffTooBigLvl1AssertThd
SOC差异过大报警阈值</t>
  </si>
  <si>
    <t>CcSOCA_SOCDiffOverHighRecThdValPct</t>
  </si>
  <si>
    <t>SOCDiffTooBigLvl1DeassertThd
SOC差异过大恢复阈值</t>
  </si>
  <si>
    <t>CcCBCC_CellSelfDischOverHighLvl1EnaThdValPct</t>
  </si>
  <si>
    <t>SelfDischrgDiffTooBigLvl1AssertThd
自放电差异过大一级报警阈值</t>
  </si>
  <si>
    <t>CcCBCC_CellSelfDischOverHighLvl2EnaThdValPct</t>
  </si>
  <si>
    <t>SelfDischrgDiffTooBigLvl2AssertThd
自放电差异过大二级报警阈值</t>
  </si>
  <si>
    <t>CcCBCC_CellSelfDischOverHighLvl2RecThdValPct</t>
  </si>
  <si>
    <t>SelfDischrgDiffTooBigLvl2DeassertThd
自放电差异过大二级恢复阈值</t>
  </si>
  <si>
    <t>CcCBCC_CellSelfDischOverHighLvl3EnaThdValPct</t>
  </si>
  <si>
    <t>SelfDischrgDiffTooBigLvl3AssertThd
自放电差异过大三级报警阈值</t>
  </si>
  <si>
    <t>CcCBCC_CellSelfDischOverHighLvl3RecThdValPct</t>
  </si>
  <si>
    <t>SelfDischrgDiffTooBigLvl3DeassertThd
自放电差异过大三级恢复阈值</t>
  </si>
  <si>
    <t>CcSOCA_OverChgFltEnaThdValPct</t>
  </si>
  <si>
    <t>OverChgFltEnaThdValPct
过充故障判断阈值</t>
  </si>
  <si>
    <t>AUX阈值参数</t>
  </si>
  <si>
    <t>CbCBCC_BalFordCmdFlg</t>
  </si>
  <si>
    <t>BalFordCmdFlg
均衡禁止命令标定值</t>
  </si>
  <si>
    <t>TMS阈值参数</t>
  </si>
  <si>
    <t>CcTHMC_EntHeatMinTemUpLimt</t>
  </si>
  <si>
    <t>TMSEntHeatMinTemUpLimt
制热启动温度最小电芯温度阈值</t>
  </si>
  <si>
    <t>CcTHMC_EntHeatAvgTemUpLimt</t>
  </si>
  <si>
    <t>TMSEntHeatAvgTemUpLimt
制热启动温度平均电芯温度阈值</t>
  </si>
  <si>
    <t>CcTHMC_ExtHeatMinTemLowLimt</t>
  </si>
  <si>
    <t>TMSExtHeatMinTemUpLimt
制热停止温度最小电芯温度阈值</t>
  </si>
  <si>
    <t>CcTHMC_ExtHeatAvgTemLowLimt</t>
  </si>
  <si>
    <t>TMSExtHeatAvgTemUpLimt
制热停止温度平均电芯温度阈值</t>
  </si>
  <si>
    <t>CcTHMC_EntCoolMaxTemLowLimtA</t>
  </si>
  <si>
    <t>TMSEntCoolMaxTemUpLimt
制冷A启动温度最大电芯温度阈值</t>
  </si>
  <si>
    <t>CcTHMC_EntCoolAvgTemLowLimtA</t>
  </si>
  <si>
    <t>TMSEntCoolAvgTemUpLimt
制冷A启动温度平均电芯温度阈值</t>
  </si>
  <si>
    <t>CcTHMC_ExtCoolMaxTemUpLimtA</t>
  </si>
  <si>
    <t>TMSExtCoolMaxTemUpLimt
制冷A停止温度最大电芯温度阈值</t>
  </si>
  <si>
    <t>CcTHMC_ExtCoolAvgTemUpLimtA</t>
  </si>
  <si>
    <t>TMSExtCoolAvgTemUpLimt
制冷A停止温度平均电芯温度阈值</t>
  </si>
  <si>
    <t>HMI_RBMSDO1HCtrlFlg</t>
  </si>
  <si>
    <t>DO1H
DO1高边控制</t>
  </si>
  <si>
    <t>禁止：断开对外输出；使能：连接对外输出（仅本地模式生效）</t>
  </si>
  <si>
    <t>HMI_RBMSDO1LCtrlFlg</t>
  </si>
  <si>
    <t>DO1L
DO1低边控制</t>
  </si>
  <si>
    <t>HMI_RBMSDO2HCtrlFlg</t>
  </si>
  <si>
    <t>DO2H
DO2高边控制</t>
  </si>
  <si>
    <t>HMI_RBMSDO2LCtrlFlg</t>
  </si>
  <si>
    <t>DO2L
DO2低边控制</t>
  </si>
  <si>
    <t>HMI_RBMSDO3HCtrlFlg</t>
  </si>
  <si>
    <t>DO3H
DO3高边控制</t>
  </si>
  <si>
    <t>HMI_RBMSDO3LCtrlFlg</t>
  </si>
  <si>
    <t>DO3L
DO3低边控制</t>
  </si>
  <si>
    <t>HMI_RBMSDO4HCtrlFlg</t>
  </si>
  <si>
    <t>DO4H
DO4高边控制</t>
  </si>
  <si>
    <t>HMI_RBMSDO4LCtrlFlg</t>
  </si>
  <si>
    <t>DO4L
DO4低边控制</t>
  </si>
  <si>
    <t>HMI_RBMSDO5LCtrlFlg</t>
  </si>
  <si>
    <t>DO5L
DO5低边控制</t>
  </si>
  <si>
    <t>HMI_RBMSDO6LCtrlFlg</t>
  </si>
  <si>
    <t>DO6L
DO6低边控制</t>
  </si>
  <si>
    <t>HMI_RBMSDO7CtrlFlg</t>
  </si>
  <si>
    <t>DO7
DO7控制</t>
  </si>
  <si>
    <t>HMI_RBMSDO8CtrlFlg</t>
  </si>
  <si>
    <t>DO8
DO8控制</t>
  </si>
  <si>
    <t>HMI_BBMSDO0CtrlFlg</t>
  </si>
  <si>
    <t>DO0
DO0控制</t>
  </si>
  <si>
    <t>HMI_BBMSDO1CtrlFlg</t>
  </si>
  <si>
    <t>DO1
DO1控制</t>
  </si>
  <si>
    <t>HMI_BBMSDO2CtrlFlg</t>
  </si>
  <si>
    <t>DO2
DO2控制</t>
  </si>
  <si>
    <t>HMI_BBMSDO3CtrlFlg</t>
  </si>
  <si>
    <t>DO3
DO3控制</t>
  </si>
  <si>
    <t>HMI_BBMSDO4CtrlFlg</t>
  </si>
  <si>
    <t>DO4
DO4控制</t>
  </si>
  <si>
    <t>HMI_BBMSDO5CtrlFlg</t>
  </si>
  <si>
    <t>DO5
DO5控制</t>
  </si>
  <si>
    <t>HMI_BBMSDO6CtrlFlg</t>
  </si>
  <si>
    <t>DO6
DO6控制</t>
  </si>
  <si>
    <t>HMI_BBMSDO7CtrlFlg</t>
  </si>
  <si>
    <t>HMI_BBMSDO8CtrlFlg</t>
  </si>
  <si>
    <t>HMI_BBMSDO9CtrlFlg</t>
  </si>
  <si>
    <t>DO9
DO9控制</t>
  </si>
  <si>
    <t>HMI_BBMSDO10CtrlFlg</t>
  </si>
  <si>
    <t>DO10
DO10控制</t>
  </si>
  <si>
    <t>HMI_BBMSDO11CtrlFlg</t>
  </si>
  <si>
    <t>DO11
DO11控制</t>
  </si>
  <si>
    <t>Rack Current (A)
簇电流(A)</t>
  </si>
  <si>
    <t>BSWSRackA_A</t>
  </si>
  <si>
    <t>ScSGPC_MaxCellVmV</t>
  </si>
  <si>
    <t>ScSGPC_MinCellVmV</t>
  </si>
  <si>
    <t>ScSGPC_MaxCellTDegC</t>
  </si>
  <si>
    <t>Max Cell Temp (℃)
最高电芯温度 (℃)</t>
  </si>
  <si>
    <t>ScSGPC_MinCellTDegC</t>
  </si>
  <si>
    <t>ScSGPC_AvgCellTDegC</t>
  </si>
  <si>
    <t>ScCSPC_FullChEnaNbr</t>
  </si>
  <si>
    <t>Full Charge Correction Flag
满充修正标志位</t>
  </si>
  <si>
    <t>bit0: 显示SOC修100
bit1: MaxSOC修100</t>
  </si>
  <si>
    <t>BSWSRackFullChEnaNbr</t>
  </si>
  <si>
    <t>ScCSPC_FullDischEnaNbr</t>
  </si>
  <si>
    <t>Full Discharge Correction Flag
满放修正标志位</t>
  </si>
  <si>
    <t>bit0: 显示SOC修0
bit1: MinSOC修0</t>
  </si>
  <si>
    <t>BSWSRackFullDischEnaNbr</t>
  </si>
  <si>
    <t>Accumulated Charge Capacity (Ah)
累计充电容量 (Ah)</t>
  </si>
  <si>
    <t>Accumulated Discharge Capacity (Ah)
累计放电容量 (Ah)</t>
  </si>
  <si>
    <t>ScSGPC_BatIStNbr</t>
  </si>
  <si>
    <t>Rack Charging Status
Rack充放电状态</t>
  </si>
  <si>
    <t>0：静置；1：充电；2：放电</t>
  </si>
  <si>
    <t>BSWSRackBatIStNbr</t>
  </si>
  <si>
    <t>Last Power-down Sleep Time (min)
上次下电休眠时间</t>
  </si>
  <si>
    <t>BSWSRackLstSleepDurTiMin</t>
  </si>
  <si>
    <t>ScSGPC_HisSleepTiMin</t>
  </si>
  <si>
    <t>History Sleep Time (min)
历史休眠时间</t>
  </si>
  <si>
    <t>ScSGPC_HisRunTiMin</t>
  </si>
  <si>
    <t>History Run Time (min)
历史运行时间</t>
  </si>
  <si>
    <t>ScHIST_CycNbr</t>
  </si>
  <si>
    <t>Accumulated Cycle Number
累计循环次数</t>
  </si>
  <si>
    <t>Rack All SOH Calibration Indicator
Rack所有SOH标定指示</t>
  </si>
  <si>
    <t>BSWSRackAllSOHCalIndicator</t>
  </si>
  <si>
    <t>Rack All SOH Calibration Value
Rack所有SOH标定值</t>
  </si>
  <si>
    <t>BSWSRackAllSOHCalValPct</t>
  </si>
  <si>
    <t>ScBTCS_RackChrgCapmAh</t>
  </si>
  <si>
    <t>Accumulated Charge Capacity (mAh)
累积充电容量 (mAh)</t>
  </si>
  <si>
    <t>mAh</t>
  </si>
  <si>
    <t>BSWSRackChrgCapmAh</t>
  </si>
  <si>
    <t>ScBTCS_RackDsChrgCapmAh</t>
  </si>
  <si>
    <t>Accumulated Discharge Capacity (mAh)
累积放电容量 (mAh)</t>
  </si>
  <si>
    <t>BSWSRackDsChrgCapmAh</t>
  </si>
  <si>
    <t>Rack History Info Calibration Indicator
Rack历史信息标定指示</t>
  </si>
  <si>
    <t>（标定时，信号持续3s后置0)
0：默认，不标定
1：标定累积充电容量
2：标定累积充电能量
3：标定累积放电容量
4：标定累积放电能量
5：标定历史运行时长
6：标定历史休眠时长</t>
  </si>
  <si>
    <t>Rack All SOC Calibration Indicator
Rack所有SOC标定指示</t>
  </si>
  <si>
    <t>BSWSRackAllSOCCalIndicator</t>
  </si>
  <si>
    <t>Rack All SOC Calibration Value
Rack所有SOC标定值</t>
  </si>
  <si>
    <t>BSWSRackAllSOCCalValPct</t>
  </si>
  <si>
    <t>SbSGPC_BatIVldFlg</t>
  </si>
  <si>
    <t>Rack Current Validity
簇电流有效性</t>
  </si>
  <si>
    <t>0：无效1：有效</t>
  </si>
  <si>
    <t>BSWSRackAVldFlg</t>
  </si>
  <si>
    <t>SbSGPC_GenlCellVVldFlg</t>
  </si>
  <si>
    <t>Cell Voltage General Validity
电芯电压概要有效性</t>
  </si>
  <si>
    <t>SbSGPC_GenlCellTVldFlg</t>
  </si>
  <si>
    <t>Cell Temperature General Validity
电芯温度概要有效性</t>
  </si>
  <si>
    <t>SbSGPC_MaxCellVMdulTVldFlg</t>
  </si>
  <si>
    <t>Vmax Cell Temperature Validity
最大电压电芯温度有效性</t>
  </si>
  <si>
    <t>SbSGPC_MinCellVMdulTVldFlg</t>
  </si>
  <si>
    <t>Vmin Cell Temperature Validity
最小电压电芯温度有效性</t>
  </si>
  <si>
    <t>ScSGPC_MaxCellVMdulTDegC</t>
  </si>
  <si>
    <t>Vmax Cell Temperature (℃)
最大电压电芯对应温度 (℃)</t>
  </si>
  <si>
    <t>ScSGPC_MinCellVMdulTDegC</t>
  </si>
  <si>
    <t>Vmin Cell Temperature (℃)
最小电压电芯对应温度 (℃)</t>
  </si>
  <si>
    <t>SaSGPC_CellVmVxT[10]</t>
  </si>
  <si>
    <t>Equidistant Position Cell Voltage (mV)
等间隔位置的电芯电压 (mV)</t>
  </si>
  <si>
    <t>1-20</t>
  </si>
  <si>
    <t>uint8_t T = (TOTAL_SERIES_CELL_NUMBER_PER_RACK_BMS/10);</t>
  </si>
  <si>
    <t>第xT节电芯电压,x=1,2,…10,
xT=x*Floor(TOTAL_SERIES_CELL_NUMBER_PER_RACK_BMS/10);
数组索引从0开始，因此第xT个电芯数据索引为 xT-1</t>
  </si>
  <si>
    <t>SaSGPC_CellVmV</t>
  </si>
  <si>
    <t>ScSOHA_DispSysSOHCPct</t>
  </si>
  <si>
    <t>Rack Display SOH (%)
Rack显示SOH (%)</t>
  </si>
  <si>
    <t>ScSOHA_DFCLCapResultAh</t>
  </si>
  <si>
    <t>DFCL Module Capacity (Ah)
DFCL模块容量 (Ah)</t>
  </si>
  <si>
    <t>ScSOHA_DFCLPointSOCPct</t>
  </si>
  <si>
    <t>DFCL Module SOH Feature Point SOC (%)
DFCL模块SOH特征点SOC (%)</t>
  </si>
  <si>
    <t>ScSOHA_DFCLPointStats</t>
  </si>
  <si>
    <t>DFCL Module SOH Feature Point Status
DFCL模块SOH特征点标志位</t>
  </si>
  <si>
    <t>ScSOHA_DFCLPointCapAh</t>
  </si>
  <si>
    <t>DFCL Module SOH Feature Point Capacity (Ah)
DFCL模块SOH特征点容量 (Ah)</t>
  </si>
  <si>
    <t>ScSOHA_DFCLPointTimeDay</t>
  </si>
  <si>
    <t>DFCL Module SOH Feature Point Time (day)
DFCL模块SOH特征点时间 (day)</t>
  </si>
  <si>
    <t>day</t>
  </si>
  <si>
    <t>ScSOHA_MFCLCapResultAh</t>
  </si>
  <si>
    <t>MFCL Module Capacity (Ah)
MFCL模块容量 (Ah)</t>
  </si>
  <si>
    <t>ScSOHA_MFCLTargtValueVmax</t>
  </si>
  <si>
    <t>Vmax Cell MFCL Module Mid-Feature Point Target Value
Vmax节电芯MFCL模块中特征点目标计算值</t>
  </si>
  <si>
    <t>ScSOHA_MFCLTargtValue[0]</t>
  </si>
  <si>
    <t>ScSOHA_MFCLTargtValueVmin</t>
  </si>
  <si>
    <t>Vmin Cell MFCL Module Mid-Feature Point Target Value
Vmin节电芯MFCL模块中特征点目标计算值</t>
  </si>
  <si>
    <t>ScSOHA_MFCLTargtValue[1]</t>
  </si>
  <si>
    <t>SaSOCA_MaxMinSOCPct1</t>
  </si>
  <si>
    <t>Vmax Cell SOC (%)
最大电压电芯SOC (%)</t>
  </si>
  <si>
    <t>SaSOCA_MaxMinSOCPct[0]</t>
  </si>
  <si>
    <t>SaSOCA_MaxMinSOCPct2</t>
  </si>
  <si>
    <t>Vmin Cell SOC (%)
最小电压电芯SOC (%)</t>
  </si>
  <si>
    <t>SaSOCA_MaxMinSOCPct[1]</t>
  </si>
  <si>
    <t>SaSOCA_MaxMinSOCState1</t>
  </si>
  <si>
    <t>Vmax Cell SOC Status
最大电压电芯SOC状态</t>
  </si>
  <si>
    <t>0：AH（安时积分修正）
1：RVC（静置电压修正）
2：EDE（高精度动态修正）
3：FDC（满放修正）
4：FCC（满充修正）
5：SOC标定
6：NearFCC（非满充修正）
7：Near100FCC（非满充100修正）</t>
  </si>
  <si>
    <t>SaSOCA_MaxMinSOCState[0]</t>
  </si>
  <si>
    <t>SaSOCA_MaxMinSOCState2</t>
  </si>
  <si>
    <t>Vmin Cell SOC Status
最小电压电芯SOC状态</t>
  </si>
  <si>
    <t>SaSOCA_MaxMinSOCState[1]</t>
  </si>
  <si>
    <t>SaSOCA_SimCellVmV1</t>
  </si>
  <si>
    <t>Vmax Cell Simulation Voltage (mV)
最大电压电芯仿真电压 (mV)</t>
  </si>
  <si>
    <t>SaSOCA_SimCellVmV[0]</t>
  </si>
  <si>
    <t>SaSOCA_SimCellVmV2</t>
  </si>
  <si>
    <t>Vmin Cell Simulation Voltage (mV)
最小电压电芯仿真电压 (mV)</t>
  </si>
  <si>
    <t>SaSOCA_SimCellVmV[1]</t>
  </si>
  <si>
    <t>Rack Real Capacity (Ah)
Rack真实容量 (Ah)</t>
  </si>
  <si>
    <t>ScSOCA_SmthSysSOCPct</t>
  </si>
  <si>
    <t>Rack Smooth SOC (%)
Rack平滑SOC (%)</t>
  </si>
  <si>
    <t>ScSOCA_DispSysSOCPct</t>
  </si>
  <si>
    <t>Rack Display SOC (%)
Rack显示SOC (%)</t>
  </si>
  <si>
    <t>ScSOHA_DFCLCalSuccFlg</t>
  </si>
  <si>
    <t>DFCL Module Capacity Calculation Success Flag
DFCL模块容量计算成功标志位</t>
  </si>
  <si>
    <t>ScSOHA_MFCLCalSuccFlg</t>
  </si>
  <si>
    <t>MFCL Module Capacity Calculation Success Flag
MFCL模块容量计算成功标志位</t>
  </si>
  <si>
    <t>ScSOHA_MFCLPoint1FlgVmax</t>
  </si>
  <si>
    <t>Vmax Cell MFCL Module Feature Point 1
Vmax节电芯MFCL模块特征点1</t>
  </si>
  <si>
    <t>ScSOHA_MFCLPoint1Flg[0]</t>
  </si>
  <si>
    <t>ScSOHA_MFCLPoint1FlgVmin</t>
  </si>
  <si>
    <t>Vmin Cell MFCL Module Feature Point 1
Vmin节电芯MFCL模块特征点1</t>
  </si>
  <si>
    <t>ScSOHA_MFCLPoint1Flg[1]</t>
  </si>
  <si>
    <t>ScSOHA_MFCLPoint2FlgVmax</t>
  </si>
  <si>
    <t>Vmax Cell MFCL Module Feature Point 2
Vmax节电芯MFCL模块中特征点2</t>
  </si>
  <si>
    <t>ScSOHA_MFCLPoint2Flg[0]</t>
  </si>
  <si>
    <t>ScSOHA_MFCLPoint2FlgVmin</t>
  </si>
  <si>
    <t>Vmin Cell MFCL Module Feature Point 2
Vmin节电芯MFCL模块特征点2</t>
  </si>
  <si>
    <t>ScSOHA_MFCLPoint2Flg[1]</t>
  </si>
  <si>
    <t>ScSOHA_MFCLPoint3FlgVmax</t>
  </si>
  <si>
    <t>Vmax Cell MFCL Module Feature Point 3
Vmax节电芯MFCL模块中特征点3</t>
  </si>
  <si>
    <t>ScSOHA_MFCLPoint3Flg[0]</t>
  </si>
  <si>
    <t>ScSOHA_MFCLPoint3FlgVmin</t>
  </si>
  <si>
    <t>Vmin Cell MFCL Module Feature Point 3
Vmin节电芯MFCL模块特征点3</t>
  </si>
  <si>
    <t>ScSOHA_MFCLPoint3Flg[1]</t>
  </si>
  <si>
    <t>ScSOCA_DispSOCState</t>
  </si>
  <si>
    <t>DispSOC Follow Strategy Status
显示SOC跟随策略状态</t>
  </si>
  <si>
    <t>0：GF（常规跟随）
1：CHFCCF（充电满充追随）
2：CHVF（充电末端电压追随）
3：DCHFDCF（放电满放追随）
4：DCHVF（放电末端电压追随）
5：CaliF（标定追随）</t>
  </si>
  <si>
    <t>ScSOCA_TgtSysSOCPct</t>
  </si>
  <si>
    <t>Rack Target SOC (%)
Rack目标SOC (%)</t>
  </si>
  <si>
    <t>ScSOCA_TgtSysSOCPct_dbug</t>
  </si>
  <si>
    <t>Rack故障累积次数标定</t>
  </si>
  <si>
    <t>HMI_RackFltHistInfoIndicator</t>
  </si>
  <si>
    <t>Rack Fault Array History Info Calibration Indicator
Rack故障数组历史信息标定指示</t>
  </si>
  <si>
    <t>0: 默认，不标定
1:标定故障越限次数数组</t>
  </si>
  <si>
    <t>BSWSFltHistInfoIndicator</t>
  </si>
  <si>
    <t>HMI_RackAllFltHistAccuCaliVal[200]</t>
  </si>
  <si>
    <t>Rack Fault Array History Info Calibration Value
Rack故障数组历史信息标定值</t>
  </si>
  <si>
    <t>2-401</t>
  </si>
  <si>
    <t>BSWSAllFltHisAccuCaliVal</t>
  </si>
  <si>
    <t>Bank故障累积次数标定</t>
  </si>
  <si>
    <t>HMI_BankFltHistInfoIndicator</t>
  </si>
  <si>
    <t>Bank Fault Array History Info Calibration Indicator
Bank故障数组历史信息标定指示</t>
  </si>
  <si>
    <t>HMI_BankAllFltHistAccuCaliVal[200]</t>
  </si>
  <si>
    <t>Bank Fault Array History Info Calibration Value
Bank故障数组历史信息标定值</t>
  </si>
  <si>
    <t>RBMS/BBMS故障越限次数</t>
  </si>
  <si>
    <t>FltOvTiNbr[200]</t>
  </si>
  <si>
    <t>Fault Overlimit Count Array
故障越限次数数组</t>
  </si>
  <si>
    <t>1-400</t>
  </si>
  <si>
    <t>每两小时且故障次数发生变化就存储一次</t>
  </si>
  <si>
    <t>SaFRLM_HistAccuAllFltTiNbr</t>
  </si>
  <si>
    <t>RBMS_CellVVldFlg[TOTAL_SERIES_CELL_NUMBER_PER_RACK_MAX_REAL]</t>
  </si>
  <si>
    <t>Cell Voltage Validity (up to 416 Cells)
电芯电压有效性（最多416个）</t>
  </si>
  <si>
    <t>xuc 0826：三极板算法需求
Byte/Start Bit 需要根据宏定义的数组维度来确认</t>
  </si>
  <si>
    <t>SaCLVS_CellVVldFlg[TOTAL_SERIES_CELL_NUMBER_PER_RACK_BMS]</t>
  </si>
  <si>
    <t>BSWSRackCellVVldFlg[RACK_NUMBER_FOR_EVERY_BANK*TOTAL_SERIES_CELL_NUMBER_PER_RACK_BMS]</t>
  </si>
  <si>
    <t>RBMS_CellV[TOTAL_SERIES_CELL_NUMBER_PER_RACK_MAX_REAL]</t>
  </si>
  <si>
    <t>Cell Voltage (mV) (up to 416 Cells)
电芯电压 (mV)（最多416个）</t>
  </si>
  <si>
    <t>53-884</t>
  </si>
  <si>
    <t>Byte/Start Bit 需要根据宏定义的数组维度来确认</t>
  </si>
  <si>
    <t>SaCLVS_CellVmV[TOTAL_SERIES_CELL_NUMBER_PER_RACK_BMS]</t>
  </si>
  <si>
    <t>BSWSRackCellV[RACK_NUMBER_FOR_EVERY_BANK*TOTAL_SERIES_CELL_NUMBER_PER_RACK_BMS]</t>
  </si>
  <si>
    <t>RBMS_AFEV[RACK_AFE_NUMBER_MAX]</t>
  </si>
  <si>
    <t>Rack AFE Voltage (mV) (up to 32 AFEs)
RACK中各AFE总压 (mV)（最多32个）</t>
  </si>
  <si>
    <t>885-1012</t>
  </si>
  <si>
    <t>BSWSMdulVRawValmV[RACK_AFE_NUMBER]</t>
  </si>
  <si>
    <t>RBMS_ModTmp[TOTAL_SERIES_CELL_NUMBER_PER_RACK_MAX_REAL]</t>
  </si>
  <si>
    <t>Cell Temp (℃) (up to 416 Cells)
电芯温度 (℃)（最多416个）</t>
  </si>
  <si>
    <t>1-832</t>
  </si>
  <si>
    <r>
      <rPr>
        <sz val="9.75"/>
        <rFont val="Calibri"/>
        <charset val="134"/>
      </rPr>
      <t>xuc 0827：基于实际NTC维度发送，不做416个电芯的mapping
Byte/Start Bit 需要根据宏定义的数组维度来确认</t>
    </r>
  </si>
  <si>
    <t>SaCLTS_CellTDegC[TOTAL_MODULE_TEMPERATURE_SENSOR_NUMBER_PER_RACK_BMS]</t>
  </si>
  <si>
    <t>BSWSRackCellTDegC[RACK_NUMBER_FOR_EVERY_BANK*TOTAL_MODULE_TEMPERATURE_SENSOR_NUMBER_PER_RACK_BMS]</t>
  </si>
  <si>
    <t>RBMS_PoleTDegC[RACK_AFE_NUMBER_MAX*4]</t>
  </si>
  <si>
    <t>Pole Temp (℃) (up to 128 Poles)
极柱温度（最多128个）</t>
  </si>
  <si>
    <t>833-1088</t>
  </si>
  <si>
    <t>SaCLTS_PoleTDegC[RACK_AFE_NUMBER*4]</t>
  </si>
  <si>
    <t>RBMS_PackPosNegConnTDegC[RACK_AFE_NUMBER_MAX/2]</t>
  </si>
  <si>
    <t>Pack +/- Connector Temp (℃) (up to 16 Conns)
Pack正负极连接件温度（最多16个）</t>
  </si>
  <si>
    <t>1089-1120</t>
  </si>
  <si>
    <t>SaCLTS_PackPosNegConnTDegC[RACK_MODULE_NUMBER*2]</t>
  </si>
  <si>
    <t>RBMS_PCBBdTVldFlg[RACK_AFE_NUMBER_MAX]</t>
  </si>
  <si>
    <t>Balancing Board Temp Validity (up to 32 Boards)
均衡板温有效性（最多32个）</t>
  </si>
  <si>
    <t>1121-1124</t>
  </si>
  <si>
    <t>SaCLTS_PCBBdTVldFlg[RACK_AFE_NUMBER]</t>
  </si>
  <si>
    <t>RBMS_PCBBdTDegC[RACK_AFE_NUMBER_MAX]</t>
  </si>
  <si>
    <t>Balancing Board Temp (℃) (up to 32 Boards)
均衡板温（最多32个）</t>
  </si>
  <si>
    <t>1125-1188</t>
  </si>
  <si>
    <t>SaCLTS_PCBBdTDegC[RACK_AFE_NUMBER]</t>
  </si>
  <si>
    <t>SbCTSC_AllwPrechFlg</t>
  </si>
  <si>
    <t>Allow to Precharge Flag
允许预充标志位</t>
  </si>
  <si>
    <t>SbCTSC_BSWSMainNegRlyDryContactFlg</t>
  </si>
  <si>
    <t>Main Negative Contactor Status
主负继电器干接点状态</t>
  </si>
  <si>
    <t>SbCTSC_BSWSMainPosRlyDryContactFlg</t>
  </si>
  <si>
    <t>Main Positive Contactor Status
主正继电器干接点状态</t>
  </si>
  <si>
    <t>SbCTSC_SafetyState3TriggerFlg</t>
  </si>
  <si>
    <t>High-voltage indicator in safe state 3
安全状态3下高压标志</t>
  </si>
  <si>
    <t>ScCTSC_HvPowupCmdNbr</t>
  </si>
  <si>
    <t>Hv Power-on Mode
上高压模式</t>
  </si>
  <si>
    <t>1: 强制上高压；2:手动上高压</t>
  </si>
  <si>
    <t>ScCTSC_CtrlModeState</t>
  </si>
  <si>
    <t>Control Mode Status
控制模式状态</t>
  </si>
  <si>
    <t>ScCTSC_MainPosRlyLsdDrvRawVoltV</t>
  </si>
  <si>
    <t>Main positive relay low-side drive voltage (V)
主正低边驱动电压 (V)</t>
  </si>
  <si>
    <t>ScCTSC_MainNegRlyLsdDrvRawVoltV</t>
  </si>
  <si>
    <t>Main negative relay low-side drive voltage (V)
主负低边驱动电压 (V)</t>
  </si>
  <si>
    <t>ScCTSC_GroundChannelRawVoltmV</t>
  </si>
  <si>
    <t>Grounding channel voltage (mV)
接地通道电压 (mV)</t>
  </si>
  <si>
    <t>ScCTSC_MainPosRlyHsdDrvRawCurmA</t>
  </si>
  <si>
    <t>Main positive relay high-side drive current (mA)
主正高边驱动电流 (mA)</t>
  </si>
  <si>
    <t>mA</t>
  </si>
  <si>
    <t>ScCTSC_PrechRlyHsdDrvRawCurmA</t>
  </si>
  <si>
    <t>High-side drive current of the pre-charging relay (mA)
预充高边驱动电流 (mA)</t>
  </si>
  <si>
    <t>ScCTSC_MainNegRlyHsdDrvRawCurmA</t>
  </si>
  <si>
    <t>Main negative relay high-side drive current (mA)
主负高边驱动电流 (mA)</t>
  </si>
  <si>
    <t>ScCTSC_PrechOverTiCnt</t>
  </si>
  <si>
    <t>Number of consecutive precharge timeout occurrences
连续预充超时次数</t>
  </si>
  <si>
    <t>ScBTCS_BSWSBatIDiagInfoNbr</t>
  </si>
  <si>
    <t>Current Sensor Hardware Flt
电流传感器硬件诊断信息</t>
  </si>
  <si>
    <t>0：OK；1：NotOK
bit0：第1个电流传感器；
bit1：第2个电流传感器</t>
  </si>
  <si>
    <t>ScBTCS_BSWSMsgAvlNbr</t>
  </si>
  <si>
    <t>Current Sensor Msg Timeout Flt
电流传感器报文超时故障</t>
  </si>
  <si>
    <t>SbLVPH_CurrSnsrPowSplyNotOutRngFlg</t>
  </si>
  <si>
    <t>Current Sensor Power Supply Volt Out Range Flg
电流传感器供电电压超上下限标志</t>
  </si>
  <si>
    <t>0：超出；1：未超出</t>
  </si>
  <si>
    <t>SbCTSC_RlyLoadBreakFlg</t>
  </si>
  <si>
    <t>Contactor Off-with-Load Flg
继电器带载断开标志位</t>
  </si>
  <si>
    <t>ScCTSC_RlyLoadBreakCurrentA</t>
  </si>
  <si>
    <t>Current when Contactor Off-with-Load (A)
继电器带载断开时的电池串电流 (A)</t>
  </si>
  <si>
    <t>ScBTCS_BSWSMsgCtrResNbr</t>
  </si>
  <si>
    <t>Current Sensor Msg Rolling Counter Flt
电流传感器报文RollingCounter故障</t>
  </si>
  <si>
    <t>ScBTCS_BSWSMsgCRCResNbr</t>
  </si>
  <si>
    <t>Current Sensor Msg CRC Flt
电流传感器报文CRC故障</t>
  </si>
  <si>
    <t>ScBTCS_BSWSCurValVldNbr</t>
  </si>
  <si>
    <t>Current Sensor Current Value Invalid
电流传感器电流值无效</t>
  </si>
  <si>
    <t>ScBTCS_CANBatIZeroDriftNbr</t>
  </si>
  <si>
    <t>Current Sensor Zero Drift
电流传感器零漂</t>
  </si>
  <si>
    <t>BSWSAFESampErrMonitor</t>
  </si>
  <si>
    <t>BSW AFE Sampling Error Monitor
底层AFE采样错误监测</t>
  </si>
  <si>
    <t>bit0: AFE Counter Error
bit1: CellV CRC Error
bit2: CellT CRC Error
bit3: Chain Sample Line Off
bit4: Cell CRC Same
bit5: AFE Step Time-out
bit6: AFE Loop Time-out
bit7: AFE Update Time-out
bit8: AFE Configure A and B
bit9: Temp MUX Configure Error
bit10-31: Reserved</t>
  </si>
  <si>
    <t>SaSOCB_BankCellSOCPctxT[16]</t>
  </si>
  <si>
    <t>Equidistant Position Cell SOC (%)
等间隔位置的电芯SOC</t>
  </si>
  <si>
    <t>1-32</t>
  </si>
  <si>
    <t>uint16_t T = (RACK_NUMBER_FOR_EVERY_BANK*TOTAL_SERIES_CELL_NUMBER_PER_RACK_BMS/16);</t>
  </si>
  <si>
    <t>第xT节电芯的SOC, x=1,2,…,16,
xT=x* Floor(RACK_NUMBER_FOR_EVERY_BANK*
TOTAL_SERIES_CELL_NUMBER_PER_RACK_BMS/16);
数组索引从0开始，因此第xT个电芯数据索引为 xT-1</t>
  </si>
  <si>
    <t>SaSOCB_BankCellSOCPct</t>
  </si>
  <si>
    <t>SaSOCB_BankCellSOCStatexT[16]</t>
  </si>
  <si>
    <t>Equidistant Position Cell SOC Status
等间隔位置的电芯SOC状态</t>
  </si>
  <si>
    <t>33-48</t>
  </si>
  <si>
    <t>第xT节电芯的SOC状态, x=1,2,…,16,
xT=x* Floor(RACK_NUMBER_FOR_EVERY_BANK*
TOTAL_SERIES_CELL_NUMBER_PER_RACK_BMS/16);
数组索引从0开始，因此第xT (x=1,2,…,16) 个电芯数据索引为 xT-1</t>
  </si>
  <si>
    <t>SaSOCB_BankCellSOCState</t>
  </si>
  <si>
    <t>SaSOCB_RackRealSOCPct[RACK_NUMBER_FOR_EVERY_BANK_MAX]</t>
  </si>
  <si>
    <t>Rack SOC (%) Array (up to 12 Racks)
簇SOC数组（最多12个）</t>
  </si>
  <si>
    <t>49-72</t>
  </si>
  <si>
    <t>SaSOCB_RackRealSOCPct[RACK_NUMBER_FOR_EVERY_BANK]</t>
  </si>
  <si>
    <t>SaSOCB_RackMaxSOCPct[RACK_NUMBER_FOR_EVERY_BANK_MAX]</t>
  </si>
  <si>
    <t>Rack Max SOC (%) Array (up to 12 Racks)
簇最大SOC数组（最多12个）</t>
  </si>
  <si>
    <t>73-96</t>
  </si>
  <si>
    <t>SaSOCB_RackMaxSOCPct[RACK_NUMBER_FOR_EVERY_BANK]</t>
  </si>
  <si>
    <t>SaSOCB_RackMinSOCPct[RACK_NUMBER_FOR_EVERY_BANK_MAX]</t>
  </si>
  <si>
    <t>Rack Min SOC (%) Array (up to 12 Racks)
簇最小SOC数组（最多12个）</t>
  </si>
  <si>
    <t>97-120</t>
  </si>
  <si>
    <t>SaSOCB_RackMinSOCPct[RACK_NUMBER_FOR_EVERY_BANK]</t>
  </si>
  <si>
    <t>SaSOHB_BankCellCapAhxT[16]</t>
  </si>
  <si>
    <t>Equidistant Position Cell Capacity (Ah)
等间隔位置的电芯容量</t>
  </si>
  <si>
    <t>第xT节电芯的容量, x=1,2,…,16,
xT=x* Floor(RACK_NUMBER_FOR_EVERY_BANK*
TOTAL_SERIES_CELL_NUMBER_PER_RACK_BMS/16);
数组索引从0开始，因此第xT个电芯数据索引为 xT-1</t>
  </si>
  <si>
    <t>SaSOHB_BankCellCapAh</t>
  </si>
  <si>
    <t>SaSOHB_DFCLCapResultAhxT[16]</t>
  </si>
  <si>
    <t>Equidistant Position Cell DFCL Capacity (Ah)
等间隔位置的电芯DFCL容量</t>
  </si>
  <si>
    <t>33-64</t>
  </si>
  <si>
    <t>第xT节电芯的DFCL容量, x=1,2,…,16,
xT=x* Floor(RACK_NUMBER_FOR_EVERY_BANK*
TOTAL_SERIES_CELL_NUMBER_PER_RACK_BMS/16);
数组索引从0开始，因此第xT个电芯数据索引为 xT-1</t>
  </si>
  <si>
    <t>SaSOHB_DFCLCapResultAh</t>
  </si>
  <si>
    <t>SaSOHB_MFCLCapResultAhxT[16]</t>
  </si>
  <si>
    <t>Equidistant Position Cell MFCL Capacity (Ah)
等间隔位置的电芯MFCL容量</t>
  </si>
  <si>
    <t>65-96</t>
  </si>
  <si>
    <t>第xT节电芯的MFCL容量, x=1,2,…,16,
xT=x* Floor(RACK_NUMBER_FOR_EVERY_BANK*
TOTAL_SERIES_CELL_NUMBER_PER_RACK_BMS/16);
数组索引从0开始，因此第xT个电芯数据索引为 xT-1</t>
  </si>
  <si>
    <t>SaSOHB_MFCLCapResultAh</t>
  </si>
  <si>
    <t>SaSOHB_RackRealCapAh[RACK_NUMBER_FOR_EVERY_BANK_MAX]</t>
  </si>
  <si>
    <t>Rack Capacity (Ah) Array (up to 12 Racks)
簇容量数组（最多12个）</t>
  </si>
  <si>
    <t>SaSOHB_RackRealCapAh[RACK_NUMBER_FOR_EVERY_BANK]</t>
  </si>
  <si>
    <t>SaSOHB_RackMaxCapAh[RACK_NUMBER_FOR_EVERY_BANK_MAX]</t>
  </si>
  <si>
    <t>Rack Max Capacity (Ah) Array (up to 12 Racks)
簇最大容量数组（最多12个）</t>
  </si>
  <si>
    <t>121-144</t>
  </si>
  <si>
    <t>SaSOHB_RackMaxCapAh[RACK_NUMBER_FOR_EVERY_BANK]</t>
  </si>
  <si>
    <t>SaSOHB_RackMinCapAh[RACK_NUMBER_FOR_EVERY_BANK_MAX]</t>
  </si>
  <si>
    <t>Rack Min Capacity (Ah) Array (up to 12 Racks)
簇最小容量数组（最多12个）</t>
  </si>
  <si>
    <t>145-168</t>
  </si>
  <si>
    <t>SaSOHB_RackMinCapAh[RACK_NUMBER_FOR_EVERY_BANK]</t>
  </si>
  <si>
    <t>BBMS_A_Fault[200]</t>
  </si>
  <si>
    <t>BBMS A Core Fault Array
BBMS A核故障数组</t>
  </si>
  <si>
    <t>故障使能数组</t>
  </si>
  <si>
    <t>FaultEnaFlg[200]</t>
  </si>
  <si>
    <t>RBMS/BBMS_M/BBMS_A Fault Enable Array
RBMS/BBMS_M/BBMS_A 故障使能数组</t>
  </si>
  <si>
    <t>~CaFDCH_FltStsDisaAryFlg||~CaFDCH_FltStsDisaArySftyFlg</t>
  </si>
  <si>
    <t>SbEMCR_RTCnCMTimeVldFlg</t>
  </si>
  <si>
    <t>RTC Time and Battery Production Date Validity
RTC时间与电池生产日期有效性</t>
  </si>
  <si>
    <t>Flg</t>
  </si>
  <si>
    <t>ScEMCR_CellUsedMonth</t>
  </si>
  <si>
    <t>Battery Usage Time (month)
电池使用时长 (month)</t>
  </si>
  <si>
    <t>ScEMCR_CellDischargeRatePct</t>
  </si>
  <si>
    <t>Battery Self-discharge Rate (%)
电池自放电率 (%)</t>
  </si>
  <si>
    <t>BBMS_ContainerEPOFlg</t>
  </si>
  <si>
    <t>ContainerEPOFlg
集装箱急停标志</t>
  </si>
  <si>
    <t>SbEMCT_BankEPOFlg</t>
  </si>
  <si>
    <t>BSWSBankEPOFlg</t>
  </si>
  <si>
    <t>BBMS_RollingCounter</t>
  </si>
  <si>
    <t>RollingCounter
滚动计数</t>
  </si>
  <si>
    <t>ScEMCT_RollingCounter</t>
  </si>
  <si>
    <t>BSWSRollingCounter</t>
  </si>
  <si>
    <t>BBMS_Checksum</t>
  </si>
  <si>
    <r>
      <rPr>
        <sz val="10"/>
        <color rgb="FF000000"/>
        <rFont val="等线"/>
        <charset val="134"/>
        <scheme val="minor"/>
      </rPr>
      <t xml:space="preserve">Checksum
</t>
    </r>
    <r>
      <rPr>
        <sz val="10"/>
        <color theme="1"/>
        <rFont val="宋体"/>
        <charset val="134"/>
      </rPr>
      <t>校验和</t>
    </r>
  </si>
  <si>
    <t>ScEMCT_Checksum</t>
  </si>
  <si>
    <t>BSWSChecksum</t>
  </si>
  <si>
    <t>BBMS_A_EMSCtrlPowerUp</t>
  </si>
  <si>
    <t>EMS Control Power-up Cmd
EMS控制上下高压指令</t>
  </si>
  <si>
    <t>0x0: 不操作
0x1: 上高压
0x2: 下高压</t>
  </si>
  <si>
    <t>BSWSABBMSEMSPowerUpCmdNbr</t>
  </si>
  <si>
    <t>BSWSMBBMSEMSPowerUpCmdNbr</t>
  </si>
  <si>
    <t>设备类型</t>
  </si>
  <si>
    <t>主节点号</t>
  </si>
  <si>
    <t>子节点号</t>
  </si>
  <si>
    <t>Broadcast</t>
  </si>
  <si>
    <t>0x00</t>
  </si>
  <si>
    <t>HMI &amp; BBMS_A</t>
  </si>
  <si>
    <t>N（从1开始）</t>
  </si>
  <si>
    <t>Active_Balance</t>
  </si>
  <si>
    <t>0x05</t>
  </si>
  <si>
    <t>N</t>
  </si>
  <si>
    <t>Rack Nbr</t>
  </si>
  <si>
    <t>Data RAM KB/Day</t>
  </si>
  <si>
    <t>Comma Nbr</t>
  </si>
  <si>
    <t>Comma RAM KB/Day</t>
  </si>
  <si>
    <t>LogTime RAM KB/Day</t>
  </si>
  <si>
    <t>Rack Nbr Max</t>
  </si>
  <si>
    <t>Total KB/Day</t>
  </si>
  <si>
    <t>Total GB/Day</t>
  </si>
  <si>
    <t>GB/Day</t>
  </si>
  <si>
    <t>SSD RAM GB</t>
  </si>
  <si>
    <t>Total Days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</si>
</sst>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);[Red]\(0\)"/>
    <numFmt numFmtId="178" formatCode="0_ "/>
    <numFmt numFmtId="179" formatCode="0.0_ "/>
  </numFmts>
  <fonts count="63">
    <font>
      <sz val="10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2"/>
      <name val="宋体"/>
      <charset val="134"/>
    </font>
    <font>
      <b/>
      <sz val="9.75"/>
      <color rgb="FF000000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9.75"/>
      <color rgb="FF000000"/>
      <name val="等线"/>
      <charset val="134"/>
    </font>
    <font>
      <sz val="9.75"/>
      <color rgb="FF1F2329"/>
      <name val="等线"/>
      <charset val="134"/>
      <scheme val="minor"/>
    </font>
    <font>
      <sz val="10"/>
      <color rgb="FF000000"/>
      <name val="Calibri"/>
      <charset val="134"/>
    </font>
    <font>
      <sz val="9.75"/>
      <name val="等线"/>
      <charset val="134"/>
      <scheme val="minor"/>
    </font>
    <font>
      <sz val="9.75"/>
      <name val="等线"/>
      <charset val="134"/>
      <scheme val="minor"/>
    </font>
    <font>
      <sz val="9.75"/>
      <color rgb="FFF54A45"/>
      <name val="等线"/>
      <charset val="134"/>
      <scheme val="minor"/>
    </font>
    <font>
      <sz val="9.75"/>
      <color theme="1"/>
      <name val="等线"/>
      <charset val="134"/>
      <scheme val="minor"/>
    </font>
    <font>
      <sz val="9.75"/>
      <color rgb="FFFF0000"/>
      <name val="等线"/>
      <charset val="134"/>
      <scheme val="minor"/>
    </font>
    <font>
      <sz val="10"/>
      <name val="等线"/>
      <charset val="134"/>
    </font>
    <font>
      <sz val="10"/>
      <name val="等线"/>
      <charset val="134"/>
      <scheme val="minor"/>
    </font>
    <font>
      <sz val="12"/>
      <color rgb="FF000000"/>
      <name val="宋体"/>
      <charset val="134"/>
    </font>
    <font>
      <sz val="10"/>
      <color rgb="FF000000"/>
      <name val="等线"/>
      <charset val="134"/>
      <scheme val="minor"/>
    </font>
    <font>
      <sz val="11"/>
      <color rgb="FF000000"/>
      <name val="等线"/>
      <charset val="134"/>
      <scheme val="minor"/>
    </font>
    <font>
      <b/>
      <sz val="9.75"/>
      <color rgb="FF1F2329"/>
      <name val="等线"/>
      <charset val="134"/>
      <scheme val="minor"/>
    </font>
    <font>
      <b/>
      <sz val="9.75"/>
      <color rgb="FF000000"/>
      <name val="等线"/>
      <charset val="134"/>
    </font>
    <font>
      <b/>
      <sz val="10.5"/>
      <color rgb="FF000000"/>
      <name val="等线"/>
      <charset val="134"/>
      <scheme val="minor"/>
    </font>
    <font>
      <sz val="10.5"/>
      <color rgb="FF000000"/>
      <name val="等线"/>
      <charset val="134"/>
      <scheme val="minor"/>
    </font>
    <font>
      <b/>
      <sz val="13.5"/>
      <color rgb="FF000000"/>
      <name val="等线"/>
      <charset val="134"/>
      <scheme val="minor"/>
    </font>
    <font>
      <sz val="12"/>
      <color rgb="FF000000"/>
      <name val="等线"/>
      <charset val="134"/>
      <scheme val="minor"/>
    </font>
    <font>
      <b/>
      <sz val="15.75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.75"/>
      <color rgb="FF000000"/>
      <name val="Calibri"/>
      <charset val="134"/>
    </font>
    <font>
      <sz val="9.75"/>
      <color rgb="FF000000"/>
      <name val="微软雅黑"/>
      <charset val="134"/>
    </font>
    <font>
      <b/>
      <sz val="9.75"/>
      <color rgb="FF000000"/>
      <name val="Calibri"/>
      <charset val="134"/>
    </font>
    <font>
      <b/>
      <sz val="9.75"/>
      <color rgb="FF000000"/>
      <name val="宋体"/>
      <charset val="134"/>
    </font>
    <font>
      <sz val="9.75"/>
      <color rgb="FF000000"/>
      <name val="宋体"/>
      <charset val="134"/>
    </font>
    <font>
      <sz val="9.75"/>
      <name val="Calibri"/>
      <charset val="134"/>
    </font>
    <font>
      <sz val="10.5"/>
      <color rgb="FF000000"/>
      <name val="Calibri"/>
      <charset val="134"/>
    </font>
    <font>
      <sz val="25.5"/>
      <color rgb="FF000000"/>
      <name val="Calibri"/>
      <charset val="134"/>
    </font>
    <font>
      <b/>
      <sz val="25.5"/>
      <color rgb="FF000000"/>
      <name val="Calibri"/>
      <charset val="134"/>
    </font>
    <font>
      <sz val="18"/>
      <color rgb="FF000000"/>
      <name val="Calibri"/>
      <charset val="134"/>
    </font>
    <font>
      <sz val="15.75"/>
      <color rgb="FF000000"/>
      <name val="Calibri"/>
      <charset val="134"/>
    </font>
    <font>
      <sz val="13.5"/>
      <color rgb="FF000000"/>
      <name val="Calibri"/>
      <charset val="134"/>
    </font>
    <font>
      <b/>
      <sz val="12"/>
      <color rgb="FF000000"/>
      <name val="Calibri"/>
      <charset val="134"/>
    </font>
    <font>
      <sz val="10"/>
      <color theme="1"/>
      <name val="Arial"/>
      <charset val="134"/>
    </font>
    <font>
      <sz val="10"/>
      <color theme="1"/>
      <name val="宋体"/>
      <charset val="134"/>
    </font>
    <font>
      <sz val="10"/>
      <color rgb="FF000000"/>
      <name val="宋体"/>
      <charset val="134"/>
    </font>
    <font>
      <sz val="10"/>
      <color rgb="FF000000"/>
      <name val="微软雅黑"/>
      <charset val="134"/>
    </font>
    <font>
      <sz val="10"/>
      <color rgb="FF000000"/>
      <name val="等线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BACEFD"/>
        <bgColor indexed="64"/>
      </patternFill>
    </fill>
    <fill>
      <patternFill patternType="solid">
        <fgColor rgb="FFDEE0E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 applyNumberFormat="0" applyFont="0" applyFill="0" applyBorder="0" applyProtection="0"/>
    <xf numFmtId="43" fontId="25" fillId="0" borderId="0" applyFont="0" applyFill="0" applyBorder="0" applyAlignment="0" applyProtection="0">
      <alignment vertical="center"/>
    </xf>
    <xf numFmtId="44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2" fontId="25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5" fillId="13" borderId="27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28" applyNumberFormat="0" applyFill="0" applyAlignment="0" applyProtection="0">
      <alignment vertical="center"/>
    </xf>
    <xf numFmtId="0" fontId="32" fillId="0" borderId="28" applyNumberFormat="0" applyFill="0" applyAlignment="0" applyProtection="0">
      <alignment vertical="center"/>
    </xf>
    <xf numFmtId="0" fontId="33" fillId="0" borderId="29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14" borderId="30" applyNumberFormat="0" applyAlignment="0" applyProtection="0">
      <alignment vertical="center"/>
    </xf>
    <xf numFmtId="0" fontId="35" fillId="15" borderId="31" applyNumberFormat="0" applyAlignment="0" applyProtection="0">
      <alignment vertical="center"/>
    </xf>
    <xf numFmtId="0" fontId="36" fillId="15" borderId="30" applyNumberFormat="0" applyAlignment="0" applyProtection="0">
      <alignment vertical="center"/>
    </xf>
    <xf numFmtId="0" fontId="37" fillId="16" borderId="32" applyNumberFormat="0" applyAlignment="0" applyProtection="0">
      <alignment vertical="center"/>
    </xf>
    <xf numFmtId="0" fontId="38" fillId="0" borderId="33" applyNumberFormat="0" applyFill="0" applyAlignment="0" applyProtection="0">
      <alignment vertical="center"/>
    </xf>
    <xf numFmtId="0" fontId="39" fillId="0" borderId="34" applyNumberFormat="0" applyFill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2" fillId="0" borderId="0"/>
    <xf numFmtId="0" fontId="25" fillId="0" borderId="0">
      <alignment vertical="center"/>
    </xf>
    <xf numFmtId="0" fontId="25" fillId="0" borderId="0"/>
    <xf numFmtId="0" fontId="0" fillId="0" borderId="0">
      <alignment vertical="center"/>
    </xf>
    <xf numFmtId="0" fontId="0" fillId="0" borderId="0" applyNumberFormat="0" applyFont="0" applyFill="0" applyBorder="0" applyProtection="0"/>
  </cellStyleXfs>
  <cellXfs count="45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NumberForma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NumberForma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53" applyAlignment="1">
      <alignment vertical="center"/>
    </xf>
    <xf numFmtId="0" fontId="0" fillId="0" borderId="0" xfId="53" applyAlignment="1">
      <alignment horizontal="center" vertical="center"/>
    </xf>
    <xf numFmtId="0" fontId="2" fillId="0" borderId="0" xfId="49" applyFill="1" applyAlignment="1">
      <alignment vertical="center"/>
    </xf>
    <xf numFmtId="0" fontId="2" fillId="3" borderId="0" xfId="49" applyFill="1" applyAlignment="1">
      <alignment vertical="center"/>
    </xf>
    <xf numFmtId="0" fontId="2" fillId="4" borderId="0" xfId="49" applyFill="1" applyAlignment="1">
      <alignment vertical="center"/>
    </xf>
    <xf numFmtId="0" fontId="2" fillId="0" borderId="0" xfId="49" applyFill="1" applyBorder="1" applyAlignment="1">
      <alignment vertical="center"/>
    </xf>
    <xf numFmtId="0" fontId="2" fillId="0" borderId="0" xfId="49" applyBorder="1" applyAlignment="1">
      <alignment vertical="center"/>
    </xf>
    <xf numFmtId="0" fontId="2" fillId="0" borderId="1" xfId="49" applyFill="1" applyBorder="1" applyAlignment="1">
      <alignment vertical="center"/>
    </xf>
    <xf numFmtId="0" fontId="2" fillId="5" borderId="1" xfId="49" applyFill="1" applyBorder="1" applyAlignment="1">
      <alignment vertical="center"/>
    </xf>
    <xf numFmtId="0" fontId="2" fillId="0" borderId="1" xfId="49" applyBorder="1" applyAlignment="1">
      <alignment vertical="center"/>
    </xf>
    <xf numFmtId="0" fontId="2" fillId="3" borderId="1" xfId="49" applyFill="1" applyBorder="1" applyAlignment="1">
      <alignment vertical="center"/>
    </xf>
    <xf numFmtId="0" fontId="2" fillId="0" borderId="2" xfId="49" applyFill="1" applyBorder="1" applyAlignment="1">
      <alignment vertical="center"/>
    </xf>
    <xf numFmtId="0" fontId="2" fillId="0" borderId="0" xfId="49" applyAlignment="1">
      <alignment vertical="center"/>
    </xf>
    <xf numFmtId="0" fontId="2" fillId="0" borderId="0" xfId="49" applyAlignment="1">
      <alignment vertical="center" wrapText="1"/>
    </xf>
    <xf numFmtId="0" fontId="2" fillId="0" borderId="0" xfId="49" applyAlignment="1">
      <alignment horizontal="center" vertical="center"/>
    </xf>
    <xf numFmtId="0" fontId="2" fillId="0" borderId="0" xfId="49" applyNumberFormat="1" applyAlignment="1">
      <alignment vertical="center"/>
    </xf>
    <xf numFmtId="0" fontId="2" fillId="0" borderId="0" xfId="49" applyAlignment="1">
      <alignment horizontal="left" vertical="center"/>
    </xf>
    <xf numFmtId="49" fontId="3" fillId="6" borderId="3" xfId="49" applyNumberFormat="1" applyFont="1" applyFill="1" applyBorder="1" applyAlignment="1">
      <alignment horizontal="center" vertical="center" wrapText="1"/>
    </xf>
    <xf numFmtId="1" fontId="3" fillId="6" borderId="3" xfId="49" applyNumberFormat="1" applyFont="1" applyFill="1" applyBorder="1" applyAlignment="1">
      <alignment horizontal="center" vertical="center" wrapText="1"/>
    </xf>
    <xf numFmtId="0" fontId="3" fillId="6" borderId="3" xfId="49" applyNumberFormat="1" applyFont="1" applyFill="1" applyBorder="1" applyAlignment="1">
      <alignment horizontal="center" vertical="center" wrapText="1"/>
    </xf>
    <xf numFmtId="49" fontId="3" fillId="2" borderId="3" xfId="49" applyNumberFormat="1" applyFont="1" applyFill="1" applyBorder="1" applyAlignment="1">
      <alignment horizontal="center" vertical="center" wrapText="1"/>
    </xf>
    <xf numFmtId="0" fontId="3" fillId="2" borderId="3" xfId="49" applyFont="1" applyFill="1" applyBorder="1" applyAlignment="1">
      <alignment horizontal="center" vertical="center" wrapText="1"/>
    </xf>
    <xf numFmtId="0" fontId="3" fillId="6" borderId="3" xfId="49" applyFont="1" applyFill="1" applyBorder="1" applyAlignment="1">
      <alignment horizontal="center" vertical="center" wrapText="1"/>
    </xf>
    <xf numFmtId="0" fontId="4" fillId="6" borderId="3" xfId="49" applyFont="1" applyFill="1" applyBorder="1" applyAlignment="1">
      <alignment horizontal="center" vertical="center"/>
    </xf>
    <xf numFmtId="49" fontId="4" fillId="5" borderId="3" xfId="49" applyNumberFormat="1" applyFont="1" applyFill="1" applyBorder="1" applyAlignment="1">
      <alignment horizontal="left" vertical="center" wrapText="1"/>
    </xf>
    <xf numFmtId="0" fontId="5" fillId="5" borderId="3" xfId="49" applyNumberFormat="1" applyFont="1" applyFill="1" applyBorder="1" applyAlignment="1">
      <alignment horizontal="left" vertical="top" wrapText="1"/>
    </xf>
    <xf numFmtId="0" fontId="4" fillId="5" borderId="3" xfId="49" applyNumberFormat="1" applyFont="1" applyFill="1" applyBorder="1" applyAlignment="1">
      <alignment horizontal="center" vertical="center" wrapText="1"/>
    </xf>
    <xf numFmtId="1" fontId="4" fillId="5" borderId="3" xfId="49" applyNumberFormat="1" applyFont="1" applyFill="1" applyBorder="1" applyAlignment="1">
      <alignment horizontal="center" vertical="center" wrapText="1"/>
    </xf>
    <xf numFmtId="49" fontId="4" fillId="5" borderId="3" xfId="49" applyNumberFormat="1" applyFont="1" applyFill="1" applyBorder="1" applyAlignment="1">
      <alignment horizontal="center" vertical="center" wrapText="1"/>
    </xf>
    <xf numFmtId="49" fontId="4" fillId="5" borderId="3" xfId="49" applyNumberFormat="1" applyFont="1" applyFill="1" applyBorder="1" applyAlignment="1">
      <alignment vertical="center" wrapText="1"/>
    </xf>
    <xf numFmtId="0" fontId="4" fillId="5" borderId="3" xfId="49" applyFont="1" applyFill="1" applyBorder="1" applyAlignment="1">
      <alignment horizontal="left" vertical="center"/>
    </xf>
    <xf numFmtId="0" fontId="4" fillId="5" borderId="3" xfId="49" applyFont="1" applyFill="1" applyBorder="1" applyAlignment="1">
      <alignment vertical="center"/>
    </xf>
    <xf numFmtId="49" fontId="4" fillId="0" borderId="3" xfId="49" applyNumberFormat="1" applyFont="1" applyBorder="1" applyAlignment="1">
      <alignment horizontal="left" vertical="center" wrapText="1"/>
    </xf>
    <xf numFmtId="49" fontId="5" fillId="0" borderId="3" xfId="49" applyNumberFormat="1" applyFont="1" applyFill="1" applyBorder="1" applyAlignment="1">
      <alignment horizontal="left" vertical="center" wrapText="1"/>
    </xf>
    <xf numFmtId="0" fontId="4" fillId="0" borderId="3" xfId="49" applyFont="1" applyBorder="1" applyAlignment="1">
      <alignment horizontal="center" vertical="center"/>
    </xf>
    <xf numFmtId="1" fontId="4" fillId="0" borderId="3" xfId="49" applyNumberFormat="1" applyFont="1" applyBorder="1" applyAlignment="1">
      <alignment horizontal="center" vertical="center" wrapText="1"/>
    </xf>
    <xf numFmtId="0" fontId="4" fillId="0" borderId="3" xfId="49" applyFont="1" applyBorder="1" applyAlignment="1">
      <alignment horizontal="center" vertical="center" wrapText="1"/>
    </xf>
    <xf numFmtId="49" fontId="4" fillId="0" borderId="3" xfId="49" applyNumberFormat="1" applyFont="1" applyBorder="1" applyAlignment="1">
      <alignment horizontal="center" vertical="center" wrapText="1"/>
    </xf>
    <xf numFmtId="0" fontId="4" fillId="0" borderId="3" xfId="49" applyNumberFormat="1" applyFont="1" applyBorder="1" applyAlignment="1">
      <alignment horizontal="center" vertical="center" wrapText="1"/>
    </xf>
    <xf numFmtId="49" fontId="6" fillId="0" borderId="3" xfId="49" applyNumberFormat="1" applyFont="1" applyFill="1" applyBorder="1" applyAlignment="1">
      <alignment vertical="center" wrapText="1"/>
    </xf>
    <xf numFmtId="49" fontId="6" fillId="0" borderId="3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Border="1" applyAlignment="1">
      <alignment horizontal="left" vertical="center" wrapText="1"/>
    </xf>
    <xf numFmtId="0" fontId="4" fillId="0" borderId="3" xfId="49" applyFont="1" applyFill="1" applyBorder="1" applyAlignment="1">
      <alignment horizontal="left" vertical="center"/>
    </xf>
    <xf numFmtId="0" fontId="4" fillId="0" borderId="3" xfId="49" applyFont="1" applyBorder="1" applyAlignment="1">
      <alignment horizontal="left" vertical="center"/>
    </xf>
    <xf numFmtId="0" fontId="4" fillId="0" borderId="3" xfId="49" applyFont="1" applyBorder="1" applyAlignment="1">
      <alignment vertical="center"/>
    </xf>
    <xf numFmtId="49" fontId="7" fillId="0" borderId="3" xfId="49" applyNumberFormat="1" applyFont="1" applyFill="1" applyBorder="1" applyAlignment="1">
      <alignment horizontal="left" vertical="center" wrapText="1"/>
    </xf>
    <xf numFmtId="0" fontId="4" fillId="0" borderId="3" xfId="49" applyFont="1" applyFill="1" applyBorder="1" applyAlignment="1">
      <alignment horizontal="center" vertical="center"/>
    </xf>
    <xf numFmtId="1" fontId="4" fillId="0" borderId="3" xfId="49" applyNumberFormat="1" applyFont="1" applyFill="1" applyBorder="1" applyAlignment="1">
      <alignment horizontal="center" vertical="center" wrapText="1"/>
    </xf>
    <xf numFmtId="0" fontId="4" fillId="0" borderId="3" xfId="49" applyFont="1" applyFill="1" applyBorder="1" applyAlignment="1">
      <alignment horizontal="center" vertical="center" wrapText="1"/>
    </xf>
    <xf numFmtId="49" fontId="4" fillId="0" borderId="3" xfId="49" applyNumberFormat="1" applyFont="1" applyFill="1" applyBorder="1" applyAlignment="1">
      <alignment horizontal="center" vertical="center" wrapText="1"/>
    </xf>
    <xf numFmtId="0" fontId="8" fillId="0" borderId="3" xfId="49" applyFont="1" applyFill="1" applyBorder="1" applyAlignment="1">
      <alignment vertical="center" wrapText="1"/>
    </xf>
    <xf numFmtId="0" fontId="9" fillId="0" borderId="3" xfId="49" applyFont="1" applyFill="1" applyBorder="1" applyAlignment="1">
      <alignment horizontal="center" vertical="center" wrapText="1"/>
    </xf>
    <xf numFmtId="49" fontId="9" fillId="0" borderId="3" xfId="49" applyNumberFormat="1" applyFont="1" applyFill="1" applyBorder="1" applyAlignment="1">
      <alignment horizontal="left" vertical="center" wrapText="1"/>
    </xf>
    <xf numFmtId="0" fontId="4" fillId="0" borderId="3" xfId="49" applyFont="1" applyFill="1" applyBorder="1" applyAlignment="1">
      <alignment horizontal="left" vertical="center" wrapText="1"/>
    </xf>
    <xf numFmtId="49" fontId="9" fillId="0" borderId="3" xfId="49" applyNumberFormat="1" applyFont="1" applyFill="1" applyBorder="1" applyAlignment="1">
      <alignment vertical="center" wrapText="1"/>
    </xf>
    <xf numFmtId="49" fontId="9" fillId="0" borderId="3" xfId="49" applyNumberFormat="1" applyFont="1" applyFill="1" applyBorder="1" applyAlignment="1">
      <alignment horizontal="center" vertical="center" wrapText="1"/>
    </xf>
    <xf numFmtId="0" fontId="4" fillId="0" borderId="3" xfId="49" applyFont="1" applyBorder="1" applyAlignment="1">
      <alignment horizontal="left" vertical="center" wrapText="1"/>
    </xf>
    <xf numFmtId="49" fontId="4" fillId="0" borderId="3" xfId="49" applyNumberFormat="1" applyFont="1" applyFill="1" applyBorder="1" applyAlignment="1">
      <alignment horizontal="left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49" fontId="4" fillId="0" borderId="3" xfId="49" applyNumberFormat="1" applyFont="1" applyFill="1" applyBorder="1" applyAlignment="1">
      <alignment vertical="center" wrapText="1"/>
    </xf>
    <xf numFmtId="0" fontId="4" fillId="0" borderId="3" xfId="49" applyFont="1" applyFill="1" applyBorder="1" applyAlignment="1">
      <alignment vertical="center"/>
    </xf>
    <xf numFmtId="49" fontId="4" fillId="3" borderId="3" xfId="49" applyNumberFormat="1" applyFont="1" applyFill="1" applyBorder="1" applyAlignment="1">
      <alignment horizontal="left" vertical="center" wrapText="1"/>
    </xf>
    <xf numFmtId="0" fontId="4" fillId="3" borderId="3" xfId="49" applyFont="1" applyFill="1" applyBorder="1" applyAlignment="1">
      <alignment horizontal="left" vertical="center" wrapText="1"/>
    </xf>
    <xf numFmtId="0" fontId="4" fillId="3" borderId="3" xfId="49" applyFont="1" applyFill="1" applyBorder="1" applyAlignment="1">
      <alignment horizontal="center" vertical="center"/>
    </xf>
    <xf numFmtId="1" fontId="4" fillId="3" borderId="3" xfId="49" applyNumberFormat="1" applyFont="1" applyFill="1" applyBorder="1" applyAlignment="1">
      <alignment horizontal="center" vertical="center" wrapText="1"/>
    </xf>
    <xf numFmtId="0" fontId="4" fillId="3" borderId="3" xfId="49" applyFont="1" applyFill="1" applyBorder="1" applyAlignment="1">
      <alignment horizontal="center" vertical="center" wrapText="1"/>
    </xf>
    <xf numFmtId="49" fontId="4" fillId="3" borderId="3" xfId="49" applyNumberFormat="1" applyFont="1" applyFill="1" applyBorder="1" applyAlignment="1">
      <alignment horizontal="center" vertical="center" wrapText="1"/>
    </xf>
    <xf numFmtId="0" fontId="4" fillId="3" borderId="3" xfId="49" applyNumberFormat="1" applyFont="1" applyFill="1" applyBorder="1" applyAlignment="1">
      <alignment horizontal="center" vertical="center" wrapText="1"/>
    </xf>
    <xf numFmtId="0" fontId="4" fillId="3" borderId="3" xfId="49" applyFont="1" applyFill="1" applyBorder="1" applyAlignment="1">
      <alignment horizontal="left" vertical="center"/>
    </xf>
    <xf numFmtId="0" fontId="4" fillId="3" borderId="3" xfId="49" applyFont="1" applyFill="1" applyBorder="1" applyAlignment="1">
      <alignment vertical="center"/>
    </xf>
    <xf numFmtId="0" fontId="4" fillId="4" borderId="3" xfId="49" applyFont="1" applyFill="1" applyBorder="1" applyAlignment="1">
      <alignment vertical="center"/>
    </xf>
    <xf numFmtId="0" fontId="6" fillId="4" borderId="4" xfId="49" applyFont="1" applyFill="1" applyBorder="1" applyAlignment="1">
      <alignment horizontal="left" vertical="center"/>
    </xf>
    <xf numFmtId="0" fontId="6" fillId="3" borderId="1" xfId="49" applyFont="1" applyFill="1" applyBorder="1" applyAlignment="1">
      <alignment horizontal="left" wrapText="1"/>
    </xf>
    <xf numFmtId="0" fontId="4" fillId="4" borderId="5" xfId="49" applyFont="1" applyFill="1" applyBorder="1" applyAlignment="1">
      <alignment horizontal="center" vertical="center"/>
    </xf>
    <xf numFmtId="1" fontId="4" fillId="4" borderId="3" xfId="49" applyNumberFormat="1" applyFont="1" applyFill="1" applyBorder="1" applyAlignment="1">
      <alignment horizontal="center" vertical="center" wrapText="1"/>
    </xf>
    <xf numFmtId="0" fontId="4" fillId="4" borderId="3" xfId="49" applyFont="1" applyFill="1" applyBorder="1" applyAlignment="1">
      <alignment horizontal="center" vertical="center"/>
    </xf>
    <xf numFmtId="49" fontId="4" fillId="4" borderId="3" xfId="49" applyNumberFormat="1" applyFont="1" applyFill="1" applyBorder="1" applyAlignment="1">
      <alignment horizontal="center" vertical="center" wrapText="1"/>
    </xf>
    <xf numFmtId="0" fontId="4" fillId="4" borderId="3" xfId="49" applyNumberFormat="1" applyFont="1" applyFill="1" applyBorder="1" applyAlignment="1">
      <alignment horizontal="center" vertical="center" wrapText="1"/>
    </xf>
    <xf numFmtId="0" fontId="4" fillId="4" borderId="3" xfId="49" applyFont="1" applyFill="1" applyBorder="1" applyAlignment="1">
      <alignment vertical="center" wrapText="1"/>
    </xf>
    <xf numFmtId="0" fontId="4" fillId="4" borderId="5" xfId="49" applyFont="1" applyFill="1" applyBorder="1" applyAlignment="1">
      <alignment horizontal="center" vertical="center" wrapText="1"/>
    </xf>
    <xf numFmtId="49" fontId="4" fillId="4" borderId="3" xfId="49" applyNumberFormat="1" applyFont="1" applyFill="1" applyBorder="1" applyAlignment="1">
      <alignment horizontal="left" vertical="center"/>
    </xf>
    <xf numFmtId="0" fontId="4" fillId="4" borderId="4" xfId="49" applyFont="1" applyFill="1" applyBorder="1" applyAlignment="1">
      <alignment horizontal="left" vertical="center"/>
    </xf>
    <xf numFmtId="0" fontId="4" fillId="4" borderId="3" xfId="49" applyFont="1" applyFill="1" applyBorder="1" applyAlignment="1">
      <alignment horizontal="left" vertical="center"/>
    </xf>
    <xf numFmtId="176" fontId="4" fillId="4" borderId="3" xfId="49" applyNumberFormat="1" applyFont="1" applyFill="1" applyBorder="1" applyAlignment="1">
      <alignment vertical="center"/>
    </xf>
    <xf numFmtId="0" fontId="6" fillId="0" borderId="3" xfId="49" applyFont="1" applyFill="1" applyBorder="1" applyAlignment="1">
      <alignment horizontal="left" vertical="center"/>
    </xf>
    <xf numFmtId="0" fontId="6" fillId="0" borderId="3" xfId="49" applyFont="1" applyFill="1" applyBorder="1" applyAlignment="1">
      <alignment horizontal="left" vertical="center" wrapText="1"/>
    </xf>
    <xf numFmtId="0" fontId="6" fillId="0" borderId="3" xfId="49" applyFont="1" applyFill="1" applyBorder="1" applyAlignment="1">
      <alignment horizontal="center" vertical="center"/>
    </xf>
    <xf numFmtId="0" fontId="6" fillId="0" borderId="3" xfId="49" applyNumberFormat="1" applyFont="1" applyFill="1" applyBorder="1" applyAlignment="1">
      <alignment horizontal="center" vertical="center"/>
    </xf>
    <xf numFmtId="49" fontId="10" fillId="0" borderId="3" xfId="49" applyNumberFormat="1" applyFont="1" applyFill="1" applyBorder="1" applyAlignment="1">
      <alignment horizontal="center" vertical="center" wrapText="1"/>
    </xf>
    <xf numFmtId="176" fontId="4" fillId="0" borderId="3" xfId="49" applyNumberFormat="1" applyFont="1" applyBorder="1" applyAlignment="1">
      <alignment horizontal="center" vertical="center"/>
    </xf>
    <xf numFmtId="0" fontId="4" fillId="0" borderId="3" xfId="49" applyFont="1" applyFill="1" applyBorder="1" applyAlignment="1">
      <alignment vertical="center" wrapText="1"/>
    </xf>
    <xf numFmtId="0" fontId="9" fillId="3" borderId="3" xfId="49" applyFont="1" applyFill="1" applyBorder="1" applyAlignment="1">
      <alignment horizontal="center" vertical="center"/>
    </xf>
    <xf numFmtId="1" fontId="9" fillId="3" borderId="3" xfId="49" applyNumberFormat="1" applyFont="1" applyFill="1" applyBorder="1" applyAlignment="1">
      <alignment horizontal="center" vertical="center" wrapText="1"/>
    </xf>
    <xf numFmtId="0" fontId="4" fillId="3" borderId="4" xfId="49" applyNumberFormat="1" applyFont="1" applyFill="1" applyBorder="1" applyAlignment="1">
      <alignment horizontal="center" vertical="center" wrapText="1"/>
    </xf>
    <xf numFmtId="49" fontId="4" fillId="3" borderId="5" xfId="49" applyNumberFormat="1" applyFont="1" applyFill="1" applyBorder="1" applyAlignment="1">
      <alignment horizontal="center" vertical="center" wrapText="1"/>
    </xf>
    <xf numFmtId="0" fontId="4" fillId="0" borderId="4" xfId="49" applyNumberFormat="1" applyFont="1" applyFill="1" applyBorder="1" applyAlignment="1">
      <alignment horizontal="center" vertical="center" wrapText="1"/>
    </xf>
    <xf numFmtId="49" fontId="4" fillId="0" borderId="5" xfId="49" applyNumberFormat="1" applyFont="1" applyFill="1" applyBorder="1" applyAlignment="1">
      <alignment horizontal="center" vertical="center" wrapText="1"/>
    </xf>
    <xf numFmtId="49" fontId="4" fillId="0" borderId="6" xfId="49" applyNumberFormat="1" applyFont="1" applyFill="1" applyBorder="1" applyAlignment="1">
      <alignment horizontal="left" vertical="center" wrapText="1"/>
    </xf>
    <xf numFmtId="176" fontId="4" fillId="0" borderId="3" xfId="49" applyNumberFormat="1" applyFont="1" applyFill="1" applyBorder="1" applyAlignment="1">
      <alignment horizontal="center" vertical="center"/>
    </xf>
    <xf numFmtId="49" fontId="6" fillId="0" borderId="3" xfId="49" applyNumberFormat="1" applyFont="1" applyFill="1" applyBorder="1" applyAlignment="1">
      <alignment horizontal="left" vertical="center" wrapText="1"/>
    </xf>
    <xf numFmtId="0" fontId="9" fillId="0" borderId="3" xfId="49" applyFont="1" applyFill="1" applyBorder="1" applyAlignment="1">
      <alignment horizontal="center" vertical="center"/>
    </xf>
    <xf numFmtId="1" fontId="9" fillId="0" borderId="3" xfId="49" applyNumberFormat="1" applyFont="1" applyFill="1" applyBorder="1" applyAlignment="1">
      <alignment horizontal="center" vertical="center" wrapText="1"/>
    </xf>
    <xf numFmtId="49" fontId="4" fillId="0" borderId="4" xfId="49" applyNumberFormat="1" applyFont="1" applyFill="1" applyBorder="1" applyAlignment="1">
      <alignment horizontal="center" vertical="center" wrapText="1"/>
    </xf>
    <xf numFmtId="49" fontId="4" fillId="0" borderId="3" xfId="49" applyNumberFormat="1" applyFont="1" applyFill="1" applyBorder="1" applyAlignment="1">
      <alignment vertical="center"/>
    </xf>
    <xf numFmtId="49" fontId="4" fillId="0" borderId="4" xfId="49" applyNumberFormat="1" applyFont="1" applyFill="1" applyBorder="1" applyAlignment="1">
      <alignment horizontal="left" vertical="center" wrapText="1"/>
    </xf>
    <xf numFmtId="176" fontId="4" fillId="0" borderId="3" xfId="49" applyNumberFormat="1" applyFont="1" applyFill="1" applyBorder="1" applyAlignment="1">
      <alignment vertical="center"/>
    </xf>
    <xf numFmtId="49" fontId="4" fillId="0" borderId="5" xfId="49" applyNumberFormat="1" applyFont="1" applyFill="1" applyBorder="1" applyAlignment="1">
      <alignment horizontal="center" vertical="center"/>
    </xf>
    <xf numFmtId="0" fontId="9" fillId="0" borderId="3" xfId="49" applyFont="1" applyFill="1" applyBorder="1" applyAlignment="1">
      <alignment horizontal="left" vertical="center"/>
    </xf>
    <xf numFmtId="0" fontId="9" fillId="0" borderId="3" xfId="49" applyFont="1" applyFill="1" applyBorder="1" applyAlignment="1">
      <alignment horizontal="left" vertical="center" wrapText="1"/>
    </xf>
    <xf numFmtId="0" fontId="4" fillId="0" borderId="3" xfId="49" applyNumberFormat="1" applyFont="1" applyFill="1" applyBorder="1" applyAlignment="1">
      <alignment horizontal="center" vertical="center"/>
    </xf>
    <xf numFmtId="0" fontId="4" fillId="0" borderId="5" xfId="49" applyFont="1" applyFill="1" applyBorder="1" applyAlignment="1">
      <alignment horizontal="center" vertical="center"/>
    </xf>
    <xf numFmtId="49" fontId="4" fillId="0" borderId="3" xfId="49" applyNumberFormat="1" applyFont="1" applyFill="1" applyBorder="1" applyAlignment="1">
      <alignment horizontal="left" vertical="center"/>
    </xf>
    <xf numFmtId="0" fontId="6" fillId="0" borderId="4" xfId="49" applyFont="1" applyFill="1" applyBorder="1" applyAlignment="1">
      <alignment horizontal="left" vertical="center"/>
    </xf>
    <xf numFmtId="0" fontId="4" fillId="0" borderId="4" xfId="49" applyFont="1" applyFill="1" applyBorder="1" applyAlignment="1">
      <alignment horizontal="center" vertical="center"/>
    </xf>
    <xf numFmtId="0" fontId="9" fillId="0" borderId="4" xfId="49" applyFont="1" applyFill="1" applyBorder="1" applyAlignment="1">
      <alignment horizontal="left" vertical="center"/>
    </xf>
    <xf numFmtId="0" fontId="9" fillId="0" borderId="1" xfId="49" applyFont="1" applyFill="1" applyBorder="1" applyAlignment="1">
      <alignment horizontal="left" wrapText="1"/>
    </xf>
    <xf numFmtId="0" fontId="9" fillId="0" borderId="5" xfId="49" applyFont="1" applyFill="1" applyBorder="1" applyAlignment="1">
      <alignment horizontal="center" vertical="center"/>
    </xf>
    <xf numFmtId="0" fontId="4" fillId="0" borderId="4" xfId="49" applyFont="1" applyFill="1" applyBorder="1" applyAlignment="1">
      <alignment horizontal="left" vertical="center"/>
    </xf>
    <xf numFmtId="0" fontId="6" fillId="0" borderId="1" xfId="49" applyFont="1" applyFill="1" applyBorder="1" applyAlignment="1">
      <alignment horizontal="left" wrapText="1"/>
    </xf>
    <xf numFmtId="0" fontId="6" fillId="0" borderId="1" xfId="49" applyFont="1" applyFill="1" applyBorder="1" applyAlignment="1">
      <alignment horizontal="left" vertical="center" wrapText="1"/>
    </xf>
    <xf numFmtId="0" fontId="4" fillId="0" borderId="5" xfId="49" applyFont="1" applyFill="1" applyBorder="1" applyAlignment="1">
      <alignment horizontal="center" vertical="center" wrapText="1"/>
    </xf>
    <xf numFmtId="176" fontId="4" fillId="0" borderId="3" xfId="49" applyNumberFormat="1" applyFont="1" applyBorder="1" applyAlignment="1">
      <alignment vertical="center"/>
    </xf>
    <xf numFmtId="0" fontId="6" fillId="0" borderId="7" xfId="49" applyFont="1" applyFill="1" applyBorder="1" applyAlignment="1">
      <alignment horizontal="left" vertical="center"/>
    </xf>
    <xf numFmtId="0" fontId="6" fillId="0" borderId="2" xfId="49" applyFont="1" applyFill="1" applyBorder="1" applyAlignment="1">
      <alignment horizontal="left" vertical="center" wrapText="1"/>
    </xf>
    <xf numFmtId="0" fontId="4" fillId="3" borderId="5" xfId="49" applyFont="1" applyFill="1" applyBorder="1" applyAlignment="1">
      <alignment horizontal="center" vertical="center"/>
    </xf>
    <xf numFmtId="0" fontId="4" fillId="3" borderId="3" xfId="49" applyFont="1" applyFill="1" applyBorder="1" applyAlignment="1">
      <alignment vertical="center" wrapText="1"/>
    </xf>
    <xf numFmtId="0" fontId="4" fillId="3" borderId="5" xfId="49" applyFont="1" applyFill="1" applyBorder="1" applyAlignment="1">
      <alignment horizontal="center" vertical="center" wrapText="1"/>
    </xf>
    <xf numFmtId="49" fontId="4" fillId="3" borderId="3" xfId="49" applyNumberFormat="1" applyFont="1" applyFill="1" applyBorder="1" applyAlignment="1">
      <alignment horizontal="left" vertical="center"/>
    </xf>
    <xf numFmtId="0" fontId="4" fillId="3" borderId="4" xfId="49" applyFont="1" applyFill="1" applyBorder="1" applyAlignment="1">
      <alignment horizontal="left" vertical="center"/>
    </xf>
    <xf numFmtId="176" fontId="4" fillId="3" borderId="3" xfId="49" applyNumberFormat="1" applyFont="1" applyFill="1" applyBorder="1" applyAlignment="1">
      <alignment vertical="center"/>
    </xf>
    <xf numFmtId="176" fontId="4" fillId="0" borderId="3" xfId="49" applyNumberFormat="1" applyFont="1" applyFill="1" applyBorder="1" applyAlignment="1">
      <alignment horizontal="center" vertical="center" wrapText="1"/>
    </xf>
    <xf numFmtId="49" fontId="4" fillId="0" borderId="8" xfId="49" applyNumberFormat="1" applyFont="1" applyFill="1" applyBorder="1" applyAlignment="1">
      <alignment horizontal="left" vertical="center" wrapText="1"/>
    </xf>
    <xf numFmtId="0" fontId="4" fillId="5" borderId="3" xfId="49" applyFont="1" applyFill="1" applyBorder="1" applyAlignment="1">
      <alignment vertical="center" wrapText="1"/>
    </xf>
    <xf numFmtId="49" fontId="4" fillId="0" borderId="3" xfId="49" applyNumberFormat="1" applyFont="1" applyBorder="1" applyAlignment="1">
      <alignment vertical="center" wrapText="1"/>
    </xf>
    <xf numFmtId="0" fontId="4" fillId="5" borderId="3" xfId="49" applyNumberFormat="1" applyFont="1" applyFill="1" applyBorder="1" applyAlignment="1">
      <alignment vertical="center" wrapText="1"/>
    </xf>
    <xf numFmtId="49" fontId="4" fillId="3" borderId="3" xfId="49" applyNumberFormat="1" applyFont="1" applyFill="1" applyBorder="1" applyAlignment="1">
      <alignment horizontal="center" vertical="center"/>
    </xf>
    <xf numFmtId="0" fontId="6" fillId="0" borderId="3" xfId="49" applyFont="1" applyFill="1" applyBorder="1" applyAlignment="1">
      <alignment vertical="center" wrapText="1"/>
    </xf>
    <xf numFmtId="0" fontId="6" fillId="0" borderId="3" xfId="49" applyFont="1" applyFill="1" applyBorder="1" applyAlignment="1">
      <alignment horizontal="center" vertical="center" wrapText="1"/>
    </xf>
    <xf numFmtId="0" fontId="11" fillId="0" borderId="3" xfId="49" applyFont="1" applyFill="1" applyBorder="1" applyAlignment="1">
      <alignment vertical="center" wrapText="1"/>
    </xf>
    <xf numFmtId="0" fontId="9" fillId="0" borderId="3" xfId="49" applyFont="1" applyFill="1" applyBorder="1" applyAlignment="1">
      <alignment vertical="center" wrapText="1"/>
    </xf>
    <xf numFmtId="0" fontId="4" fillId="0" borderId="3" xfId="49" applyFont="1" applyBorder="1" applyAlignment="1">
      <alignment vertical="center" wrapText="1"/>
    </xf>
    <xf numFmtId="177" fontId="4" fillId="0" borderId="3" xfId="49" applyNumberFormat="1" applyFont="1" applyFill="1" applyBorder="1" applyAlignment="1">
      <alignment horizontal="center" vertical="center" wrapText="1"/>
    </xf>
    <xf numFmtId="177" fontId="4" fillId="0" borderId="3" xfId="49" applyNumberFormat="1" applyFont="1" applyBorder="1" applyAlignment="1">
      <alignment horizontal="center" vertical="center" wrapText="1"/>
    </xf>
    <xf numFmtId="49" fontId="4" fillId="3" borderId="6" xfId="49" applyNumberFormat="1" applyFont="1" applyFill="1" applyBorder="1" applyAlignment="1">
      <alignment horizontal="left" vertical="center" wrapText="1"/>
    </xf>
    <xf numFmtId="49" fontId="4" fillId="3" borderId="6" xfId="49" applyNumberFormat="1" applyFont="1" applyFill="1" applyBorder="1" applyAlignment="1">
      <alignment vertical="center" wrapText="1"/>
    </xf>
    <xf numFmtId="0" fontId="4" fillId="3" borderId="6" xfId="49" applyFont="1" applyFill="1" applyBorder="1" applyAlignment="1">
      <alignment horizontal="center" vertical="center" wrapText="1"/>
    </xf>
    <xf numFmtId="49" fontId="4" fillId="3" borderId="6" xfId="49" applyNumberFormat="1" applyFont="1" applyFill="1" applyBorder="1" applyAlignment="1">
      <alignment horizontal="center" vertical="center" wrapText="1"/>
    </xf>
    <xf numFmtId="0" fontId="4" fillId="3" borderId="6" xfId="49" applyFont="1" applyFill="1" applyBorder="1" applyAlignment="1">
      <alignment horizontal="left" vertical="center"/>
    </xf>
    <xf numFmtId="0" fontId="4" fillId="3" borderId="6" xfId="49" applyFont="1" applyFill="1" applyBorder="1" applyAlignment="1">
      <alignment vertical="center"/>
    </xf>
    <xf numFmtId="49" fontId="4" fillId="0" borderId="6" xfId="49" applyNumberFormat="1" applyFont="1" applyFill="1" applyBorder="1" applyAlignment="1">
      <alignment vertical="center" wrapText="1"/>
    </xf>
    <xf numFmtId="0" fontId="4" fillId="0" borderId="6" xfId="49" applyFont="1" applyFill="1" applyBorder="1" applyAlignment="1">
      <alignment horizontal="left" vertical="center"/>
    </xf>
    <xf numFmtId="0" fontId="4" fillId="0" borderId="6" xfId="49" applyFont="1" applyFill="1" applyBorder="1" applyAlignment="1">
      <alignment horizontal="center" vertical="center" wrapText="1"/>
    </xf>
    <xf numFmtId="49" fontId="4" fillId="0" borderId="6" xfId="49" applyNumberFormat="1" applyFont="1" applyFill="1" applyBorder="1" applyAlignment="1">
      <alignment horizontal="center" vertical="center" wrapText="1"/>
    </xf>
    <xf numFmtId="0" fontId="4" fillId="0" borderId="6" xfId="49" applyFont="1" applyFill="1" applyBorder="1" applyAlignment="1">
      <alignment vertical="center"/>
    </xf>
    <xf numFmtId="0" fontId="4" fillId="0" borderId="5" xfId="49" applyFont="1" applyFill="1" applyBorder="1" applyAlignment="1">
      <alignment horizontal="left" vertical="center"/>
    </xf>
    <xf numFmtId="0" fontId="4" fillId="5" borderId="3" xfId="49" applyFont="1" applyFill="1" applyBorder="1" applyAlignment="1">
      <alignment horizontal="center" vertical="center" wrapText="1"/>
    </xf>
    <xf numFmtId="49" fontId="12" fillId="5" borderId="3" xfId="49" applyNumberFormat="1" applyFont="1" applyFill="1" applyBorder="1" applyAlignment="1">
      <alignment vertical="center" wrapText="1"/>
    </xf>
    <xf numFmtId="0" fontId="4" fillId="5" borderId="8" xfId="49" applyFont="1" applyFill="1" applyBorder="1" applyAlignment="1">
      <alignment horizontal="left" vertical="center"/>
    </xf>
    <xf numFmtId="49" fontId="12" fillId="0" borderId="3" xfId="49" applyNumberFormat="1" applyFont="1" applyBorder="1" applyAlignment="1">
      <alignment vertical="center" wrapText="1"/>
    </xf>
    <xf numFmtId="0" fontId="4" fillId="7" borderId="3" xfId="49" applyFont="1" applyFill="1" applyBorder="1" applyAlignment="1">
      <alignment horizontal="left" vertical="center"/>
    </xf>
    <xf numFmtId="49" fontId="4" fillId="3" borderId="3" xfId="49" applyNumberFormat="1" applyFont="1" applyFill="1" applyBorder="1" applyAlignment="1">
      <alignment vertical="center" wrapText="1"/>
    </xf>
    <xf numFmtId="49" fontId="12" fillId="3" borderId="3" xfId="49" applyNumberFormat="1" applyFont="1" applyFill="1" applyBorder="1" applyAlignment="1">
      <alignment vertical="center" wrapText="1"/>
    </xf>
    <xf numFmtId="49" fontId="6" fillId="0" borderId="3" xfId="49" applyNumberFormat="1" applyFont="1" applyBorder="1" applyAlignment="1">
      <alignment vertical="center" wrapText="1"/>
    </xf>
    <xf numFmtId="49" fontId="6" fillId="0" borderId="3" xfId="49" applyNumberFormat="1" applyFont="1" applyBorder="1" applyAlignment="1">
      <alignment horizontal="center" vertical="center" wrapText="1"/>
    </xf>
    <xf numFmtId="49" fontId="6" fillId="0" borderId="3" xfId="49" applyNumberFormat="1" applyFont="1" applyBorder="1" applyAlignment="1">
      <alignment horizontal="left" vertical="center" wrapText="1"/>
    </xf>
    <xf numFmtId="49" fontId="4" fillId="0" borderId="6" xfId="49" applyNumberFormat="1" applyFont="1" applyBorder="1" applyAlignment="1">
      <alignment horizontal="left" vertical="center" wrapText="1"/>
    </xf>
    <xf numFmtId="49" fontId="4" fillId="0" borderId="6" xfId="49" applyNumberFormat="1" applyFont="1" applyBorder="1" applyAlignment="1">
      <alignment vertical="center" wrapText="1"/>
    </xf>
    <xf numFmtId="0" fontId="4" fillId="0" borderId="6" xfId="49" applyFont="1" applyBorder="1" applyAlignment="1">
      <alignment horizontal="center" vertical="center"/>
    </xf>
    <xf numFmtId="1" fontId="4" fillId="0" borderId="6" xfId="49" applyNumberFormat="1" applyFont="1" applyBorder="1" applyAlignment="1">
      <alignment horizontal="center" vertical="center" wrapText="1"/>
    </xf>
    <xf numFmtId="0" fontId="4" fillId="0" borderId="6" xfId="49" applyFont="1" applyBorder="1" applyAlignment="1">
      <alignment horizontal="center" vertical="center" wrapText="1"/>
    </xf>
    <xf numFmtId="49" fontId="4" fillId="0" borderId="6" xfId="49" applyNumberFormat="1" applyFont="1" applyBorder="1" applyAlignment="1">
      <alignment horizontal="center" vertical="center" wrapText="1"/>
    </xf>
    <xf numFmtId="0" fontId="4" fillId="0" borderId="6" xfId="49" applyNumberFormat="1" applyFont="1" applyFill="1" applyBorder="1" applyAlignment="1">
      <alignment horizontal="center" vertical="center" wrapText="1"/>
    </xf>
    <xf numFmtId="49" fontId="6" fillId="0" borderId="6" xfId="49" applyNumberFormat="1" applyFont="1" applyBorder="1" applyAlignment="1">
      <alignment vertical="center" wrapText="1"/>
    </xf>
    <xf numFmtId="49" fontId="6" fillId="0" borderId="6" xfId="49" applyNumberFormat="1" applyFont="1" applyBorder="1" applyAlignment="1">
      <alignment horizontal="center" vertical="center" wrapText="1"/>
    </xf>
    <xf numFmtId="0" fontId="4" fillId="0" borderId="6" xfId="49" applyFont="1" applyBorder="1" applyAlignment="1">
      <alignment horizontal="left" vertical="center"/>
    </xf>
    <xf numFmtId="0" fontId="4" fillId="0" borderId="6" xfId="49" applyFont="1" applyBorder="1" applyAlignment="1">
      <alignment vertical="center"/>
    </xf>
    <xf numFmtId="49" fontId="12" fillId="0" borderId="3" xfId="49" applyNumberFormat="1" applyFont="1" applyFill="1" applyBorder="1" applyAlignment="1">
      <alignment vertical="center" wrapText="1"/>
    </xf>
    <xf numFmtId="49" fontId="4" fillId="5" borderId="8" xfId="49" applyNumberFormat="1" applyFont="1" applyFill="1" applyBorder="1" applyAlignment="1">
      <alignment horizontal="left" vertical="center" wrapText="1"/>
    </xf>
    <xf numFmtId="0" fontId="2" fillId="5" borderId="9" xfId="49" applyFill="1" applyBorder="1" applyAlignment="1">
      <alignment vertical="center"/>
    </xf>
    <xf numFmtId="0" fontId="2" fillId="5" borderId="9" xfId="49" applyFill="1" applyBorder="1" applyAlignment="1">
      <alignment vertical="center" wrapText="1"/>
    </xf>
    <xf numFmtId="0" fontId="2" fillId="5" borderId="9" xfId="49" applyFill="1" applyBorder="1" applyAlignment="1">
      <alignment horizontal="center" vertical="center"/>
    </xf>
    <xf numFmtId="0" fontId="4" fillId="5" borderId="8" xfId="49" applyNumberFormat="1" applyFont="1" applyFill="1" applyBorder="1" applyAlignment="1">
      <alignment horizontal="center" vertical="center" wrapText="1"/>
    </xf>
    <xf numFmtId="0" fontId="2" fillId="5" borderId="9" xfId="49" applyFill="1" applyBorder="1" applyAlignment="1">
      <alignment horizontal="left" vertical="center"/>
    </xf>
    <xf numFmtId="0" fontId="4" fillId="0" borderId="1" xfId="49" applyFont="1" applyBorder="1" applyAlignment="1">
      <alignment vertical="center"/>
    </xf>
    <xf numFmtId="0" fontId="4" fillId="0" borderId="1" xfId="49" applyFont="1" applyBorder="1" applyAlignment="1">
      <alignment horizontal="left" vertical="center"/>
    </xf>
    <xf numFmtId="0" fontId="4" fillId="0" borderId="1" xfId="49" applyFont="1" applyFill="1" applyBorder="1" applyAlignment="1">
      <alignment horizontal="left" vertical="center" wrapText="1"/>
    </xf>
    <xf numFmtId="0" fontId="4" fillId="0" borderId="1" xfId="49" applyFont="1" applyFill="1" applyBorder="1" applyAlignment="1">
      <alignment horizontal="center" vertical="center"/>
    </xf>
    <xf numFmtId="0" fontId="4" fillId="0" borderId="1" xfId="49" applyFont="1" applyFill="1" applyBorder="1" applyAlignment="1">
      <alignment horizontal="center" vertical="center" wrapText="1"/>
    </xf>
    <xf numFmtId="49" fontId="4" fillId="0" borderId="1" xfId="49" applyNumberFormat="1" applyFont="1" applyFill="1" applyBorder="1" applyAlignment="1">
      <alignment horizontal="center" vertical="center" wrapText="1"/>
    </xf>
    <xf numFmtId="0" fontId="4" fillId="0" borderId="1" xfId="49" applyFont="1" applyFill="1" applyBorder="1" applyAlignment="1">
      <alignment vertical="center" wrapText="1"/>
    </xf>
    <xf numFmtId="0" fontId="4" fillId="0" borderId="1" xfId="49" applyFont="1" applyFill="1" applyBorder="1" applyAlignment="1">
      <alignment horizontal="left" vertical="center"/>
    </xf>
    <xf numFmtId="1" fontId="4" fillId="0" borderId="1" xfId="49" applyNumberFormat="1" applyFont="1" applyFill="1" applyBorder="1" applyAlignment="1">
      <alignment horizontal="center" vertical="center" wrapText="1"/>
    </xf>
    <xf numFmtId="49" fontId="4" fillId="0" borderId="1" xfId="49" applyNumberFormat="1" applyFont="1" applyFill="1" applyBorder="1" applyAlignment="1">
      <alignment horizontal="left" vertical="center" wrapText="1"/>
    </xf>
    <xf numFmtId="0" fontId="4" fillId="0" borderId="2" xfId="49" applyFont="1" applyBorder="1" applyAlignment="1">
      <alignment vertical="center"/>
    </xf>
    <xf numFmtId="49" fontId="4" fillId="0" borderId="2" xfId="49" applyNumberFormat="1" applyFont="1" applyBorder="1" applyAlignment="1">
      <alignment horizontal="left" vertical="center" wrapText="1"/>
    </xf>
    <xf numFmtId="0" fontId="4" fillId="0" borderId="2" xfId="49" applyFont="1" applyFill="1" applyBorder="1" applyAlignment="1">
      <alignment horizontal="left" vertical="center" wrapText="1"/>
    </xf>
    <xf numFmtId="0" fontId="4" fillId="0" borderId="2" xfId="49" applyFont="1" applyFill="1" applyBorder="1" applyAlignment="1">
      <alignment horizontal="center" vertical="center"/>
    </xf>
    <xf numFmtId="1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Font="1" applyFill="1" applyBorder="1" applyAlignment="1">
      <alignment horizontal="center" vertical="center" wrapText="1"/>
    </xf>
    <xf numFmtId="0" fontId="4" fillId="3" borderId="2" xfId="49" applyFont="1" applyFill="1" applyBorder="1" applyAlignment="1">
      <alignment horizontal="center" vertical="center" wrapText="1"/>
    </xf>
    <xf numFmtId="49" fontId="4" fillId="0" borderId="2" xfId="49" applyNumberFormat="1" applyFont="1" applyFill="1" applyBorder="1" applyAlignment="1">
      <alignment horizontal="center" vertical="center" wrapText="1"/>
    </xf>
    <xf numFmtId="49" fontId="4" fillId="0" borderId="2" xfId="49" applyNumberFormat="1" applyFont="1" applyFill="1" applyBorder="1" applyAlignment="1">
      <alignment horizontal="left" vertical="center" wrapText="1"/>
    </xf>
    <xf numFmtId="0" fontId="4" fillId="0" borderId="2" xfId="49" applyFont="1" applyBorder="1" applyAlignment="1">
      <alignment horizontal="left" vertical="center"/>
    </xf>
    <xf numFmtId="0" fontId="4" fillId="0" borderId="2" xfId="49" applyFont="1" applyFill="1" applyBorder="1" applyAlignment="1">
      <alignment horizontal="left" vertical="center"/>
    </xf>
    <xf numFmtId="0" fontId="4" fillId="0" borderId="1" xfId="49" applyFont="1" applyFill="1" applyBorder="1" applyAlignment="1">
      <alignment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0" fillId="5" borderId="9" xfId="49" applyFont="1" applyFill="1" applyBorder="1" applyAlignment="1">
      <alignment horizontal="center" vertical="center"/>
    </xf>
    <xf numFmtId="0" fontId="2" fillId="5" borderId="0" xfId="49" applyFill="1" applyBorder="1" applyAlignment="1">
      <alignment horizontal="center" vertical="center"/>
    </xf>
    <xf numFmtId="49" fontId="4" fillId="0" borderId="1" xfId="49" applyNumberFormat="1" applyFont="1" applyBorder="1" applyAlignment="1">
      <alignment horizontal="left" vertical="center" wrapText="1"/>
    </xf>
    <xf numFmtId="49" fontId="4" fillId="0" borderId="1" xfId="49" applyNumberFormat="1" applyFont="1" applyBorder="1" applyAlignment="1">
      <alignment vertical="center" wrapText="1"/>
    </xf>
    <xf numFmtId="0" fontId="4" fillId="0" borderId="1" xfId="49" applyFont="1" applyBorder="1" applyAlignment="1">
      <alignment horizontal="center" vertical="center"/>
    </xf>
    <xf numFmtId="1" fontId="4" fillId="0" borderId="1" xfId="49" applyNumberFormat="1" applyFont="1" applyBorder="1" applyAlignment="1">
      <alignment horizontal="center" vertical="center" wrapText="1"/>
    </xf>
    <xf numFmtId="0" fontId="4" fillId="0" borderId="1" xfId="49" applyFont="1" applyBorder="1" applyAlignment="1">
      <alignment horizontal="center" vertical="center" wrapText="1"/>
    </xf>
    <xf numFmtId="49" fontId="4" fillId="0" borderId="1" xfId="49" applyNumberFormat="1" applyFont="1" applyBorder="1" applyAlignment="1">
      <alignment horizontal="center" vertical="center" wrapText="1"/>
    </xf>
    <xf numFmtId="49" fontId="6" fillId="0" borderId="1" xfId="49" applyNumberFormat="1" applyFont="1" applyBorder="1" applyAlignment="1">
      <alignment vertical="center" wrapText="1"/>
    </xf>
    <xf numFmtId="49" fontId="6" fillId="0" borderId="1" xfId="49" applyNumberFormat="1" applyFont="1" applyBorder="1" applyAlignment="1">
      <alignment horizontal="center" vertical="center" wrapText="1"/>
    </xf>
    <xf numFmtId="49" fontId="6" fillId="0" borderId="6" xfId="49" applyNumberFormat="1" applyFont="1" applyFill="1" applyBorder="1" applyAlignment="1">
      <alignment vertical="center" wrapText="1"/>
    </xf>
    <xf numFmtId="49" fontId="6" fillId="0" borderId="6" xfId="49" applyNumberFormat="1" applyFont="1" applyFill="1" applyBorder="1" applyAlignment="1">
      <alignment horizontal="center" vertical="center" wrapText="1"/>
    </xf>
    <xf numFmtId="49" fontId="4" fillId="5" borderId="1" xfId="49" applyNumberFormat="1" applyFont="1" applyFill="1" applyBorder="1" applyAlignment="1">
      <alignment horizontal="left" vertical="center" wrapText="1"/>
    </xf>
    <xf numFmtId="0" fontId="4" fillId="5" borderId="1" xfId="49" applyNumberFormat="1" applyFont="1" applyFill="1" applyBorder="1" applyAlignment="1">
      <alignment horizontal="center" vertical="center" wrapText="1"/>
    </xf>
    <xf numFmtId="1" fontId="4" fillId="5" borderId="1" xfId="49" applyNumberFormat="1" applyFont="1" applyFill="1" applyBorder="1" applyAlignment="1">
      <alignment horizontal="center" vertical="center" wrapText="1"/>
    </xf>
    <xf numFmtId="49" fontId="4" fillId="5" borderId="1" xfId="49" applyNumberFormat="1" applyFont="1" applyFill="1" applyBorder="1" applyAlignment="1">
      <alignment horizontal="center" vertical="center" wrapText="1"/>
    </xf>
    <xf numFmtId="49" fontId="4" fillId="5" borderId="0" xfId="49" applyNumberFormat="1" applyFont="1" applyFill="1" applyBorder="1" applyAlignment="1">
      <alignment horizontal="center" vertical="center" wrapText="1"/>
    </xf>
    <xf numFmtId="49" fontId="4" fillId="5" borderId="1" xfId="49" applyNumberFormat="1" applyFont="1" applyFill="1" applyBorder="1" applyAlignment="1">
      <alignment vertical="center" wrapText="1"/>
    </xf>
    <xf numFmtId="0" fontId="4" fillId="5" borderId="1" xfId="49" applyFont="1" applyFill="1" applyBorder="1" applyAlignment="1">
      <alignment horizontal="left" vertical="center"/>
    </xf>
    <xf numFmtId="0" fontId="4" fillId="5" borderId="1" xfId="49" applyFont="1" applyFill="1" applyBorder="1" applyAlignment="1">
      <alignment vertical="center"/>
    </xf>
    <xf numFmtId="0" fontId="4" fillId="0" borderId="8" xfId="49" applyFont="1" applyBorder="1" applyAlignment="1">
      <alignment vertical="center"/>
    </xf>
    <xf numFmtId="0" fontId="4" fillId="0" borderId="8" xfId="49" applyFont="1" applyBorder="1" applyAlignment="1">
      <alignment horizontal="left" vertical="center"/>
    </xf>
    <xf numFmtId="0" fontId="4" fillId="0" borderId="8" xfId="49" applyFont="1" applyFill="1" applyBorder="1" applyAlignment="1">
      <alignment horizontal="left" vertical="center" wrapText="1"/>
    </xf>
    <xf numFmtId="0" fontId="4" fillId="0" borderId="8" xfId="49" applyFont="1" applyFill="1" applyBorder="1" applyAlignment="1">
      <alignment horizontal="center" vertical="center"/>
    </xf>
    <xf numFmtId="1" fontId="4" fillId="0" borderId="8" xfId="49" applyNumberFormat="1" applyFont="1" applyFill="1" applyBorder="1" applyAlignment="1">
      <alignment horizontal="center" vertical="center" wrapText="1"/>
    </xf>
    <xf numFmtId="0" fontId="4" fillId="0" borderId="8" xfId="49" applyFont="1" applyFill="1" applyBorder="1" applyAlignment="1">
      <alignment horizontal="center" vertical="center" wrapText="1"/>
    </xf>
    <xf numFmtId="0" fontId="4" fillId="3" borderId="8" xfId="49" applyFont="1" applyFill="1" applyBorder="1" applyAlignment="1">
      <alignment horizontal="center" vertical="center" wrapText="1"/>
    </xf>
    <xf numFmtId="49" fontId="4" fillId="0" borderId="8" xfId="49" applyNumberFormat="1" applyFont="1" applyFill="1" applyBorder="1" applyAlignment="1">
      <alignment horizontal="center" vertical="center" wrapText="1"/>
    </xf>
    <xf numFmtId="49" fontId="4" fillId="0" borderId="8" xfId="49" applyNumberFormat="1" applyFont="1" applyBorder="1" applyAlignment="1">
      <alignment horizontal="left" vertical="center" wrapText="1"/>
    </xf>
    <xf numFmtId="49" fontId="4" fillId="0" borderId="8" xfId="49" applyNumberFormat="1" applyFont="1" applyBorder="1" applyAlignment="1">
      <alignment horizontal="center" vertical="center" wrapText="1"/>
    </xf>
    <xf numFmtId="0" fontId="4" fillId="0" borderId="8" xfId="49" applyFont="1" applyFill="1" applyBorder="1" applyAlignment="1">
      <alignment horizontal="left" vertical="center"/>
    </xf>
    <xf numFmtId="0" fontId="4" fillId="5" borderId="1" xfId="49" applyNumberFormat="1" applyFont="1" applyFill="1" applyBorder="1" applyAlignment="1">
      <alignment horizontal="left" vertical="center" wrapText="1"/>
    </xf>
    <xf numFmtId="0" fontId="2" fillId="5" borderId="1" xfId="49" applyFill="1" applyBorder="1" applyAlignment="1">
      <alignment vertical="center" wrapText="1"/>
    </xf>
    <xf numFmtId="49" fontId="4" fillId="5" borderId="8" xfId="49" applyNumberFormat="1" applyFont="1" applyFill="1" applyBorder="1" applyAlignment="1">
      <alignment horizontal="center" vertical="center" wrapText="1"/>
    </xf>
    <xf numFmtId="0" fontId="2" fillId="5" borderId="1" xfId="49" applyFill="1" applyBorder="1" applyAlignment="1">
      <alignment horizontal="center" vertical="center"/>
    </xf>
    <xf numFmtId="0" fontId="2" fillId="5" borderId="1" xfId="49" applyFill="1" applyBorder="1" applyAlignment="1">
      <alignment horizontal="left" vertical="center"/>
    </xf>
    <xf numFmtId="0" fontId="4" fillId="0" borderId="1" xfId="49" applyFont="1" applyBorder="1" applyAlignment="1">
      <alignment horizontal="left" vertical="center" wrapText="1"/>
    </xf>
    <xf numFmtId="0" fontId="2" fillId="0" borderId="1" xfId="49" applyFill="1" applyBorder="1" applyAlignment="1">
      <alignment horizontal="left" vertical="center"/>
    </xf>
    <xf numFmtId="0" fontId="2" fillId="0" borderId="1" xfId="49" applyBorder="1" applyAlignment="1">
      <alignment horizontal="left" vertical="center"/>
    </xf>
    <xf numFmtId="178" fontId="4" fillId="0" borderId="1" xfId="49" applyNumberFormat="1" applyFont="1" applyFill="1" applyBorder="1" applyAlignment="1">
      <alignment horizontal="center" vertical="center" wrapText="1"/>
    </xf>
    <xf numFmtId="178" fontId="4" fillId="0" borderId="3" xfId="49" applyNumberFormat="1" applyFont="1" applyFill="1" applyBorder="1" applyAlignment="1">
      <alignment horizontal="center" vertical="center" wrapText="1"/>
    </xf>
    <xf numFmtId="0" fontId="4" fillId="0" borderId="0" xfId="49" applyNumberFormat="1" applyFont="1" applyFill="1" applyBorder="1" applyAlignment="1">
      <alignment horizontal="center" vertical="center" wrapText="1"/>
    </xf>
    <xf numFmtId="0" fontId="4" fillId="5" borderId="1" xfId="49" applyFont="1" applyFill="1" applyBorder="1" applyAlignment="1">
      <alignment horizontal="center" vertical="center" wrapText="1"/>
    </xf>
    <xf numFmtId="0" fontId="13" fillId="4" borderId="1" xfId="49" applyFont="1" applyFill="1" applyBorder="1" applyAlignment="1">
      <alignment horizontal="center" vertical="center"/>
    </xf>
    <xf numFmtId="0" fontId="2" fillId="0" borderId="1" xfId="49" applyFill="1" applyBorder="1" applyAlignment="1">
      <alignment vertical="center" wrapText="1"/>
    </xf>
    <xf numFmtId="0" fontId="2" fillId="0" borderId="1" xfId="49" applyBorder="1" applyAlignment="1">
      <alignment vertical="center" wrapText="1"/>
    </xf>
    <xf numFmtId="1" fontId="4" fillId="0" borderId="1" xfId="49" applyNumberFormat="1" applyFont="1" applyFill="1" applyBorder="1" applyAlignment="1">
      <alignment horizontal="center" vertical="center"/>
    </xf>
    <xf numFmtId="0" fontId="2" fillId="0" borderId="1" xfId="49" applyBorder="1" applyAlignment="1">
      <alignment horizontal="center" vertical="center"/>
    </xf>
    <xf numFmtId="0" fontId="2" fillId="0" borderId="1" xfId="49" applyBorder="1" applyAlignment="1">
      <alignment horizontal="left" vertical="center" wrapText="1"/>
    </xf>
    <xf numFmtId="0" fontId="14" fillId="0" borderId="1" xfId="49" applyFont="1" applyFill="1" applyBorder="1" applyAlignment="1">
      <alignment horizontal="center" vertical="center"/>
    </xf>
    <xf numFmtId="0" fontId="14" fillId="4" borderId="1" xfId="49" applyFont="1" applyFill="1" applyBorder="1" applyAlignment="1">
      <alignment horizontal="center" vertical="center"/>
    </xf>
    <xf numFmtId="0" fontId="4" fillId="3" borderId="1" xfId="49" applyFont="1" applyFill="1" applyBorder="1" applyAlignment="1">
      <alignment horizontal="left" vertical="center" wrapText="1"/>
    </xf>
    <xf numFmtId="0" fontId="4" fillId="3" borderId="1" xfId="49" applyFont="1" applyFill="1" applyBorder="1" applyAlignment="1">
      <alignment horizontal="center" vertical="center"/>
    </xf>
    <xf numFmtId="1" fontId="4" fillId="3" borderId="1" xfId="49" applyNumberFormat="1" applyFont="1" applyFill="1" applyBorder="1" applyAlignment="1">
      <alignment horizontal="center" vertical="center" wrapText="1"/>
    </xf>
    <xf numFmtId="0" fontId="4" fillId="3" borderId="1" xfId="49" applyFont="1" applyFill="1" applyBorder="1" applyAlignment="1">
      <alignment horizontal="center" vertical="center" wrapText="1"/>
    </xf>
    <xf numFmtId="0" fontId="14" fillId="3" borderId="1" xfId="49" applyFont="1" applyFill="1" applyBorder="1" applyAlignment="1">
      <alignment horizontal="center" vertical="center"/>
    </xf>
    <xf numFmtId="0" fontId="15" fillId="3" borderId="1" xfId="49" applyFont="1" applyFill="1" applyBorder="1" applyAlignment="1">
      <alignment horizontal="left" vertical="center" wrapText="1"/>
    </xf>
    <xf numFmtId="0" fontId="2" fillId="3" borderId="1" xfId="49" applyFill="1" applyBorder="1" applyAlignment="1">
      <alignment horizontal="left" vertical="center"/>
    </xf>
    <xf numFmtId="0" fontId="14" fillId="3" borderId="0" xfId="49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4" fillId="5" borderId="1" xfId="49" applyFont="1" applyFill="1" applyBorder="1" applyAlignment="1">
      <alignment horizontal="center" vertical="center"/>
    </xf>
    <xf numFmtId="49" fontId="4" fillId="3" borderId="1" xfId="49" applyNumberFormat="1" applyFont="1" applyFill="1" applyBorder="1" applyAlignment="1">
      <alignment horizontal="center" vertical="center"/>
    </xf>
    <xf numFmtId="0" fontId="4" fillId="4" borderId="1" xfId="49" applyFont="1" applyFill="1" applyBorder="1" applyAlignment="1">
      <alignment horizontal="center" vertical="center" wrapText="1"/>
    </xf>
    <xf numFmtId="0" fontId="4" fillId="0" borderId="4" xfId="49" applyFont="1" applyBorder="1" applyAlignment="1">
      <alignment horizontal="left" vertical="center"/>
    </xf>
    <xf numFmtId="0" fontId="2" fillId="0" borderId="2" xfId="49" applyFill="1" applyBorder="1" applyAlignment="1">
      <alignment horizontal="left" vertical="center"/>
    </xf>
    <xf numFmtId="0" fontId="4" fillId="5" borderId="8" xfId="49" applyNumberFormat="1" applyFont="1" applyFill="1" applyBorder="1" applyAlignment="1">
      <alignment horizontal="left" vertical="center" wrapText="1"/>
    </xf>
    <xf numFmtId="1" fontId="4" fillId="5" borderId="8" xfId="49" applyNumberFormat="1" applyFont="1" applyFill="1" applyBorder="1" applyAlignment="1">
      <alignment horizontal="center" vertical="center" wrapText="1"/>
    </xf>
    <xf numFmtId="49" fontId="4" fillId="5" borderId="8" xfId="49" applyNumberFormat="1" applyFont="1" applyFill="1" applyBorder="1" applyAlignment="1">
      <alignment vertical="center" wrapText="1"/>
    </xf>
    <xf numFmtId="0" fontId="4" fillId="5" borderId="8" xfId="49" applyFont="1" applyFill="1" applyBorder="1" applyAlignment="1">
      <alignment vertical="center"/>
    </xf>
    <xf numFmtId="0" fontId="4" fillId="5" borderId="3" xfId="49" applyNumberFormat="1" applyFont="1" applyFill="1" applyBorder="1" applyAlignment="1">
      <alignment horizontal="left" vertical="center" wrapText="1"/>
    </xf>
    <xf numFmtId="176" fontId="4" fillId="5" borderId="3" xfId="49" applyNumberFormat="1" applyFont="1" applyFill="1" applyBorder="1" applyAlignment="1">
      <alignment horizontal="center" vertical="center"/>
    </xf>
    <xf numFmtId="0" fontId="2" fillId="0" borderId="1" xfId="49" applyFill="1" applyBorder="1" applyAlignment="1">
      <alignment horizontal="left" vertical="center" wrapText="1"/>
    </xf>
    <xf numFmtId="0" fontId="4" fillId="5" borderId="3" xfId="49" applyFont="1" applyFill="1" applyBorder="1" applyAlignment="1">
      <alignment vertical="top" wrapText="1"/>
    </xf>
    <xf numFmtId="49" fontId="10" fillId="0" borderId="3" xfId="49" applyNumberFormat="1" applyFont="1" applyFill="1" applyBorder="1" applyAlignment="1">
      <alignment horizontal="left" vertical="center" wrapText="1"/>
    </xf>
    <xf numFmtId="49" fontId="9" fillId="3" borderId="1" xfId="49" applyNumberFormat="1" applyFont="1" applyFill="1" applyBorder="1" applyAlignment="1">
      <alignment horizontal="left" vertical="center" wrapText="1"/>
    </xf>
    <xf numFmtId="49" fontId="4" fillId="3" borderId="1" xfId="49" applyNumberFormat="1" applyFont="1" applyFill="1" applyBorder="1" applyAlignment="1">
      <alignment horizontal="center" vertical="center" wrapText="1"/>
    </xf>
    <xf numFmtId="49" fontId="4" fillId="3" borderId="1" xfId="49" applyNumberFormat="1" applyFont="1" applyFill="1" applyBorder="1" applyAlignment="1">
      <alignment vertical="center" wrapText="1"/>
    </xf>
    <xf numFmtId="49" fontId="10" fillId="3" borderId="1" xfId="49" applyNumberFormat="1" applyFont="1" applyFill="1" applyBorder="1" applyAlignment="1">
      <alignment horizontal="left" vertical="center" wrapText="1"/>
    </xf>
    <xf numFmtId="0" fontId="4" fillId="0" borderId="8" xfId="49" applyFont="1" applyFill="1" applyBorder="1" applyAlignment="1">
      <alignment vertical="center" wrapText="1"/>
    </xf>
    <xf numFmtId="49" fontId="9" fillId="0" borderId="8" xfId="49" applyNumberFormat="1" applyFont="1" applyFill="1" applyBorder="1" applyAlignment="1">
      <alignment horizontal="left" vertical="center" wrapText="1"/>
    </xf>
    <xf numFmtId="0" fontId="4" fillId="0" borderId="8" xfId="49" applyNumberFormat="1" applyFont="1" applyFill="1" applyBorder="1" applyAlignment="1">
      <alignment horizontal="center" vertical="center" wrapText="1"/>
    </xf>
    <xf numFmtId="49" fontId="4" fillId="0" borderId="8" xfId="49" applyNumberFormat="1" applyFont="1" applyFill="1" applyBorder="1" applyAlignment="1">
      <alignment vertical="center" wrapText="1"/>
    </xf>
    <xf numFmtId="49" fontId="10" fillId="0" borderId="8" xfId="49" applyNumberFormat="1" applyFont="1" applyFill="1" applyBorder="1" applyAlignment="1">
      <alignment horizontal="left" vertical="center" wrapText="1"/>
    </xf>
    <xf numFmtId="0" fontId="2" fillId="0" borderId="9" xfId="49" applyFill="1" applyBorder="1" applyAlignment="1">
      <alignment horizontal="left" vertical="center"/>
    </xf>
    <xf numFmtId="0" fontId="4" fillId="0" borderId="8" xfId="49" applyFont="1" applyFill="1" applyBorder="1" applyAlignment="1">
      <alignment vertical="center"/>
    </xf>
    <xf numFmtId="49" fontId="9" fillId="0" borderId="6" xfId="49" applyNumberFormat="1" applyFont="1" applyFill="1" applyBorder="1" applyAlignment="1">
      <alignment horizontal="left" vertical="center" wrapText="1"/>
    </xf>
    <xf numFmtId="49" fontId="4" fillId="0" borderId="7" xfId="49" applyNumberFormat="1" applyFont="1" applyFill="1" applyBorder="1" applyAlignment="1">
      <alignment horizontal="center" vertical="center" wrapText="1"/>
    </xf>
    <xf numFmtId="49" fontId="9" fillId="0" borderId="1" xfId="49" applyNumberFormat="1" applyFont="1" applyFill="1" applyBorder="1" applyAlignment="1">
      <alignment horizontal="left" vertical="center" wrapText="1"/>
    </xf>
    <xf numFmtId="49" fontId="4" fillId="0" borderId="1" xfId="49" applyNumberFormat="1" applyFont="1" applyFill="1" applyBorder="1" applyAlignment="1">
      <alignment vertical="center" wrapText="1"/>
    </xf>
    <xf numFmtId="49" fontId="4" fillId="0" borderId="10" xfId="49" applyNumberFormat="1" applyFont="1" applyFill="1" applyBorder="1" applyAlignment="1">
      <alignment horizontal="center" vertical="center" wrapText="1"/>
    </xf>
    <xf numFmtId="49" fontId="9" fillId="0" borderId="2" xfId="49" applyNumberFormat="1" applyFont="1" applyFill="1" applyBorder="1" applyAlignment="1">
      <alignment horizontal="left" vertical="center" wrapText="1"/>
    </xf>
    <xf numFmtId="49" fontId="4" fillId="0" borderId="2" xfId="49" applyNumberFormat="1" applyFont="1" applyFill="1" applyBorder="1" applyAlignment="1">
      <alignment vertical="center" wrapText="1"/>
    </xf>
    <xf numFmtId="49" fontId="10" fillId="0" borderId="6" xfId="49" applyNumberFormat="1" applyFont="1" applyFill="1" applyBorder="1" applyAlignment="1">
      <alignment horizontal="left" vertical="center" wrapText="1"/>
    </xf>
    <xf numFmtId="0" fontId="4" fillId="0" borderId="7" xfId="49" applyFont="1" applyFill="1" applyBorder="1" applyAlignment="1">
      <alignment horizontal="left" vertical="center"/>
    </xf>
    <xf numFmtId="49" fontId="10" fillId="0" borderId="2" xfId="49" applyNumberFormat="1" applyFont="1" applyFill="1" applyBorder="1" applyAlignment="1">
      <alignment horizontal="left" vertical="center" wrapText="1"/>
    </xf>
    <xf numFmtId="49" fontId="10" fillId="0" borderId="1" xfId="49" applyNumberFormat="1" applyFont="1" applyFill="1" applyBorder="1" applyAlignment="1">
      <alignment horizontal="left" vertical="center" wrapText="1"/>
    </xf>
    <xf numFmtId="49" fontId="4" fillId="3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5" borderId="1" xfId="49" applyFont="1" applyFill="1" applyBorder="1" applyAlignment="1">
      <alignment vertical="top" wrapText="1"/>
    </xf>
    <xf numFmtId="0" fontId="4" fillId="3" borderId="8" xfId="49" applyNumberFormat="1" applyFont="1" applyFill="1" applyBorder="1" applyAlignment="1">
      <alignment horizontal="center" vertical="center" wrapText="1"/>
    </xf>
    <xf numFmtId="49" fontId="4" fillId="5" borderId="6" xfId="49" applyNumberFormat="1" applyFont="1" applyFill="1" applyBorder="1" applyAlignment="1">
      <alignment horizontal="left" vertical="center" wrapText="1"/>
    </xf>
    <xf numFmtId="0" fontId="4" fillId="5" borderId="6" xfId="49" applyNumberFormat="1" applyFont="1" applyFill="1" applyBorder="1" applyAlignment="1">
      <alignment vertical="center" wrapText="1"/>
    </xf>
    <xf numFmtId="0" fontId="4" fillId="5" borderId="6" xfId="49" applyNumberFormat="1" applyFont="1" applyFill="1" applyBorder="1" applyAlignment="1">
      <alignment horizontal="center" vertical="center" wrapText="1"/>
    </xf>
    <xf numFmtId="49" fontId="4" fillId="5" borderId="6" xfId="49" applyNumberFormat="1" applyFont="1" applyFill="1" applyBorder="1" applyAlignment="1">
      <alignment horizontal="center" vertical="center" wrapText="1"/>
    </xf>
    <xf numFmtId="0" fontId="4" fillId="5" borderId="6" xfId="49" applyFont="1" applyFill="1" applyBorder="1" applyAlignment="1">
      <alignment horizontal="left" vertical="center"/>
    </xf>
    <xf numFmtId="0" fontId="4" fillId="5" borderId="6" xfId="49" applyFont="1" applyFill="1" applyBorder="1" applyAlignment="1">
      <alignment vertical="center"/>
    </xf>
    <xf numFmtId="0" fontId="16" fillId="0" borderId="1" xfId="0" applyFont="1" applyFill="1" applyBorder="1" applyAlignment="1">
      <alignment horizontal="left" vertical="center" wrapText="1"/>
    </xf>
    <xf numFmtId="0" fontId="4" fillId="0" borderId="1" xfId="49" applyNumberFormat="1" applyFont="1" applyFill="1" applyBorder="1" applyAlignment="1">
      <alignment horizontal="center" vertical="center"/>
    </xf>
    <xf numFmtId="0" fontId="4" fillId="3" borderId="1" xfId="49" applyNumberFormat="1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wrapText="1"/>
    </xf>
    <xf numFmtId="0" fontId="0" fillId="7" borderId="0" xfId="0" applyFill="1" applyAlignment="1">
      <alignment vertical="center"/>
    </xf>
    <xf numFmtId="0" fontId="0" fillId="8" borderId="0" xfId="0" applyFill="1" applyAlignment="1">
      <alignment vertical="center"/>
    </xf>
    <xf numFmtId="0" fontId="0" fillId="9" borderId="0" xfId="0" applyFill="1" applyAlignment="1">
      <alignment vertical="center"/>
    </xf>
    <xf numFmtId="0" fontId="0" fillId="10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 wrapText="1"/>
    </xf>
    <xf numFmtId="0" fontId="3" fillId="6" borderId="1" xfId="0" applyNumberFormat="1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49" fontId="19" fillId="6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49" fontId="4" fillId="7" borderId="1" xfId="0" applyNumberFormat="1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6" fillId="7" borderId="1" xfId="0" applyNumberFormat="1" applyFont="1" applyFill="1" applyBorder="1" applyAlignment="1">
      <alignment horizontal="center" vertical="center" wrapText="1"/>
    </xf>
    <xf numFmtId="49" fontId="4" fillId="7" borderId="1" xfId="0" applyNumberFormat="1" applyFont="1" applyFill="1" applyBorder="1" applyAlignment="1">
      <alignment horizontal="center" vertical="center" wrapText="1"/>
    </xf>
    <xf numFmtId="0" fontId="4" fillId="7" borderId="1" xfId="0" applyNumberFormat="1" applyFont="1" applyFill="1" applyBorder="1" applyAlignment="1">
      <alignment horizontal="center" vertical="center" wrapText="1"/>
    </xf>
    <xf numFmtId="49" fontId="4" fillId="7" borderId="1" xfId="0" applyNumberFormat="1" applyFont="1" applyFill="1" applyBorder="1" applyAlignment="1">
      <alignment vertical="center" wrapText="1"/>
    </xf>
    <xf numFmtId="0" fontId="0" fillId="7" borderId="10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6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49" fontId="6" fillId="7" borderId="1" xfId="0" applyNumberFormat="1" applyFont="1" applyFill="1" applyBorder="1" applyAlignment="1">
      <alignment horizontal="center" vertical="center" wrapText="1"/>
    </xf>
    <xf numFmtId="49" fontId="4" fillId="8" borderId="1" xfId="0" applyNumberFormat="1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49" fontId="4" fillId="8" borderId="1" xfId="0" applyNumberFormat="1" applyFont="1" applyFill="1" applyBorder="1" applyAlignment="1">
      <alignment horizontal="center" vertical="center" wrapText="1"/>
    </xf>
    <xf numFmtId="0" fontId="4" fillId="8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49" fontId="6" fillId="8" borderId="1" xfId="0" applyNumberFormat="1" applyFont="1" applyFill="1" applyBorder="1" applyAlignment="1">
      <alignment horizontal="center" vertical="center" wrapText="1"/>
    </xf>
    <xf numFmtId="49" fontId="4" fillId="9" borderId="1" xfId="0" applyNumberFormat="1" applyFont="1" applyFill="1" applyBorder="1" applyAlignment="1">
      <alignment horizontal="left" vertical="center" wrapText="1"/>
    </xf>
    <xf numFmtId="49" fontId="4" fillId="9" borderId="1" xfId="0" applyNumberFormat="1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4" fillId="9" borderId="1" xfId="0" applyNumberFormat="1" applyFont="1" applyFill="1" applyBorder="1" applyAlignment="1">
      <alignment horizontal="center" vertical="center" wrapText="1"/>
    </xf>
    <xf numFmtId="49" fontId="9" fillId="9" borderId="1" xfId="0" applyNumberFormat="1" applyFont="1" applyFill="1" applyBorder="1" applyAlignment="1">
      <alignment horizontal="left" vertical="center" wrapText="1"/>
    </xf>
    <xf numFmtId="0" fontId="0" fillId="9" borderId="10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8" borderId="1" xfId="0" applyFill="1" applyBorder="1" applyAlignment="1">
      <alignment vertical="center"/>
    </xf>
    <xf numFmtId="49" fontId="4" fillId="10" borderId="1" xfId="0" applyNumberFormat="1" applyFont="1" applyFill="1" applyBorder="1" applyAlignment="1">
      <alignment horizontal="left" vertical="center" wrapText="1"/>
    </xf>
    <xf numFmtId="49" fontId="4" fillId="10" borderId="1" xfId="0" applyNumberFormat="1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4" fillId="10" borderId="1" xfId="0" applyNumberFormat="1" applyFont="1" applyFill="1" applyBorder="1" applyAlignment="1">
      <alignment horizontal="center" vertical="center" wrapText="1"/>
    </xf>
    <xf numFmtId="49" fontId="9" fillId="10" borderId="1" xfId="0" applyNumberFormat="1" applyFont="1" applyFill="1" applyBorder="1" applyAlignment="1">
      <alignment horizontal="left" vertical="center" wrapText="1"/>
    </xf>
    <xf numFmtId="0" fontId="0" fillId="10" borderId="10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left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left" vertical="center" wrapText="1"/>
    </xf>
    <xf numFmtId="0" fontId="0" fillId="0" borderId="1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6" fillId="0" borderId="1" xfId="49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vertical="center"/>
    </xf>
    <xf numFmtId="0" fontId="4" fillId="10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4" fillId="10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horizontal="center" vertical="center" wrapText="1"/>
    </xf>
    <xf numFmtId="49" fontId="4" fillId="10" borderId="1" xfId="0" applyNumberFormat="1" applyFont="1" applyFill="1" applyBorder="1" applyAlignment="1">
      <alignment vertical="center" wrapText="1"/>
    </xf>
    <xf numFmtId="0" fontId="0" fillId="7" borderId="1" xfId="0" applyFill="1" applyBorder="1" applyAlignment="1">
      <alignment horizontal="center"/>
    </xf>
    <xf numFmtId="0" fontId="0" fillId="10" borderId="1" xfId="0" applyFill="1" applyBorder="1"/>
    <xf numFmtId="0" fontId="0" fillId="10" borderId="1" xfId="0" applyFill="1" applyBorder="1" applyAlignment="1">
      <alignment wrapText="1"/>
    </xf>
    <xf numFmtId="0" fontId="0" fillId="9" borderId="1" xfId="0" applyFill="1" applyBorder="1" applyAlignment="1">
      <alignment vertical="center"/>
    </xf>
    <xf numFmtId="49" fontId="9" fillId="9" borderId="1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0" fillId="0" borderId="0" xfId="0" applyBorder="1"/>
    <xf numFmtId="0" fontId="20" fillId="0" borderId="11" xfId="0" applyFont="1" applyBorder="1" applyAlignment="1">
      <alignment vertical="center"/>
    </xf>
    <xf numFmtId="0" fontId="21" fillId="0" borderId="11" xfId="0" applyFont="1" applyBorder="1" applyAlignment="1">
      <alignment vertical="center"/>
    </xf>
    <xf numFmtId="0" fontId="22" fillId="11" borderId="12" xfId="0" applyFont="1" applyFill="1" applyBorder="1" applyAlignment="1">
      <alignment horizontal="center" vertical="center" wrapText="1"/>
    </xf>
    <xf numFmtId="0" fontId="22" fillId="11" borderId="13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3" fillId="11" borderId="14" xfId="0" applyFont="1" applyFill="1" applyBorder="1" applyAlignment="1">
      <alignment horizontal="center" vertical="center" wrapText="1"/>
    </xf>
    <xf numFmtId="0" fontId="3" fillId="11" borderId="15" xfId="0" applyFont="1" applyFill="1" applyBorder="1" applyAlignment="1">
      <alignment horizontal="center" vertical="center" wrapText="1"/>
    </xf>
    <xf numFmtId="0" fontId="3" fillId="11" borderId="1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vertical="center" wrapText="1"/>
    </xf>
    <xf numFmtId="0" fontId="3" fillId="11" borderId="18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4" fillId="0" borderId="20" xfId="0" applyFont="1" applyFill="1" applyBorder="1" applyAlignment="1">
      <alignment vertical="center" wrapText="1"/>
    </xf>
    <xf numFmtId="0" fontId="23" fillId="0" borderId="0" xfId="0" applyFont="1" applyBorder="1" applyAlignment="1">
      <alignment vertical="center" wrapText="1"/>
    </xf>
    <xf numFmtId="0" fontId="4" fillId="0" borderId="21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21" fillId="0" borderId="0" xfId="0" applyFont="1" applyBorder="1" applyAlignment="1">
      <alignment vertical="center"/>
    </xf>
    <xf numFmtId="0" fontId="3" fillId="11" borderId="19" xfId="0" applyFont="1" applyFill="1" applyBorder="1" applyAlignment="1">
      <alignment horizontal="center" vertical="center" wrapText="1"/>
    </xf>
    <xf numFmtId="0" fontId="4" fillId="0" borderId="24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24" fillId="0" borderId="0" xfId="0" applyFont="1" applyBorder="1" applyAlignment="1">
      <alignment horizontal="left" vertical="center" wrapText="1"/>
    </xf>
    <xf numFmtId="0" fontId="22" fillId="0" borderId="0" xfId="0" applyFont="1" applyBorder="1" applyAlignment="1">
      <alignment horizontal="left" vertical="center" wrapText="1"/>
    </xf>
    <xf numFmtId="49" fontId="22" fillId="0" borderId="0" xfId="0" applyNumberFormat="1" applyFont="1" applyBorder="1" applyAlignment="1">
      <alignment horizontal="left" vertical="center" wrapText="1"/>
    </xf>
    <xf numFmtId="0" fontId="22" fillId="12" borderId="11" xfId="0" applyFont="1" applyFill="1" applyBorder="1" applyAlignment="1">
      <alignment horizontal="center" vertical="center" wrapText="1"/>
    </xf>
    <xf numFmtId="49" fontId="22" fillId="12" borderId="11" xfId="0" applyNumberFormat="1" applyFont="1" applyFill="1" applyBorder="1" applyAlignment="1">
      <alignment horizontal="center" vertical="center" wrapText="1"/>
    </xf>
    <xf numFmtId="0" fontId="22" fillId="12" borderId="11" xfId="0" applyFont="1" applyFill="1" applyBorder="1" applyAlignment="1">
      <alignment vertical="center" wrapText="1"/>
    </xf>
    <xf numFmtId="179" fontId="4" fillId="0" borderId="11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14" fontId="4" fillId="0" borderId="11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vertical="center" wrapText="1"/>
    </xf>
    <xf numFmtId="0" fontId="4" fillId="0" borderId="11" xfId="0" applyFont="1" applyBorder="1" applyAlignment="1">
      <alignment horizontal="left" vertical="center" wrapText="1"/>
    </xf>
    <xf numFmtId="179" fontId="4" fillId="0" borderId="25" xfId="0" applyNumberFormat="1" applyFont="1" applyBorder="1" applyAlignment="1">
      <alignment horizontal="center" vertical="center" wrapText="1"/>
    </xf>
    <xf numFmtId="49" fontId="4" fillId="0" borderId="25" xfId="0" applyNumberFormat="1" applyFont="1" applyBorder="1" applyAlignment="1">
      <alignment horizontal="center" vertical="center" wrapText="1"/>
    </xf>
    <xf numFmtId="14" fontId="4" fillId="0" borderId="25" xfId="0" applyNumberFormat="1" applyFont="1" applyBorder="1" applyAlignment="1">
      <alignment horizontal="center" vertical="center" wrapText="1"/>
    </xf>
    <xf numFmtId="0" fontId="4" fillId="0" borderId="25" xfId="0" applyFont="1" applyBorder="1" applyAlignment="1">
      <alignment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/>
    </xf>
    <xf numFmtId="14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21" fillId="0" borderId="26" xfId="0" applyFont="1" applyBorder="1" applyAlignment="1">
      <alignment horizontal="left" vertical="center" wrapText="1"/>
    </xf>
    <xf numFmtId="0" fontId="21" fillId="0" borderId="0" xfId="0" applyFont="1" applyBorder="1" applyAlignment="1">
      <alignment horizontal="left" vertical="center" wrapText="1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3" xfId="51"/>
    <cellStyle name="常规 3 2" xfId="52"/>
    <cellStyle name="常规 4" xfId="53"/>
  </cellStyles>
  <dxfs count="3">
    <dxf>
      <font>
        <name val="等线"/>
        <scheme val="none"/>
        <strike val="1"/>
        <sz val="11"/>
        <color rgb="FF000000"/>
      </font>
    </dxf>
    <dxf>
      <font>
        <name val="等线"/>
        <scheme val="none"/>
        <strike val="1"/>
        <sz val="11"/>
        <color rgb="FF70AD47"/>
      </font>
    </dxf>
    <dxf>
      <font>
        <name val="等线"/>
        <scheme val="none"/>
        <sz val="11"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BACEFD"/>
      <color rgb="00DBDBD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487680</xdr:colOff>
      <xdr:row>16</xdr:row>
      <xdr:rowOff>0</xdr:rowOff>
    </xdr:to>
    <xdr:sp>
      <xdr:nvSpPr>
        <xdr:cNvPr id="1026" name="Text Box 2" hidden="1"/>
        <xdr:cNvSpPr txBox="1">
          <a:spLocks noSelect="1" noChangeArrowheads="1"/>
        </xdr:cNvSpPr>
      </xdr:nvSpPr>
      <xdr:spPr>
        <a:xfrm>
          <a:off x="0" y="0"/>
          <a:ext cx="7421880" cy="330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174171</xdr:colOff>
      <xdr:row>16</xdr:row>
      <xdr:rowOff>0</xdr:rowOff>
    </xdr:to>
    <xdr:sp>
      <xdr:nvSpPr>
        <xdr:cNvPr id="2" name="AutoShape 2"/>
        <xdr:cNvSpPr>
          <a:spLocks noChangeArrowheads="1"/>
        </xdr:cNvSpPr>
      </xdr:nvSpPr>
      <xdr:spPr>
        <a:xfrm>
          <a:off x="0" y="0"/>
          <a:ext cx="7774940" cy="3302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174171</xdr:colOff>
      <xdr:row>16</xdr:row>
      <xdr:rowOff>0</xdr:rowOff>
    </xdr:to>
    <xdr:sp>
      <xdr:nvSpPr>
        <xdr:cNvPr id="3" name="AutoShape 2"/>
        <xdr:cNvSpPr>
          <a:spLocks noChangeArrowheads="1"/>
        </xdr:cNvSpPr>
      </xdr:nvSpPr>
      <xdr:spPr>
        <a:xfrm>
          <a:off x="0" y="0"/>
          <a:ext cx="7774940" cy="3302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174171</xdr:colOff>
      <xdr:row>16</xdr:row>
      <xdr:rowOff>0</xdr:rowOff>
    </xdr:to>
    <xdr:sp>
      <xdr:nvSpPr>
        <xdr:cNvPr id="4" name="AutoShape 2"/>
        <xdr:cNvSpPr>
          <a:spLocks noChangeArrowheads="1"/>
        </xdr:cNvSpPr>
      </xdr:nvSpPr>
      <xdr:spPr>
        <a:xfrm>
          <a:off x="0" y="0"/>
          <a:ext cx="7774940" cy="3302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174171</xdr:colOff>
      <xdr:row>16</xdr:row>
      <xdr:rowOff>0</xdr:rowOff>
    </xdr:to>
    <xdr:sp>
      <xdr:nvSpPr>
        <xdr:cNvPr id="5" name="AutoShape 2"/>
        <xdr:cNvSpPr>
          <a:spLocks noChangeArrowheads="1"/>
        </xdr:cNvSpPr>
      </xdr:nvSpPr>
      <xdr:spPr>
        <a:xfrm>
          <a:off x="0" y="0"/>
          <a:ext cx="7774940" cy="3302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174171</xdr:colOff>
      <xdr:row>16</xdr:row>
      <xdr:rowOff>0</xdr:rowOff>
    </xdr:to>
    <xdr:sp>
      <xdr:nvSpPr>
        <xdr:cNvPr id="6" name="AutoShape 2"/>
        <xdr:cNvSpPr>
          <a:spLocks noChangeArrowheads="1"/>
        </xdr:cNvSpPr>
      </xdr:nvSpPr>
      <xdr:spPr>
        <a:xfrm>
          <a:off x="0" y="0"/>
          <a:ext cx="7774940" cy="3302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174171</xdr:colOff>
      <xdr:row>16</xdr:row>
      <xdr:rowOff>0</xdr:rowOff>
    </xdr:to>
    <xdr:sp>
      <xdr:nvSpPr>
        <xdr:cNvPr id="7" name="AutoShape 2"/>
        <xdr:cNvSpPr>
          <a:spLocks noChangeArrowheads="1"/>
        </xdr:cNvSpPr>
      </xdr:nvSpPr>
      <xdr:spPr>
        <a:xfrm>
          <a:off x="0" y="0"/>
          <a:ext cx="7774940" cy="3302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355600</xdr:colOff>
      <xdr:row>16</xdr:row>
      <xdr:rowOff>0</xdr:rowOff>
    </xdr:to>
    <xdr:sp>
      <xdr:nvSpPr>
        <xdr:cNvPr id="8" name="AutoShape 2"/>
        <xdr:cNvSpPr>
          <a:spLocks noChangeArrowheads="1"/>
        </xdr:cNvSpPr>
      </xdr:nvSpPr>
      <xdr:spPr>
        <a:xfrm>
          <a:off x="0" y="0"/>
          <a:ext cx="7289800" cy="3302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355600</xdr:colOff>
      <xdr:row>16</xdr:row>
      <xdr:rowOff>0</xdr:rowOff>
    </xdr:to>
    <xdr:sp>
      <xdr:nvSpPr>
        <xdr:cNvPr id="9" name="AutoShape 2"/>
        <xdr:cNvSpPr>
          <a:spLocks noChangeArrowheads="1"/>
        </xdr:cNvSpPr>
      </xdr:nvSpPr>
      <xdr:spPr>
        <a:xfrm>
          <a:off x="0" y="0"/>
          <a:ext cx="7289800" cy="3302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355600</xdr:colOff>
      <xdr:row>16</xdr:row>
      <xdr:rowOff>0</xdr:rowOff>
    </xdr:to>
    <xdr:sp>
      <xdr:nvSpPr>
        <xdr:cNvPr id="10" name="AutoShape 2"/>
        <xdr:cNvSpPr>
          <a:spLocks noChangeArrowheads="1"/>
        </xdr:cNvSpPr>
      </xdr:nvSpPr>
      <xdr:spPr>
        <a:xfrm>
          <a:off x="0" y="0"/>
          <a:ext cx="7289800" cy="3302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355600</xdr:colOff>
      <xdr:row>16</xdr:row>
      <xdr:rowOff>0</xdr:rowOff>
    </xdr:to>
    <xdr:sp>
      <xdr:nvSpPr>
        <xdr:cNvPr id="11" name="AutoShape 2"/>
        <xdr:cNvSpPr>
          <a:spLocks noChangeArrowheads="1"/>
        </xdr:cNvSpPr>
      </xdr:nvSpPr>
      <xdr:spPr>
        <a:xfrm>
          <a:off x="0" y="0"/>
          <a:ext cx="7289800" cy="3302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png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outlinePr summaryBelow="0" summaryRight="0"/>
  </sheetPr>
  <dimension ref="A1:I27"/>
  <sheetViews>
    <sheetView workbookViewId="0">
      <selection activeCell="O5" sqref="O5"/>
    </sheetView>
  </sheetViews>
  <sheetFormatPr defaultColWidth="14" defaultRowHeight="12.75"/>
  <cols>
    <col min="1" max="20" width="10" customWidth="1"/>
  </cols>
  <sheetData>
    <row r="1" ht="15" customHeight="1" spans="1:9">
      <c r="A1" s="454" t="s">
        <v>0</v>
      </c>
      <c r="B1" s="454"/>
      <c r="C1" s="454"/>
      <c r="D1" s="454"/>
      <c r="E1" s="454"/>
      <c r="F1" s="454"/>
      <c r="G1" s="454"/>
      <c r="H1" s="454"/>
      <c r="I1" s="454"/>
    </row>
    <row r="2" ht="16.25" customHeight="1" spans="1:9">
      <c r="A2" s="455"/>
      <c r="B2" s="455"/>
      <c r="C2" s="455"/>
      <c r="D2" s="455"/>
      <c r="E2" s="455"/>
      <c r="F2" s="455"/>
      <c r="G2" s="455"/>
      <c r="H2" s="455"/>
      <c r="I2" s="455"/>
    </row>
    <row r="3" ht="16.25" customHeight="1" spans="1:9">
      <c r="A3" s="455"/>
      <c r="B3" s="455"/>
      <c r="C3" s="455"/>
      <c r="D3" s="455"/>
      <c r="E3" s="455"/>
      <c r="F3" s="455"/>
      <c r="G3" s="455"/>
      <c r="H3" s="455"/>
      <c r="I3" s="455"/>
    </row>
    <row r="4" ht="16.25" customHeight="1" spans="1:9">
      <c r="A4" s="455"/>
      <c r="B4" s="455"/>
      <c r="C4" s="455"/>
      <c r="D4" s="455"/>
      <c r="E4" s="455"/>
      <c r="F4" s="455"/>
      <c r="G4" s="455"/>
      <c r="H4" s="455"/>
      <c r="I4" s="455"/>
    </row>
    <row r="5" ht="16.25" customHeight="1" spans="1:9">
      <c r="A5" s="455"/>
      <c r="B5" s="455"/>
      <c r="C5" s="455"/>
      <c r="D5" s="455"/>
      <c r="E5" s="455"/>
      <c r="F5" s="455"/>
      <c r="G5" s="455"/>
      <c r="H5" s="455"/>
      <c r="I5" s="455"/>
    </row>
    <row r="6" ht="16.25" customHeight="1" spans="1:9">
      <c r="A6" s="455"/>
      <c r="B6" s="455"/>
      <c r="C6" s="455"/>
      <c r="D6" s="455"/>
      <c r="E6" s="455"/>
      <c r="F6" s="455"/>
      <c r="G6" s="455"/>
      <c r="H6" s="455"/>
      <c r="I6" s="455"/>
    </row>
    <row r="7" ht="16.25" customHeight="1" spans="1:9">
      <c r="A7" s="455"/>
      <c r="B7" s="455"/>
      <c r="C7" s="455"/>
      <c r="D7" s="455"/>
      <c r="E7" s="455"/>
      <c r="F7" s="455"/>
      <c r="G7" s="455"/>
      <c r="H7" s="455"/>
      <c r="I7" s="455"/>
    </row>
    <row r="8" ht="16.25" customHeight="1" spans="1:9">
      <c r="A8" s="455"/>
      <c r="B8" s="455"/>
      <c r="C8" s="455"/>
      <c r="D8" s="455"/>
      <c r="E8" s="455"/>
      <c r="F8" s="455"/>
      <c r="G8" s="455"/>
      <c r="H8" s="455"/>
      <c r="I8" s="455"/>
    </row>
    <row r="9" ht="16.25" customHeight="1" spans="1:9">
      <c r="A9" s="455"/>
      <c r="B9" s="455"/>
      <c r="C9" s="455"/>
      <c r="D9" s="455"/>
      <c r="E9" s="455"/>
      <c r="F9" s="455"/>
      <c r="G9" s="455"/>
      <c r="H9" s="455"/>
      <c r="I9" s="455"/>
    </row>
    <row r="10" ht="16.25" customHeight="1" spans="1:9">
      <c r="A10" s="455"/>
      <c r="B10" s="455"/>
      <c r="C10" s="455"/>
      <c r="D10" s="455"/>
      <c r="E10" s="455"/>
      <c r="F10" s="455"/>
      <c r="G10" s="455"/>
      <c r="H10" s="455"/>
      <c r="I10" s="455"/>
    </row>
    <row r="11" ht="16.25" customHeight="1" spans="1:9">
      <c r="A11" s="455"/>
      <c r="B11" s="455"/>
      <c r="C11" s="455"/>
      <c r="D11" s="455"/>
      <c r="E11" s="455"/>
      <c r="F11" s="455"/>
      <c r="G11" s="455"/>
      <c r="H11" s="455"/>
      <c r="I11" s="455"/>
    </row>
    <row r="12" ht="16.25" customHeight="1" spans="1:9">
      <c r="A12" s="455"/>
      <c r="B12" s="455"/>
      <c r="C12" s="455"/>
      <c r="D12" s="455"/>
      <c r="E12" s="455"/>
      <c r="F12" s="455"/>
      <c r="G12" s="455"/>
      <c r="H12" s="455"/>
      <c r="I12" s="455"/>
    </row>
    <row r="13" ht="16.25" customHeight="1" spans="1:9">
      <c r="A13" s="455"/>
      <c r="B13" s="455"/>
      <c r="C13" s="455"/>
      <c r="D13" s="455"/>
      <c r="E13" s="455"/>
      <c r="F13" s="455"/>
      <c r="G13" s="455"/>
      <c r="H13" s="455"/>
      <c r="I13" s="455"/>
    </row>
    <row r="14" ht="16.25" customHeight="1" spans="1:9">
      <c r="A14" s="455"/>
      <c r="B14" s="455"/>
      <c r="C14" s="455"/>
      <c r="D14" s="455"/>
      <c r="E14" s="455"/>
      <c r="F14" s="455"/>
      <c r="G14" s="455"/>
      <c r="H14" s="455"/>
      <c r="I14" s="455"/>
    </row>
    <row r="15" ht="16.25" customHeight="1" spans="1:9">
      <c r="A15" s="455"/>
      <c r="B15" s="455"/>
      <c r="C15" s="455"/>
      <c r="D15" s="455"/>
      <c r="E15" s="455"/>
      <c r="F15" s="455"/>
      <c r="G15" s="455"/>
      <c r="H15" s="455"/>
      <c r="I15" s="455"/>
    </row>
    <row r="16" ht="16.25" customHeight="1" spans="1:9">
      <c r="A16" s="455"/>
      <c r="B16" s="455"/>
      <c r="C16" s="455"/>
      <c r="D16" s="455"/>
      <c r="E16" s="455"/>
      <c r="F16" s="455"/>
      <c r="G16" s="455"/>
      <c r="H16" s="455"/>
      <c r="I16" s="455"/>
    </row>
    <row r="17" ht="16.25" customHeight="1" spans="1:9">
      <c r="A17" s="455"/>
      <c r="B17" s="455"/>
      <c r="C17" s="455"/>
      <c r="D17" s="455"/>
      <c r="E17" s="455"/>
      <c r="F17" s="455"/>
      <c r="G17" s="455"/>
      <c r="H17" s="455"/>
      <c r="I17" s="455"/>
    </row>
    <row r="18" ht="16.25" customHeight="1" spans="1:9">
      <c r="A18" s="455"/>
      <c r="B18" s="455"/>
      <c r="C18" s="455"/>
      <c r="D18" s="455"/>
      <c r="E18" s="455"/>
      <c r="F18" s="455"/>
      <c r="G18" s="455"/>
      <c r="H18" s="455"/>
      <c r="I18" s="455"/>
    </row>
    <row r="19" ht="16.25" customHeight="1" spans="1:9">
      <c r="A19" s="455"/>
      <c r="B19" s="455"/>
      <c r="C19" s="455"/>
      <c r="D19" s="455"/>
      <c r="E19" s="455"/>
      <c r="F19" s="455"/>
      <c r="G19" s="455"/>
      <c r="H19" s="455"/>
      <c r="I19" s="455"/>
    </row>
    <row r="20" ht="16.25" customHeight="1" spans="1:9">
      <c r="A20" s="455"/>
      <c r="B20" s="455"/>
      <c r="C20" s="455"/>
      <c r="D20" s="455"/>
      <c r="E20" s="455"/>
      <c r="F20" s="455"/>
      <c r="G20" s="455"/>
      <c r="H20" s="455"/>
      <c r="I20" s="455"/>
    </row>
    <row r="21" ht="16.25" customHeight="1" spans="1:9">
      <c r="A21" s="455"/>
      <c r="B21" s="455"/>
      <c r="C21" s="455"/>
      <c r="D21" s="455"/>
      <c r="E21" s="455"/>
      <c r="F21" s="455"/>
      <c r="G21" s="455"/>
      <c r="H21" s="455"/>
      <c r="I21" s="455"/>
    </row>
    <row r="22" ht="16.25" customHeight="1" spans="1:9">
      <c r="A22" s="455"/>
      <c r="B22" s="455"/>
      <c r="C22" s="455"/>
      <c r="D22" s="455"/>
      <c r="E22" s="455"/>
      <c r="F22" s="455"/>
      <c r="G22" s="455"/>
      <c r="H22" s="455"/>
      <c r="I22" s="455"/>
    </row>
    <row r="23" ht="16.25" customHeight="1" spans="1:9">
      <c r="A23" s="455"/>
      <c r="B23" s="455"/>
      <c r="C23" s="455"/>
      <c r="D23" s="455"/>
      <c r="E23" s="455"/>
      <c r="F23" s="455"/>
      <c r="G23" s="455"/>
      <c r="H23" s="455"/>
      <c r="I23" s="455"/>
    </row>
    <row r="24" ht="16.25" customHeight="1" spans="1:9">
      <c r="A24" s="455"/>
      <c r="B24" s="455"/>
      <c r="C24" s="455"/>
      <c r="D24" s="455"/>
      <c r="E24" s="455"/>
      <c r="F24" s="455"/>
      <c r="G24" s="455"/>
      <c r="H24" s="455"/>
      <c r="I24" s="455"/>
    </row>
    <row r="25" ht="16.25" customHeight="1" spans="1:9">
      <c r="A25" s="455"/>
      <c r="B25" s="455"/>
      <c r="C25" s="455"/>
      <c r="D25" s="455"/>
      <c r="E25" s="455"/>
      <c r="F25" s="455"/>
      <c r="G25" s="455"/>
      <c r="H25" s="455"/>
      <c r="I25" s="455"/>
    </row>
    <row r="26" ht="16.25" customHeight="1" spans="1:9">
      <c r="A26" s="455"/>
      <c r="B26" s="455"/>
      <c r="C26" s="455"/>
      <c r="D26" s="455"/>
      <c r="E26" s="455"/>
      <c r="F26" s="455"/>
      <c r="G26" s="455"/>
      <c r="H26" s="455"/>
      <c r="I26" s="455"/>
    </row>
    <row r="27" ht="16.25" customHeight="1" spans="1:9">
      <c r="A27" s="455"/>
      <c r="B27" s="455"/>
      <c r="C27" s="455"/>
      <c r="D27" s="455"/>
      <c r="E27" s="455"/>
      <c r="F27" s="455"/>
      <c r="G27" s="455"/>
      <c r="H27" s="455"/>
      <c r="I27" s="455"/>
    </row>
  </sheetData>
  <mergeCells count="1">
    <mergeCell ref="A1:I27"/>
  </mergeCells>
  <pageMargins left="0.7" right="0.7" top="0.75" bottom="0.75" header="0.3" footer="0.3"/>
  <headerFooter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outlinePr summaryBelow="0" summaryRight="0"/>
  </sheetPr>
  <dimension ref="A1:E60"/>
  <sheetViews>
    <sheetView topLeftCell="A12" workbookViewId="0">
      <selection activeCell="O5" sqref="O5"/>
    </sheetView>
  </sheetViews>
  <sheetFormatPr defaultColWidth="14" defaultRowHeight="12.75" outlineLevelCol="4"/>
  <cols>
    <col min="1" max="1" width="11" customWidth="1"/>
    <col min="2" max="3" width="12" customWidth="1"/>
    <col min="4" max="4" width="13" customWidth="1"/>
    <col min="5" max="5" width="101.628571428571" customWidth="1"/>
    <col min="6" max="17" width="9" customWidth="1"/>
  </cols>
  <sheetData>
    <row r="1" ht="22.25" customHeight="1" spans="1:5">
      <c r="A1" s="430" t="s">
        <v>1</v>
      </c>
      <c r="B1" s="430"/>
      <c r="C1" s="430"/>
      <c r="D1" s="430"/>
      <c r="E1" s="430"/>
    </row>
    <row r="2" ht="19.25" customHeight="1" spans="1:5">
      <c r="A2" s="431"/>
      <c r="B2" s="432"/>
      <c r="C2" s="431"/>
      <c r="D2" s="431"/>
      <c r="E2" s="431"/>
    </row>
    <row r="3" ht="20" customHeight="1" spans="1:5">
      <c r="A3" s="433" t="s">
        <v>2</v>
      </c>
      <c r="B3" s="434" t="s">
        <v>3</v>
      </c>
      <c r="C3" s="433" t="s">
        <v>4</v>
      </c>
      <c r="D3" s="433" t="s">
        <v>5</v>
      </c>
      <c r="E3" s="435" t="s">
        <v>6</v>
      </c>
    </row>
    <row r="4" ht="17" customHeight="1" spans="1:5">
      <c r="A4" s="436" t="s">
        <v>7</v>
      </c>
      <c r="B4" s="437" t="s">
        <v>8</v>
      </c>
      <c r="C4" s="438" t="s">
        <v>9</v>
      </c>
      <c r="D4" s="438"/>
      <c r="E4" s="439" t="s">
        <v>10</v>
      </c>
    </row>
    <row r="5" ht="88.25" customHeight="1" spans="1:5">
      <c r="A5" s="436" t="s">
        <v>11</v>
      </c>
      <c r="B5" s="437" t="s">
        <v>12</v>
      </c>
      <c r="C5" s="438" t="s">
        <v>13</v>
      </c>
      <c r="D5" s="438"/>
      <c r="E5" s="439" t="s">
        <v>14</v>
      </c>
    </row>
    <row r="6" ht="44" customHeight="1" spans="1:5">
      <c r="A6" s="436" t="s">
        <v>15</v>
      </c>
      <c r="B6" s="437" t="s">
        <v>16</v>
      </c>
      <c r="C6" s="438" t="s">
        <v>17</v>
      </c>
      <c r="D6" s="438"/>
      <c r="E6" s="440" t="s">
        <v>18</v>
      </c>
    </row>
    <row r="7" ht="153" spans="1:5">
      <c r="A7" s="436" t="s">
        <v>19</v>
      </c>
      <c r="B7" s="437" t="s">
        <v>20</v>
      </c>
      <c r="C7" s="438" t="s">
        <v>13</v>
      </c>
      <c r="D7" s="438"/>
      <c r="E7" s="439" t="s">
        <v>21</v>
      </c>
    </row>
    <row r="8" ht="17" customHeight="1" spans="1:5">
      <c r="A8" s="436" t="s">
        <v>22</v>
      </c>
      <c r="B8" s="437" t="s">
        <v>23</v>
      </c>
      <c r="C8" s="438" t="s">
        <v>13</v>
      </c>
      <c r="D8" s="438"/>
      <c r="E8" s="439" t="s">
        <v>24</v>
      </c>
    </row>
    <row r="9" ht="30.9" customHeight="1" spans="1:5">
      <c r="A9" s="436" t="s">
        <v>25</v>
      </c>
      <c r="B9" s="437" t="s">
        <v>26</v>
      </c>
      <c r="C9" s="438" t="s">
        <v>13</v>
      </c>
      <c r="D9" s="438"/>
      <c r="E9" s="439" t="s">
        <v>27</v>
      </c>
    </row>
    <row r="10" ht="27" customHeight="1" spans="1:5">
      <c r="A10" s="436" t="s">
        <v>28</v>
      </c>
      <c r="B10" s="437" t="s">
        <v>29</v>
      </c>
      <c r="C10" s="438" t="s">
        <v>13</v>
      </c>
      <c r="D10" s="438"/>
      <c r="E10" s="439" t="s">
        <v>30</v>
      </c>
    </row>
    <row r="11" s="429" customFormat="1" ht="161" customHeight="1" spans="1:5">
      <c r="A11" s="436" t="s">
        <v>31</v>
      </c>
      <c r="B11" s="437" t="s">
        <v>32</v>
      </c>
      <c r="C11" s="438" t="s">
        <v>33</v>
      </c>
      <c r="D11" s="438"/>
      <c r="E11" s="439" t="s">
        <v>34</v>
      </c>
    </row>
    <row r="12" ht="332" customHeight="1" spans="1:5">
      <c r="A12" s="436" t="s">
        <v>35</v>
      </c>
      <c r="B12" s="437" t="s">
        <v>36</v>
      </c>
      <c r="C12" s="438" t="s">
        <v>37</v>
      </c>
      <c r="D12" s="438"/>
      <c r="E12" s="439" t="s">
        <v>38</v>
      </c>
    </row>
    <row r="13" ht="74.5" customHeight="1" spans="1:5">
      <c r="A13" s="436" t="s">
        <v>39</v>
      </c>
      <c r="B13" s="437" t="s">
        <v>40</v>
      </c>
      <c r="C13" s="438" t="s">
        <v>37</v>
      </c>
      <c r="D13" s="438"/>
      <c r="E13" s="439" t="s">
        <v>41</v>
      </c>
    </row>
    <row r="14" ht="65" customHeight="1" spans="1:5">
      <c r="A14" s="436" t="s">
        <v>42</v>
      </c>
      <c r="B14" s="437" t="s">
        <v>43</v>
      </c>
      <c r="C14" s="438" t="s">
        <v>37</v>
      </c>
      <c r="D14" s="438"/>
      <c r="E14" s="439" t="s">
        <v>44</v>
      </c>
    </row>
    <row r="15" ht="143.5" customHeight="1" spans="1:5">
      <c r="A15" s="436" t="s">
        <v>45</v>
      </c>
      <c r="B15" s="437" t="s">
        <v>46</v>
      </c>
      <c r="C15" s="438" t="s">
        <v>37</v>
      </c>
      <c r="D15" s="438"/>
      <c r="E15" s="439" t="s">
        <v>47</v>
      </c>
    </row>
    <row r="16" ht="243.5" customHeight="1" spans="1:5">
      <c r="A16" s="436" t="s">
        <v>48</v>
      </c>
      <c r="B16" s="437" t="s">
        <v>49</v>
      </c>
      <c r="C16" s="438" t="s">
        <v>37</v>
      </c>
      <c r="D16" s="438"/>
      <c r="E16" s="439" t="s">
        <v>50</v>
      </c>
    </row>
    <row r="17" ht="110.5" customHeight="1" spans="1:5">
      <c r="A17" s="436" t="s">
        <v>51</v>
      </c>
      <c r="B17" s="437" t="s">
        <v>52</v>
      </c>
      <c r="C17" s="438" t="s">
        <v>37</v>
      </c>
      <c r="D17" s="438"/>
      <c r="E17" s="439" t="s">
        <v>53</v>
      </c>
    </row>
    <row r="18" ht="34" customHeight="1" spans="1:5">
      <c r="A18" s="441" t="s">
        <v>54</v>
      </c>
      <c r="B18" s="442" t="s">
        <v>55</v>
      </c>
      <c r="C18" s="443" t="s">
        <v>37</v>
      </c>
      <c r="D18" s="443"/>
      <c r="E18" s="444" t="s">
        <v>56</v>
      </c>
    </row>
    <row r="19" ht="31.5" customHeight="1" spans="1:5">
      <c r="A19" s="9" t="s">
        <v>57</v>
      </c>
      <c r="B19" s="445">
        <v>45713</v>
      </c>
      <c r="C19" s="9" t="s">
        <v>37</v>
      </c>
      <c r="D19" s="9"/>
      <c r="E19" s="446" t="s">
        <v>58</v>
      </c>
    </row>
    <row r="20" ht="145" customHeight="1" spans="1:5">
      <c r="A20" s="9" t="s">
        <v>59</v>
      </c>
      <c r="B20" s="445">
        <v>45727</v>
      </c>
      <c r="C20" s="9" t="s">
        <v>37</v>
      </c>
      <c r="D20" s="9"/>
      <c r="E20" s="446" t="s">
        <v>60</v>
      </c>
    </row>
    <row r="21" ht="123" customHeight="1" spans="1:5">
      <c r="A21" s="9" t="s">
        <v>61</v>
      </c>
      <c r="B21" s="445">
        <v>45737</v>
      </c>
      <c r="C21" s="9" t="s">
        <v>37</v>
      </c>
      <c r="D21" s="9"/>
      <c r="E21" s="446" t="s">
        <v>62</v>
      </c>
    </row>
    <row r="22" ht="109.5" customHeight="1" spans="1:5">
      <c r="A22" s="9" t="s">
        <v>63</v>
      </c>
      <c r="B22" s="445">
        <v>45744</v>
      </c>
      <c r="C22" s="9" t="s">
        <v>37</v>
      </c>
      <c r="D22" s="9"/>
      <c r="E22" s="446" t="s">
        <v>64</v>
      </c>
    </row>
    <row r="23" ht="46" customHeight="1" spans="1:5">
      <c r="A23" s="9" t="s">
        <v>65</v>
      </c>
      <c r="B23" s="445">
        <v>45748</v>
      </c>
      <c r="C23" s="9" t="s">
        <v>37</v>
      </c>
      <c r="D23" s="9"/>
      <c r="E23" s="446" t="s">
        <v>66</v>
      </c>
    </row>
    <row r="24" ht="24" customHeight="1" spans="1:5">
      <c r="A24" s="9" t="s">
        <v>67</v>
      </c>
      <c r="B24" s="445">
        <v>45754</v>
      </c>
      <c r="C24" s="9" t="s">
        <v>37</v>
      </c>
      <c r="D24" s="9"/>
      <c r="E24" s="446" t="s">
        <v>68</v>
      </c>
    </row>
    <row r="25" ht="91.5" customHeight="1" spans="1:5">
      <c r="A25" s="9" t="s">
        <v>69</v>
      </c>
      <c r="B25" s="445">
        <v>45763</v>
      </c>
      <c r="C25" s="9" t="s">
        <v>37</v>
      </c>
      <c r="D25" s="9"/>
      <c r="E25" s="446" t="s">
        <v>70</v>
      </c>
    </row>
    <row r="26" ht="45" customHeight="1" spans="1:5">
      <c r="A26" s="9" t="s">
        <v>71</v>
      </c>
      <c r="B26" s="445">
        <v>45776</v>
      </c>
      <c r="C26" s="9" t="s">
        <v>37</v>
      </c>
      <c r="D26" s="9"/>
      <c r="E26" s="446" t="s">
        <v>72</v>
      </c>
    </row>
    <row r="27" ht="82.5" customHeight="1" spans="1:5">
      <c r="A27" s="9" t="s">
        <v>73</v>
      </c>
      <c r="B27" s="445">
        <v>45789</v>
      </c>
      <c r="C27" s="9" t="s">
        <v>37</v>
      </c>
      <c r="D27" s="9"/>
      <c r="E27" s="446" t="s">
        <v>74</v>
      </c>
    </row>
    <row r="28" ht="117.5" customHeight="1" spans="1:5">
      <c r="A28" s="9" t="s">
        <v>75</v>
      </c>
      <c r="B28" s="445">
        <v>45791</v>
      </c>
      <c r="C28" s="9" t="s">
        <v>37</v>
      </c>
      <c r="D28" s="9"/>
      <c r="E28" s="446" t="s">
        <v>76</v>
      </c>
    </row>
    <row r="29" spans="1:5">
      <c r="A29" s="9" t="s">
        <v>77</v>
      </c>
      <c r="B29" s="445">
        <v>45798</v>
      </c>
      <c r="C29" s="9" t="s">
        <v>37</v>
      </c>
      <c r="D29" s="9"/>
      <c r="E29" s="446" t="s">
        <v>78</v>
      </c>
    </row>
    <row r="30" ht="236.5" customHeight="1" spans="1:5">
      <c r="A30" s="9" t="s">
        <v>79</v>
      </c>
      <c r="B30" s="445">
        <v>45807</v>
      </c>
      <c r="C30" s="9" t="s">
        <v>37</v>
      </c>
      <c r="D30" s="9"/>
      <c r="E30" s="446" t="s">
        <v>80</v>
      </c>
    </row>
    <row r="31" ht="165.75" spans="1:5">
      <c r="A31" s="388" t="s">
        <v>81</v>
      </c>
      <c r="B31" s="447">
        <v>45819</v>
      </c>
      <c r="C31" s="388" t="s">
        <v>37</v>
      </c>
      <c r="D31" s="388"/>
      <c r="E31" s="448" t="s">
        <v>82</v>
      </c>
    </row>
    <row r="32" ht="25.5" spans="1:5">
      <c r="A32" s="9" t="s">
        <v>83</v>
      </c>
      <c r="B32" s="445">
        <v>45821</v>
      </c>
      <c r="C32" s="388" t="s">
        <v>37</v>
      </c>
      <c r="D32" s="9"/>
      <c r="E32" s="446" t="s">
        <v>84</v>
      </c>
    </row>
    <row r="33" ht="94" customHeight="1" spans="1:5">
      <c r="A33" s="9" t="s">
        <v>85</v>
      </c>
      <c r="B33" s="445">
        <v>45838</v>
      </c>
      <c r="C33" s="449" t="s">
        <v>86</v>
      </c>
      <c r="D33" s="9"/>
      <c r="E33" s="446" t="s">
        <v>87</v>
      </c>
    </row>
    <row r="34" ht="229.5" spans="1:5">
      <c r="A34" s="388" t="s">
        <v>88</v>
      </c>
      <c r="B34" s="447">
        <v>45852</v>
      </c>
      <c r="C34" s="388" t="s">
        <v>37</v>
      </c>
      <c r="D34" s="388"/>
      <c r="E34" s="448" t="s">
        <v>89</v>
      </c>
    </row>
    <row r="35" ht="306" spans="1:5">
      <c r="A35" s="388" t="s">
        <v>90</v>
      </c>
      <c r="B35" s="447">
        <v>45873</v>
      </c>
      <c r="C35" s="388" t="s">
        <v>37</v>
      </c>
      <c r="D35" s="388"/>
      <c r="E35" s="448" t="s">
        <v>91</v>
      </c>
    </row>
    <row r="36" spans="1:5">
      <c r="A36" s="388" t="s">
        <v>92</v>
      </c>
      <c r="B36" s="447">
        <v>45876</v>
      </c>
      <c r="C36" s="388" t="s">
        <v>37</v>
      </c>
      <c r="D36" s="388"/>
      <c r="E36" s="450" t="s">
        <v>93</v>
      </c>
    </row>
    <row r="37" ht="140.25" spans="1:5">
      <c r="A37" s="388" t="s">
        <v>94</v>
      </c>
      <c r="B37" s="447">
        <v>45890</v>
      </c>
      <c r="C37" s="388" t="s">
        <v>37</v>
      </c>
      <c r="D37" s="388"/>
      <c r="E37" s="448" t="s">
        <v>95</v>
      </c>
    </row>
    <row r="38" ht="102" spans="1:5">
      <c r="A38" s="388" t="s">
        <v>96</v>
      </c>
      <c r="B38" s="447">
        <v>45896</v>
      </c>
      <c r="C38" s="388" t="s">
        <v>37</v>
      </c>
      <c r="D38" s="388"/>
      <c r="E38" s="448" t="s">
        <v>97</v>
      </c>
    </row>
    <row r="39" ht="25.5" spans="1:5">
      <c r="A39" s="388" t="s">
        <v>98</v>
      </c>
      <c r="B39" s="447">
        <v>45905</v>
      </c>
      <c r="C39" s="388" t="s">
        <v>37</v>
      </c>
      <c r="D39" s="388"/>
      <c r="E39" s="448" t="s">
        <v>99</v>
      </c>
    </row>
    <row r="40" ht="76.5" spans="1:5">
      <c r="A40" s="388" t="s">
        <v>100</v>
      </c>
      <c r="B40" s="447">
        <v>45910</v>
      </c>
      <c r="C40" s="388" t="s">
        <v>37</v>
      </c>
      <c r="D40" s="388"/>
      <c r="E40" s="448" t="s">
        <v>101</v>
      </c>
    </row>
    <row r="41" ht="178.5" spans="1:5">
      <c r="A41" s="388" t="s">
        <v>102</v>
      </c>
      <c r="B41" s="447">
        <v>45919</v>
      </c>
      <c r="C41" s="388" t="s">
        <v>37</v>
      </c>
      <c r="D41" s="388"/>
      <c r="E41" s="448" t="s">
        <v>103</v>
      </c>
    </row>
    <row r="42" ht="25.5" spans="1:5">
      <c r="A42" s="388" t="s">
        <v>104</v>
      </c>
      <c r="B42" s="447">
        <v>45945</v>
      </c>
      <c r="C42" s="388" t="s">
        <v>37</v>
      </c>
      <c r="D42" s="388"/>
      <c r="E42" s="448" t="s">
        <v>105</v>
      </c>
    </row>
    <row r="43" s="337" customFormat="1" ht="38.25" spans="1:5">
      <c r="A43" s="388" t="s">
        <v>106</v>
      </c>
      <c r="B43" s="447">
        <v>45951</v>
      </c>
      <c r="C43" s="388" t="s">
        <v>37</v>
      </c>
      <c r="D43" s="388"/>
      <c r="E43" s="448" t="s">
        <v>107</v>
      </c>
    </row>
    <row r="44" ht="102" spans="1:5">
      <c r="A44" s="388" t="s">
        <v>108</v>
      </c>
      <c r="B44" s="447">
        <v>45965</v>
      </c>
      <c r="C44" s="388" t="s">
        <v>37</v>
      </c>
      <c r="D44" s="388"/>
      <c r="E44" s="448" t="s">
        <v>109</v>
      </c>
    </row>
    <row r="45" ht="89.25" spans="1:5">
      <c r="A45" s="388" t="s">
        <v>110</v>
      </c>
      <c r="B45" s="447">
        <v>45974</v>
      </c>
      <c r="C45" s="388" t="s">
        <v>37</v>
      </c>
      <c r="D45" s="388"/>
      <c r="E45" s="448" t="s">
        <v>111</v>
      </c>
    </row>
    <row r="46" ht="140.25" spans="1:5">
      <c r="A46" s="388" t="s">
        <v>112</v>
      </c>
      <c r="B46" s="447">
        <v>45988</v>
      </c>
      <c r="C46" s="388" t="s">
        <v>37</v>
      </c>
      <c r="D46" s="388"/>
      <c r="E46" s="448" t="s">
        <v>113</v>
      </c>
    </row>
    <row r="47" ht="89.25" spans="1:5">
      <c r="A47" s="388" t="s">
        <v>114</v>
      </c>
      <c r="B47" s="447">
        <v>46009</v>
      </c>
      <c r="C47" s="388" t="s">
        <v>37</v>
      </c>
      <c r="D47" s="388"/>
      <c r="E47" s="448" t="s">
        <v>115</v>
      </c>
    </row>
    <row r="48" ht="25.5" spans="1:5">
      <c r="A48" s="353" t="s">
        <v>116</v>
      </c>
      <c r="B48" s="451">
        <v>46027</v>
      </c>
      <c r="C48" s="353" t="s">
        <v>37</v>
      </c>
      <c r="D48" s="353"/>
      <c r="E48" s="452" t="s">
        <v>117</v>
      </c>
    </row>
    <row r="49" spans="1:5">
      <c r="A49" s="9"/>
      <c r="B49" s="9"/>
      <c r="C49" s="9"/>
      <c r="D49" s="9"/>
      <c r="E49" s="453"/>
    </row>
    <row r="50" spans="1:5">
      <c r="A50" s="9"/>
      <c r="B50" s="9"/>
      <c r="C50" s="9"/>
      <c r="D50" s="9"/>
      <c r="E50" s="453"/>
    </row>
    <row r="51" spans="1:5">
      <c r="A51" s="9"/>
      <c r="B51" s="9"/>
      <c r="C51" s="9"/>
      <c r="D51" s="9"/>
      <c r="E51" s="453"/>
    </row>
    <row r="52" spans="1:5">
      <c r="A52" s="9"/>
      <c r="B52" s="9"/>
      <c r="C52" s="9"/>
      <c r="D52" s="9"/>
      <c r="E52" s="453"/>
    </row>
    <row r="53" spans="1:5">
      <c r="A53" s="9"/>
      <c r="B53" s="9"/>
      <c r="C53" s="9"/>
      <c r="D53" s="9"/>
      <c r="E53" s="453"/>
    </row>
    <row r="54" spans="1:5">
      <c r="A54" s="9"/>
      <c r="B54" s="9"/>
      <c r="C54" s="9"/>
      <c r="D54" s="9"/>
      <c r="E54" s="453"/>
    </row>
    <row r="55" spans="1:5">
      <c r="A55" s="9"/>
      <c r="B55" s="9"/>
      <c r="C55" s="9"/>
      <c r="D55" s="9"/>
      <c r="E55" s="453"/>
    </row>
    <row r="56" spans="1:5">
      <c r="A56" s="9"/>
      <c r="B56" s="9"/>
      <c r="C56" s="9"/>
      <c r="D56" s="9"/>
      <c r="E56" s="453"/>
    </row>
    <row r="57" spans="1:5">
      <c r="A57" s="9"/>
      <c r="B57" s="9"/>
      <c r="C57" s="9"/>
      <c r="D57" s="9"/>
      <c r="E57" s="453"/>
    </row>
    <row r="58" spans="1:5">
      <c r="A58" s="9"/>
      <c r="B58" s="9"/>
      <c r="C58" s="9"/>
      <c r="D58" s="9"/>
      <c r="E58" s="453"/>
    </row>
    <row r="59" spans="1:5">
      <c r="A59" s="9"/>
      <c r="B59" s="9"/>
      <c r="C59" s="9"/>
      <c r="D59" s="9"/>
      <c r="E59" s="453"/>
    </row>
    <row r="60" spans="1:5">
      <c r="A60" s="9"/>
      <c r="B60" s="9"/>
      <c r="C60" s="9"/>
      <c r="D60" s="9"/>
      <c r="E60" s="453"/>
    </row>
  </sheetData>
  <mergeCells count="1">
    <mergeCell ref="A1:E1"/>
  </mergeCells>
  <pageMargins left="0.7" right="0.7" top="0.75" bottom="0.75" header="0.3" footer="0.3"/>
  <pageSetup paperSize="9" orientation="portrait"/>
  <headerFooter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outlinePr summaryBelow="0" summaryRight="0"/>
  </sheetPr>
  <dimension ref="A1:T22"/>
  <sheetViews>
    <sheetView topLeftCell="A4" workbookViewId="0">
      <selection activeCell="O5" sqref="O5"/>
    </sheetView>
  </sheetViews>
  <sheetFormatPr defaultColWidth="14" defaultRowHeight="12.75"/>
  <cols>
    <col min="1" max="1" width="21" customWidth="1"/>
    <col min="2" max="2" width="43" customWidth="1"/>
    <col min="3" max="3" width="20" customWidth="1"/>
    <col min="4" max="4" width="27" customWidth="1"/>
    <col min="5" max="5" width="48" customWidth="1"/>
    <col min="6" max="6" width="74" customWidth="1"/>
    <col min="7" max="13" width="5" customWidth="1"/>
    <col min="14" max="15" width="4" customWidth="1"/>
    <col min="16" max="16" width="5" customWidth="1"/>
    <col min="17" max="20" width="9" customWidth="1"/>
  </cols>
  <sheetData>
    <row r="1" ht="17.25" spans="1:20">
      <c r="A1" s="409" t="s">
        <v>118</v>
      </c>
      <c r="B1" s="410"/>
      <c r="C1" s="411"/>
      <c r="D1" s="409" t="s">
        <v>119</v>
      </c>
      <c r="E1" s="410"/>
      <c r="F1" s="411"/>
      <c r="G1" s="411"/>
      <c r="H1" s="411"/>
      <c r="I1" s="411"/>
      <c r="J1" s="411"/>
      <c r="K1" s="411"/>
      <c r="L1" s="411"/>
      <c r="M1" s="411"/>
      <c r="N1" s="411"/>
      <c r="O1" s="411"/>
      <c r="P1" s="411"/>
      <c r="Q1" s="411"/>
      <c r="R1" s="411"/>
      <c r="S1" s="411"/>
      <c r="T1" s="411"/>
    </row>
    <row r="2" ht="24.75" spans="1:20">
      <c r="A2" s="412" t="s">
        <v>120</v>
      </c>
      <c r="B2" s="413" t="s">
        <v>121</v>
      </c>
      <c r="D2" s="412" t="s">
        <v>120</v>
      </c>
      <c r="E2" s="413" t="s">
        <v>121</v>
      </c>
    </row>
    <row r="3" ht="25.5" spans="1:20">
      <c r="A3" s="414" t="s">
        <v>122</v>
      </c>
      <c r="B3" s="415" t="s">
        <v>123</v>
      </c>
      <c r="D3" s="416" t="s">
        <v>124</v>
      </c>
      <c r="E3" s="417" t="s">
        <v>125</v>
      </c>
    </row>
    <row r="4" ht="141" spans="1:20">
      <c r="A4" s="418" t="s">
        <v>126</v>
      </c>
      <c r="B4" s="419" t="s">
        <v>127</v>
      </c>
      <c r="D4" s="420" t="s">
        <v>128</v>
      </c>
      <c r="E4" s="421" t="s">
        <v>129</v>
      </c>
    </row>
    <row r="5" ht="37.5" spans="1:20">
      <c r="A5" s="418" t="s">
        <v>130</v>
      </c>
      <c r="B5" s="419" t="s">
        <v>131</v>
      </c>
      <c r="C5" s="422"/>
      <c r="D5" s="423" t="s">
        <v>132</v>
      </c>
      <c r="E5" s="424"/>
    </row>
    <row r="6" ht="24.75" spans="1:20">
      <c r="A6" s="418" t="s">
        <v>133</v>
      </c>
      <c r="B6" s="415" t="s">
        <v>134</v>
      </c>
    </row>
    <row r="7" ht="24.75" spans="1:20">
      <c r="A7" s="418" t="s">
        <v>135</v>
      </c>
      <c r="B7" s="425"/>
    </row>
    <row r="8" ht="24.75" spans="1:20">
      <c r="A8" s="418" t="s">
        <v>136</v>
      </c>
      <c r="B8" s="425" t="s">
        <v>137</v>
      </c>
    </row>
    <row r="9" ht="24.75" spans="1:20">
      <c r="A9" s="418" t="s">
        <v>138</v>
      </c>
      <c r="B9" s="425" t="s">
        <v>139</v>
      </c>
    </row>
    <row r="10" ht="51" spans="1:20">
      <c r="A10" s="418" t="s">
        <v>140</v>
      </c>
      <c r="B10" s="419" t="s">
        <v>141</v>
      </c>
    </row>
    <row r="11" ht="24.75" spans="1:20">
      <c r="A11" s="418" t="s">
        <v>142</v>
      </c>
      <c r="B11" s="425"/>
    </row>
    <row r="12" ht="76.5" spans="1:20">
      <c r="A12" s="418" t="s">
        <v>143</v>
      </c>
      <c r="B12" s="419" t="s">
        <v>144</v>
      </c>
    </row>
    <row r="13" ht="24.75" spans="1:20">
      <c r="A13" s="418" t="s">
        <v>145</v>
      </c>
      <c r="B13" s="425" t="s">
        <v>146</v>
      </c>
    </row>
    <row r="14" ht="37.5" spans="1:20">
      <c r="A14" s="418" t="s">
        <v>147</v>
      </c>
      <c r="B14" s="425" t="s">
        <v>148</v>
      </c>
    </row>
    <row r="15" ht="37.5" spans="1:20">
      <c r="A15" s="418" t="s">
        <v>149</v>
      </c>
      <c r="B15" s="425" t="s">
        <v>150</v>
      </c>
      <c r="D15" s="426"/>
      <c r="E15" s="426"/>
    </row>
    <row r="16" ht="24.75" spans="1:20">
      <c r="A16" s="418" t="s">
        <v>151</v>
      </c>
      <c r="B16" s="425" t="s">
        <v>152</v>
      </c>
      <c r="D16" s="426"/>
      <c r="E16" s="426"/>
    </row>
    <row r="17" ht="37.5" spans="1:5">
      <c r="A17" s="418" t="s">
        <v>153</v>
      </c>
      <c r="B17" s="425" t="s">
        <v>154</v>
      </c>
      <c r="C17" s="426"/>
      <c r="D17" s="426"/>
      <c r="E17" s="426"/>
    </row>
    <row r="18" ht="24.75" spans="1:5">
      <c r="A18" s="418" t="s">
        <v>155</v>
      </c>
      <c r="B18" s="425" t="s">
        <v>156</v>
      </c>
      <c r="C18" s="426"/>
      <c r="D18" s="426"/>
      <c r="E18" s="426"/>
    </row>
    <row r="19" ht="38.25" spans="1:5">
      <c r="A19" s="418" t="s">
        <v>157</v>
      </c>
      <c r="B19" s="425" t="s">
        <v>158</v>
      </c>
      <c r="C19" s="426"/>
      <c r="D19" s="426"/>
      <c r="E19" s="426"/>
    </row>
    <row r="20" ht="51" spans="1:5">
      <c r="A20" s="418" t="s">
        <v>159</v>
      </c>
      <c r="B20" s="425" t="s">
        <v>160</v>
      </c>
      <c r="C20" s="426"/>
      <c r="D20" s="426"/>
      <c r="E20" s="426"/>
    </row>
    <row r="21" ht="38.25" spans="1:5">
      <c r="A21" s="418" t="s">
        <v>161</v>
      </c>
      <c r="B21" s="425" t="s">
        <v>162</v>
      </c>
      <c r="C21" s="426"/>
      <c r="D21" s="426"/>
      <c r="E21" s="426"/>
    </row>
    <row r="22" ht="39" spans="1:5">
      <c r="A22" s="427" t="s">
        <v>163</v>
      </c>
      <c r="B22" s="428" t="s">
        <v>164</v>
      </c>
      <c r="C22" s="426"/>
      <c r="D22" s="426"/>
      <c r="E22" s="426"/>
    </row>
  </sheetData>
  <mergeCells count="3">
    <mergeCell ref="A1:B1"/>
    <mergeCell ref="D1:E1"/>
    <mergeCell ref="D5:E5"/>
  </mergeCells>
  <pageMargins left="0.7" right="0.7" top="0.75" bottom="0.75" header="0.3" footer="0.3"/>
  <headerFooter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outlinePr summaryBelow="0" summaryRight="0"/>
  </sheetPr>
  <dimension ref="B1:C17"/>
  <sheetViews>
    <sheetView workbookViewId="0">
      <selection activeCell="O5" sqref="O5"/>
    </sheetView>
  </sheetViews>
  <sheetFormatPr defaultColWidth="14" defaultRowHeight="12.75" outlineLevelCol="2"/>
  <cols>
    <col min="1" max="1" width="2" customWidth="1"/>
    <col min="2" max="2" width="24" customWidth="1"/>
    <col min="3" max="3" width="28" customWidth="1"/>
    <col min="4" max="4" width="10" style="337" customWidth="1"/>
    <col min="5" max="20" width="10" customWidth="1"/>
  </cols>
  <sheetData>
    <row r="1" ht="16.25" customHeight="1"/>
    <row r="2" ht="16.25" customHeight="1" spans="2:3">
      <c r="B2" s="407" t="s">
        <v>165</v>
      </c>
      <c r="C2" s="407" t="s">
        <v>166</v>
      </c>
    </row>
    <row r="3" ht="16.25" customHeight="1" spans="2:3">
      <c r="B3" s="408" t="s">
        <v>167</v>
      </c>
      <c r="C3" s="408" t="s">
        <v>168</v>
      </c>
    </row>
    <row r="4" ht="16.25" customHeight="1" spans="2:3">
      <c r="B4" s="408" t="s">
        <v>169</v>
      </c>
      <c r="C4" s="408" t="s">
        <v>170</v>
      </c>
    </row>
    <row r="5" ht="16.25" customHeight="1" spans="2:3">
      <c r="B5" s="408" t="s">
        <v>171</v>
      </c>
      <c r="C5" s="408" t="s">
        <v>172</v>
      </c>
    </row>
    <row r="6" ht="16.25" customHeight="1" spans="2:3">
      <c r="B6" s="408" t="s">
        <v>173</v>
      </c>
      <c r="C6" s="408" t="s">
        <v>174</v>
      </c>
    </row>
    <row r="7" ht="16.25" customHeight="1" spans="2:3">
      <c r="B7" s="408" t="s">
        <v>175</v>
      </c>
      <c r="C7" s="408" t="s">
        <v>176</v>
      </c>
    </row>
    <row r="8" ht="16.25" customHeight="1" spans="2:3">
      <c r="B8" s="408" t="s">
        <v>177</v>
      </c>
      <c r="C8" s="408" t="s">
        <v>178</v>
      </c>
    </row>
    <row r="9" ht="16.25" customHeight="1" spans="2:3">
      <c r="B9" s="408" t="s">
        <v>179</v>
      </c>
      <c r="C9" s="408" t="s">
        <v>180</v>
      </c>
    </row>
    <row r="10" ht="16.25" customHeight="1" spans="2:3">
      <c r="B10" s="408" t="s">
        <v>181</v>
      </c>
      <c r="C10" s="408" t="s">
        <v>182</v>
      </c>
    </row>
    <row r="11" ht="16.25" customHeight="1" spans="2:3">
      <c r="B11" s="408" t="s">
        <v>183</v>
      </c>
      <c r="C11" s="408" t="s">
        <v>184</v>
      </c>
    </row>
    <row r="12" ht="16.25" customHeight="1" spans="2:3">
      <c r="B12" s="408" t="s">
        <v>185</v>
      </c>
      <c r="C12" s="408" t="s">
        <v>186</v>
      </c>
    </row>
    <row r="13" ht="16.25" customHeight="1" spans="2:3">
      <c r="B13" s="408" t="s">
        <v>187</v>
      </c>
      <c r="C13" s="408" t="s">
        <v>188</v>
      </c>
    </row>
    <row r="14" ht="16.25" customHeight="1" spans="2:3">
      <c r="B14" s="408" t="s">
        <v>189</v>
      </c>
      <c r="C14" s="408" t="s">
        <v>190</v>
      </c>
    </row>
    <row r="15" ht="16.25" customHeight="1" spans="2:3">
      <c r="B15" s="408" t="s">
        <v>191</v>
      </c>
      <c r="C15" s="408" t="s">
        <v>192</v>
      </c>
    </row>
    <row r="16" ht="16.25" customHeight="1" spans="2:3">
      <c r="B16" s="408" t="s">
        <v>193</v>
      </c>
      <c r="C16" s="408" t="s">
        <v>194</v>
      </c>
    </row>
    <row r="17" ht="16.25" customHeight="1" spans="2:3">
      <c r="B17" s="408"/>
      <c r="C17" s="408"/>
    </row>
  </sheetData>
  <pageMargins left="0.7" right="0.7" top="0.75" bottom="0.75" header="0.3" footer="0.3"/>
  <headerFooter/>
  <drawing r:id="rId2"/>
  <legacyDrawing r:id="rId3"/>
  <picture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outlinePr summaryBelow="0" summaryRight="0"/>
  </sheetPr>
  <dimension ref="A1:Q202"/>
  <sheetViews>
    <sheetView workbookViewId="0">
      <pane ySplit="1" topLeftCell="A2" activePane="bottomLeft" state="frozen"/>
      <selection/>
      <selection pane="bottomLeft" activeCell="B8" sqref="B8"/>
    </sheetView>
  </sheetViews>
  <sheetFormatPr defaultColWidth="14" defaultRowHeight="12.75"/>
  <cols>
    <col min="1" max="1" width="25.1809523809524" customWidth="1"/>
    <col min="2" max="2" width="43" customWidth="1"/>
    <col min="3" max="3" width="18.1809523809524" customWidth="1"/>
    <col min="4" max="4" width="17" customWidth="1"/>
    <col min="5" max="5" width="15.0857142857143" customWidth="1"/>
    <col min="6" max="6" width="9.36190476190476" customWidth="1"/>
    <col min="7" max="7" width="24" customWidth="1"/>
    <col min="8" max="8" width="26.9047619047619" customWidth="1"/>
    <col min="9" max="9" width="37.1428571428571" customWidth="1"/>
    <col min="10" max="10" width="10.8571428571429" customWidth="1"/>
    <col min="11" max="11" width="7.42857142857143" customWidth="1"/>
    <col min="12" max="12" width="8.71428571428571" customWidth="1"/>
    <col min="13" max="13" width="10" customWidth="1"/>
    <col min="14" max="14" width="28.4285714285714" style="338" customWidth="1"/>
    <col min="15" max="15" width="22.4285714285714" style="338" customWidth="1"/>
    <col min="16" max="16" width="9.57142857142857" style="338" customWidth="1"/>
    <col min="17" max="17" width="14" style="337" customWidth="1"/>
    <col min="18" max="20" width="14" customWidth="1"/>
  </cols>
  <sheetData>
    <row r="1" ht="50.25" spans="1:17">
      <c r="A1" s="339" t="s">
        <v>195</v>
      </c>
      <c r="B1" s="339" t="s">
        <v>196</v>
      </c>
      <c r="C1" s="340" t="s">
        <v>197</v>
      </c>
      <c r="D1" s="341" t="s">
        <v>198</v>
      </c>
      <c r="E1" s="339" t="s">
        <v>199</v>
      </c>
      <c r="F1" s="339" t="s">
        <v>200</v>
      </c>
      <c r="G1" s="342" t="s">
        <v>201</v>
      </c>
      <c r="H1" s="339" t="s">
        <v>202</v>
      </c>
      <c r="I1" s="339" t="s">
        <v>203</v>
      </c>
      <c r="J1" s="343" t="s">
        <v>204</v>
      </c>
      <c r="K1" s="344" t="s">
        <v>205</v>
      </c>
      <c r="L1" s="344" t="s">
        <v>206</v>
      </c>
      <c r="M1" s="343" t="s">
        <v>207</v>
      </c>
      <c r="N1" s="345" t="s">
        <v>208</v>
      </c>
      <c r="O1" s="343" t="s">
        <v>209</v>
      </c>
      <c r="P1" s="343" t="s">
        <v>210</v>
      </c>
      <c r="Q1" s="343" t="s">
        <v>211</v>
      </c>
    </row>
    <row r="2" s="333" customFormat="1" ht="51" spans="1:17">
      <c r="A2" s="346" t="s">
        <v>212</v>
      </c>
      <c r="B2" s="346" t="s">
        <v>213</v>
      </c>
      <c r="C2" s="347" t="s">
        <v>214</v>
      </c>
      <c r="D2" s="348">
        <v>1000</v>
      </c>
      <c r="E2" s="349" t="s">
        <v>215</v>
      </c>
      <c r="F2" s="350">
        <v>1</v>
      </c>
      <c r="G2" s="349" t="s">
        <v>216</v>
      </c>
      <c r="H2" s="351" t="s">
        <v>217</v>
      </c>
      <c r="I2" s="349" t="s">
        <v>218</v>
      </c>
      <c r="J2" s="349" t="s">
        <v>219</v>
      </c>
      <c r="K2" s="349" t="s">
        <v>219</v>
      </c>
      <c r="L2" s="349" t="s">
        <v>219</v>
      </c>
      <c r="M2" s="349" t="s">
        <v>220</v>
      </c>
      <c r="N2" s="352" t="s">
        <v>221</v>
      </c>
      <c r="O2" s="353">
        <v>1</v>
      </c>
      <c r="P2" s="353">
        <v>1</v>
      </c>
      <c r="Q2" s="353">
        <f>COUNTIF(A:A,A2)</f>
        <v>1</v>
      </c>
    </row>
    <row r="3" s="333" customFormat="1" ht="13" customHeight="1" spans="1:17">
      <c r="A3" s="354" t="s">
        <v>222</v>
      </c>
      <c r="B3" s="354" t="s">
        <v>223</v>
      </c>
      <c r="C3" s="347" t="s">
        <v>214</v>
      </c>
      <c r="D3" s="355">
        <v>1000</v>
      </c>
      <c r="E3" s="349" t="s">
        <v>215</v>
      </c>
      <c r="F3" s="353">
        <v>2</v>
      </c>
      <c r="G3" s="349" t="s">
        <v>216</v>
      </c>
      <c r="H3" s="354" t="s">
        <v>224</v>
      </c>
      <c r="I3" s="349" t="s">
        <v>218</v>
      </c>
      <c r="J3" s="349" t="s">
        <v>219</v>
      </c>
      <c r="K3" s="349" t="s">
        <v>219</v>
      </c>
      <c r="L3" s="349" t="s">
        <v>218</v>
      </c>
      <c r="M3" s="349" t="s">
        <v>220</v>
      </c>
      <c r="N3" s="353" t="s">
        <v>221</v>
      </c>
      <c r="O3" s="353">
        <v>1</v>
      </c>
      <c r="P3" s="353">
        <v>1</v>
      </c>
      <c r="Q3" s="353">
        <f t="shared" ref="Q3:Q51" si="0">COUNTIF(A:A,A3)</f>
        <v>1</v>
      </c>
    </row>
    <row r="4" s="333" customFormat="1" ht="25.5" spans="1:17">
      <c r="A4" s="354" t="s">
        <v>225</v>
      </c>
      <c r="B4" s="356" t="s">
        <v>226</v>
      </c>
      <c r="C4" s="347" t="s">
        <v>214</v>
      </c>
      <c r="D4" s="355">
        <v>1000</v>
      </c>
      <c r="E4" s="349" t="s">
        <v>215</v>
      </c>
      <c r="F4" s="353">
        <v>3</v>
      </c>
      <c r="G4" s="349" t="s">
        <v>216</v>
      </c>
      <c r="H4" s="354" t="s">
        <v>227</v>
      </c>
      <c r="I4" s="349" t="s">
        <v>218</v>
      </c>
      <c r="J4" s="349" t="s">
        <v>219</v>
      </c>
      <c r="K4" s="349" t="s">
        <v>219</v>
      </c>
      <c r="L4" s="349" t="s">
        <v>218</v>
      </c>
      <c r="M4" s="349" t="s">
        <v>220</v>
      </c>
      <c r="N4" s="353" t="s">
        <v>221</v>
      </c>
      <c r="O4" s="353">
        <v>1</v>
      </c>
      <c r="P4" s="353">
        <v>1</v>
      </c>
      <c r="Q4" s="353">
        <f t="shared" si="0"/>
        <v>1</v>
      </c>
    </row>
    <row r="5" s="333" customFormat="1" ht="24.75" spans="1:17">
      <c r="A5" s="346" t="s">
        <v>228</v>
      </c>
      <c r="B5" s="357" t="s">
        <v>229</v>
      </c>
      <c r="C5" s="347" t="s">
        <v>214</v>
      </c>
      <c r="D5" s="355">
        <v>10000</v>
      </c>
      <c r="E5" s="349" t="s">
        <v>215</v>
      </c>
      <c r="F5" s="350">
        <v>4</v>
      </c>
      <c r="G5" s="349" t="s">
        <v>216</v>
      </c>
      <c r="H5" s="351" t="s">
        <v>230</v>
      </c>
      <c r="I5" s="349" t="s">
        <v>218</v>
      </c>
      <c r="J5" s="349" t="s">
        <v>219</v>
      </c>
      <c r="K5" s="349" t="s">
        <v>219</v>
      </c>
      <c r="L5" s="349" t="s">
        <v>218</v>
      </c>
      <c r="M5" s="349" t="s">
        <v>220</v>
      </c>
      <c r="N5" s="353" t="s">
        <v>221</v>
      </c>
      <c r="O5" s="353">
        <v>1</v>
      </c>
      <c r="P5" s="353">
        <v>1</v>
      </c>
      <c r="Q5" s="353">
        <f t="shared" si="0"/>
        <v>1</v>
      </c>
    </row>
    <row r="6" s="333" customFormat="1" spans="1:17">
      <c r="A6" s="346" t="s">
        <v>231</v>
      </c>
      <c r="B6" s="357" t="s">
        <v>232</v>
      </c>
      <c r="C6" s="347" t="s">
        <v>214</v>
      </c>
      <c r="D6" s="355">
        <v>30000</v>
      </c>
      <c r="E6" s="349" t="s">
        <v>215</v>
      </c>
      <c r="F6" s="350">
        <v>5</v>
      </c>
      <c r="G6" s="349" t="s">
        <v>216</v>
      </c>
      <c r="H6" s="351" t="s">
        <v>233</v>
      </c>
      <c r="I6" s="349" t="s">
        <v>218</v>
      </c>
      <c r="J6" s="349" t="s">
        <v>219</v>
      </c>
      <c r="K6" s="349" t="s">
        <v>219</v>
      </c>
      <c r="L6" s="349" t="s">
        <v>218</v>
      </c>
      <c r="M6" s="349" t="s">
        <v>220</v>
      </c>
      <c r="N6" s="353" t="s">
        <v>221</v>
      </c>
      <c r="O6" s="353">
        <v>0</v>
      </c>
      <c r="P6" s="353">
        <v>1</v>
      </c>
      <c r="Q6" s="353">
        <f t="shared" si="0"/>
        <v>1</v>
      </c>
    </row>
    <row r="7" s="333" customFormat="1" spans="1:17">
      <c r="A7" s="346" t="s">
        <v>234</v>
      </c>
      <c r="B7" s="346" t="s">
        <v>235</v>
      </c>
      <c r="C7" s="349" t="s">
        <v>214</v>
      </c>
      <c r="D7" s="358">
        <v>1000</v>
      </c>
      <c r="E7" s="349" t="s">
        <v>236</v>
      </c>
      <c r="F7" s="350">
        <v>1</v>
      </c>
      <c r="G7" s="349" t="s">
        <v>216</v>
      </c>
      <c r="H7" s="346" t="s">
        <v>237</v>
      </c>
      <c r="I7" s="349" t="s">
        <v>218</v>
      </c>
      <c r="J7" s="349" t="s">
        <v>219</v>
      </c>
      <c r="K7" s="349" t="s">
        <v>219</v>
      </c>
      <c r="L7" s="349" t="s">
        <v>218</v>
      </c>
      <c r="M7" s="349" t="s">
        <v>220</v>
      </c>
      <c r="N7" s="353" t="s">
        <v>221</v>
      </c>
      <c r="O7" s="353">
        <v>1</v>
      </c>
      <c r="P7" s="353">
        <v>1</v>
      </c>
      <c r="Q7" s="353">
        <f t="shared" si="0"/>
        <v>1</v>
      </c>
    </row>
    <row r="8" s="334" customFormat="1" spans="1:17">
      <c r="A8" s="359" t="s">
        <v>238</v>
      </c>
      <c r="B8" s="360" t="s">
        <v>239</v>
      </c>
      <c r="C8" s="361" t="s">
        <v>214</v>
      </c>
      <c r="D8" s="362">
        <v>1000</v>
      </c>
      <c r="E8" s="363" t="s">
        <v>240</v>
      </c>
      <c r="F8" s="364">
        <v>1</v>
      </c>
      <c r="G8" s="363" t="s">
        <v>216</v>
      </c>
      <c r="H8" s="359" t="s">
        <v>241</v>
      </c>
      <c r="I8" s="363" t="s">
        <v>218</v>
      </c>
      <c r="J8" s="363" t="s">
        <v>219</v>
      </c>
      <c r="K8" s="363" t="s">
        <v>219</v>
      </c>
      <c r="L8" s="363" t="s">
        <v>220</v>
      </c>
      <c r="M8" s="363" t="s">
        <v>218</v>
      </c>
      <c r="N8" s="365" t="s">
        <v>221</v>
      </c>
      <c r="O8" s="365">
        <v>1</v>
      </c>
      <c r="P8" s="365">
        <v>1</v>
      </c>
      <c r="Q8" s="365">
        <f t="shared" si="0"/>
        <v>1</v>
      </c>
    </row>
    <row r="9" s="334" customFormat="1" spans="1:17">
      <c r="A9" s="359" t="s">
        <v>242</v>
      </c>
      <c r="B9" s="359" t="s">
        <v>243</v>
      </c>
      <c r="C9" s="363" t="s">
        <v>214</v>
      </c>
      <c r="D9" s="366">
        <v>1000</v>
      </c>
      <c r="E9" s="363" t="s">
        <v>236</v>
      </c>
      <c r="F9" s="364">
        <v>1</v>
      </c>
      <c r="G9" s="363" t="s">
        <v>216</v>
      </c>
      <c r="H9" s="359" t="s">
        <v>237</v>
      </c>
      <c r="I9" s="363" t="s">
        <v>218</v>
      </c>
      <c r="J9" s="363" t="s">
        <v>219</v>
      </c>
      <c r="K9" s="363" t="s">
        <v>219</v>
      </c>
      <c r="L9" s="363" t="s">
        <v>220</v>
      </c>
      <c r="M9" s="363" t="s">
        <v>218</v>
      </c>
      <c r="N9" s="365" t="s">
        <v>221</v>
      </c>
      <c r="O9" s="365">
        <v>1</v>
      </c>
      <c r="P9" s="365">
        <v>1</v>
      </c>
      <c r="Q9" s="365">
        <f t="shared" si="0"/>
        <v>1</v>
      </c>
    </row>
    <row r="10" s="335" customFormat="1" ht="62" customHeight="1" spans="1:17">
      <c r="A10" s="367" t="s">
        <v>244</v>
      </c>
      <c r="B10" s="367" t="s">
        <v>245</v>
      </c>
      <c r="C10" s="368" t="s">
        <v>214</v>
      </c>
      <c r="D10" s="369">
        <v>1000</v>
      </c>
      <c r="E10" s="368" t="s">
        <v>215</v>
      </c>
      <c r="F10" s="370">
        <v>7</v>
      </c>
      <c r="G10" s="368" t="s">
        <v>246</v>
      </c>
      <c r="H10" s="367" t="s">
        <v>247</v>
      </c>
      <c r="I10" s="371" t="s">
        <v>248</v>
      </c>
      <c r="J10" s="368" t="s">
        <v>218</v>
      </c>
      <c r="K10" s="368" t="s">
        <v>218</v>
      </c>
      <c r="L10" s="368" t="s">
        <v>220</v>
      </c>
      <c r="M10" s="368" t="s">
        <v>219</v>
      </c>
      <c r="N10" s="372" t="s">
        <v>221</v>
      </c>
      <c r="O10" s="373">
        <v>0</v>
      </c>
      <c r="P10" s="373">
        <v>0</v>
      </c>
      <c r="Q10" s="373">
        <f t="shared" si="0"/>
        <v>2</v>
      </c>
    </row>
    <row r="11" s="334" customFormat="1" ht="21" customHeight="1" spans="1:17">
      <c r="A11" s="374" t="s">
        <v>244</v>
      </c>
      <c r="B11" s="374" t="s">
        <v>249</v>
      </c>
      <c r="C11" s="365" t="s">
        <v>214</v>
      </c>
      <c r="D11" s="365">
        <v>1000</v>
      </c>
      <c r="E11" s="365" t="s">
        <v>246</v>
      </c>
      <c r="F11" s="365">
        <v>12</v>
      </c>
      <c r="G11" s="365" t="s">
        <v>216</v>
      </c>
      <c r="H11" s="374" t="s">
        <v>250</v>
      </c>
      <c r="I11" s="363" t="s">
        <v>218</v>
      </c>
      <c r="J11" s="365" t="s">
        <v>219</v>
      </c>
      <c r="K11" s="365" t="s">
        <v>219</v>
      </c>
      <c r="L11" s="365" t="s">
        <v>220</v>
      </c>
      <c r="M11" s="365" t="s">
        <v>218</v>
      </c>
      <c r="N11" s="365" t="s">
        <v>221</v>
      </c>
      <c r="O11" s="365">
        <v>1</v>
      </c>
      <c r="P11" s="365">
        <v>1</v>
      </c>
      <c r="Q11" s="365">
        <f t="shared" si="0"/>
        <v>2</v>
      </c>
    </row>
    <row r="12" s="336" customFormat="1" ht="51" spans="1:17">
      <c r="A12" s="375" t="s">
        <v>251</v>
      </c>
      <c r="B12" s="375" t="s">
        <v>252</v>
      </c>
      <c r="C12" s="376" t="s">
        <v>253</v>
      </c>
      <c r="D12" s="377" t="s">
        <v>218</v>
      </c>
      <c r="E12" s="376" t="s">
        <v>254</v>
      </c>
      <c r="F12" s="378">
        <v>4</v>
      </c>
      <c r="G12" s="376" t="s">
        <v>246</v>
      </c>
      <c r="H12" s="375" t="s">
        <v>255</v>
      </c>
      <c r="I12" s="379" t="s">
        <v>248</v>
      </c>
      <c r="J12" s="376" t="s">
        <v>256</v>
      </c>
      <c r="K12" s="376" t="s">
        <v>219</v>
      </c>
      <c r="L12" s="376" t="s">
        <v>257</v>
      </c>
      <c r="M12" s="376" t="s">
        <v>257</v>
      </c>
      <c r="N12" s="380" t="s">
        <v>221</v>
      </c>
      <c r="O12" s="381">
        <v>0</v>
      </c>
      <c r="P12" s="381">
        <v>0</v>
      </c>
      <c r="Q12" s="381">
        <f t="shared" si="0"/>
        <v>1</v>
      </c>
    </row>
    <row r="13" s="336" customFormat="1" ht="57" customHeight="1" spans="1:17">
      <c r="A13" s="375" t="s">
        <v>258</v>
      </c>
      <c r="B13" s="375" t="s">
        <v>259</v>
      </c>
      <c r="C13" s="376" t="s">
        <v>253</v>
      </c>
      <c r="D13" s="377" t="s">
        <v>218</v>
      </c>
      <c r="E13" s="376" t="s">
        <v>246</v>
      </c>
      <c r="F13" s="378">
        <v>3</v>
      </c>
      <c r="G13" s="376" t="s">
        <v>260</v>
      </c>
      <c r="H13" s="375" t="s">
        <v>261</v>
      </c>
      <c r="I13" s="379" t="s">
        <v>248</v>
      </c>
      <c r="J13" s="376" t="s">
        <v>256</v>
      </c>
      <c r="K13" s="376" t="s">
        <v>218</v>
      </c>
      <c r="L13" s="376" t="s">
        <v>257</v>
      </c>
      <c r="M13" s="376" t="s">
        <v>218</v>
      </c>
      <c r="N13" s="380" t="s">
        <v>221</v>
      </c>
      <c r="O13" s="381">
        <v>0</v>
      </c>
      <c r="P13" s="381">
        <v>0</v>
      </c>
      <c r="Q13" s="381">
        <f t="shared" si="0"/>
        <v>2</v>
      </c>
    </row>
    <row r="14" s="337" customFormat="1" ht="59" hidden="1" customHeight="1" spans="1:17">
      <c r="A14" s="382" t="s">
        <v>258</v>
      </c>
      <c r="B14" s="382" t="s">
        <v>262</v>
      </c>
      <c r="C14" s="383" t="s">
        <v>253</v>
      </c>
      <c r="D14" s="384" t="s">
        <v>218</v>
      </c>
      <c r="E14" s="383" t="s">
        <v>263</v>
      </c>
      <c r="F14" s="385">
        <v>37</v>
      </c>
      <c r="G14" s="383" t="s">
        <v>260</v>
      </c>
      <c r="H14" s="382" t="s">
        <v>261</v>
      </c>
      <c r="I14" s="386" t="s">
        <v>248</v>
      </c>
      <c r="J14" s="383" t="s">
        <v>256</v>
      </c>
      <c r="K14" s="383" t="s">
        <v>218</v>
      </c>
      <c r="L14" s="383" t="s">
        <v>218</v>
      </c>
      <c r="M14" s="383" t="s">
        <v>257</v>
      </c>
      <c r="N14" s="387" t="s">
        <v>221</v>
      </c>
      <c r="O14" s="388">
        <v>0</v>
      </c>
      <c r="P14" s="388">
        <v>0</v>
      </c>
      <c r="Q14" s="388">
        <f t="shared" si="0"/>
        <v>2</v>
      </c>
    </row>
    <row r="15" s="336" customFormat="1" ht="55" customHeight="1" spans="1:17">
      <c r="A15" s="375" t="s">
        <v>264</v>
      </c>
      <c r="B15" s="375" t="s">
        <v>265</v>
      </c>
      <c r="C15" s="376" t="s">
        <v>253</v>
      </c>
      <c r="D15" s="377" t="s">
        <v>218</v>
      </c>
      <c r="E15" s="376" t="s">
        <v>246</v>
      </c>
      <c r="F15" s="378">
        <v>4</v>
      </c>
      <c r="G15" s="376" t="s">
        <v>260</v>
      </c>
      <c r="H15" s="375" t="s">
        <v>266</v>
      </c>
      <c r="I15" s="379" t="s">
        <v>248</v>
      </c>
      <c r="J15" s="376" t="s">
        <v>256</v>
      </c>
      <c r="K15" s="376" t="s">
        <v>218</v>
      </c>
      <c r="L15" s="376" t="s">
        <v>257</v>
      </c>
      <c r="M15" s="376" t="s">
        <v>218</v>
      </c>
      <c r="N15" s="380" t="s">
        <v>221</v>
      </c>
      <c r="O15" s="381">
        <v>0</v>
      </c>
      <c r="P15" s="381">
        <v>0</v>
      </c>
      <c r="Q15" s="381">
        <f t="shared" si="0"/>
        <v>1</v>
      </c>
    </row>
    <row r="16" s="337" customFormat="1" ht="57" hidden="1" customHeight="1" spans="1:17">
      <c r="A16" s="382" t="s">
        <v>267</v>
      </c>
      <c r="B16" s="382" t="s">
        <v>268</v>
      </c>
      <c r="C16" s="383" t="s">
        <v>253</v>
      </c>
      <c r="D16" s="384" t="s">
        <v>218</v>
      </c>
      <c r="E16" s="383" t="s">
        <v>215</v>
      </c>
      <c r="F16" s="385">
        <v>8</v>
      </c>
      <c r="G16" s="383" t="s">
        <v>246</v>
      </c>
      <c r="H16" s="382" t="s">
        <v>269</v>
      </c>
      <c r="I16" s="386" t="s">
        <v>248</v>
      </c>
      <c r="J16" s="383" t="s">
        <v>220</v>
      </c>
      <c r="K16" s="383" t="s">
        <v>218</v>
      </c>
      <c r="L16" s="383" t="s">
        <v>218</v>
      </c>
      <c r="M16" s="383" t="s">
        <v>219</v>
      </c>
      <c r="N16" s="387" t="s">
        <v>221</v>
      </c>
      <c r="O16" s="388">
        <v>0</v>
      </c>
      <c r="P16" s="388">
        <v>0</v>
      </c>
      <c r="Q16" s="388">
        <f t="shared" si="0"/>
        <v>1</v>
      </c>
    </row>
    <row r="17" s="337" customFormat="1" ht="51" hidden="1" spans="1:17">
      <c r="A17" s="209" t="s">
        <v>270</v>
      </c>
      <c r="B17" s="209" t="s">
        <v>271</v>
      </c>
      <c r="C17" s="205" t="s">
        <v>253</v>
      </c>
      <c r="D17" s="389" t="s">
        <v>218</v>
      </c>
      <c r="E17" s="383" t="s">
        <v>215</v>
      </c>
      <c r="F17" s="385">
        <v>9</v>
      </c>
      <c r="G17" s="383" t="s">
        <v>260</v>
      </c>
      <c r="H17" s="382" t="s">
        <v>272</v>
      </c>
      <c r="I17" s="386" t="s">
        <v>248</v>
      </c>
      <c r="J17" s="383" t="s">
        <v>256</v>
      </c>
      <c r="K17" s="383" t="s">
        <v>218</v>
      </c>
      <c r="L17" s="383" t="s">
        <v>218</v>
      </c>
      <c r="M17" s="383" t="s">
        <v>257</v>
      </c>
      <c r="N17" s="387" t="s">
        <v>221</v>
      </c>
      <c r="O17" s="388">
        <v>0</v>
      </c>
      <c r="P17" s="388">
        <v>0</v>
      </c>
      <c r="Q17" s="388">
        <f t="shared" si="0"/>
        <v>1</v>
      </c>
    </row>
    <row r="18" s="334" customFormat="1" ht="27" customHeight="1" spans="1:17">
      <c r="A18" s="374" t="s">
        <v>273</v>
      </c>
      <c r="B18" s="374" t="s">
        <v>274</v>
      </c>
      <c r="C18" s="365" t="s">
        <v>214</v>
      </c>
      <c r="D18" s="365">
        <v>1000</v>
      </c>
      <c r="E18" s="390" t="s">
        <v>240</v>
      </c>
      <c r="F18" s="364">
        <v>2</v>
      </c>
      <c r="G18" s="363" t="s">
        <v>216</v>
      </c>
      <c r="H18" s="359" t="s">
        <v>275</v>
      </c>
      <c r="I18" s="363" t="s">
        <v>218</v>
      </c>
      <c r="J18" s="363" t="s">
        <v>219</v>
      </c>
      <c r="K18" s="363" t="s">
        <v>219</v>
      </c>
      <c r="L18" s="363" t="s">
        <v>220</v>
      </c>
      <c r="M18" s="363" t="s">
        <v>218</v>
      </c>
      <c r="N18" s="365" t="s">
        <v>221</v>
      </c>
      <c r="O18" s="365">
        <v>1</v>
      </c>
      <c r="P18" s="365">
        <v>1</v>
      </c>
      <c r="Q18" s="365">
        <f t="shared" si="0"/>
        <v>2</v>
      </c>
    </row>
    <row r="19" s="333" customFormat="1" ht="31" customHeight="1" spans="1:17">
      <c r="A19" s="354" t="s">
        <v>273</v>
      </c>
      <c r="B19" s="354" t="s">
        <v>276</v>
      </c>
      <c r="C19" s="353" t="s">
        <v>214</v>
      </c>
      <c r="D19" s="353">
        <v>1000</v>
      </c>
      <c r="E19" s="391" t="s">
        <v>263</v>
      </c>
      <c r="F19" s="350">
        <v>38</v>
      </c>
      <c r="G19" s="349" t="s">
        <v>216</v>
      </c>
      <c r="H19" s="346" t="s">
        <v>275</v>
      </c>
      <c r="I19" s="349" t="s">
        <v>218</v>
      </c>
      <c r="J19" s="349" t="s">
        <v>219</v>
      </c>
      <c r="K19" s="349" t="s">
        <v>219</v>
      </c>
      <c r="L19" s="349" t="s">
        <v>218</v>
      </c>
      <c r="M19" s="349" t="s">
        <v>220</v>
      </c>
      <c r="N19" s="353" t="s">
        <v>221</v>
      </c>
      <c r="O19" s="353">
        <v>1</v>
      </c>
      <c r="P19" s="353">
        <v>1</v>
      </c>
      <c r="Q19" s="353">
        <f t="shared" si="0"/>
        <v>2</v>
      </c>
    </row>
    <row r="20" s="337" customFormat="1" ht="27" hidden="1" customHeight="1" spans="1:17">
      <c r="A20" s="392" t="s">
        <v>277</v>
      </c>
      <c r="B20" s="392" t="s">
        <v>278</v>
      </c>
      <c r="C20" s="383" t="s">
        <v>253</v>
      </c>
      <c r="D20" s="388" t="s">
        <v>218</v>
      </c>
      <c r="E20" s="393" t="s">
        <v>215</v>
      </c>
      <c r="F20" s="385">
        <v>10</v>
      </c>
      <c r="G20" s="383" t="s">
        <v>246</v>
      </c>
      <c r="H20" s="383" t="s">
        <v>218</v>
      </c>
      <c r="I20" s="386" t="s">
        <v>279</v>
      </c>
      <c r="J20" s="383" t="s">
        <v>220</v>
      </c>
      <c r="K20" s="383" t="s">
        <v>218</v>
      </c>
      <c r="L20" s="383" t="s">
        <v>218</v>
      </c>
      <c r="M20" s="383" t="s">
        <v>219</v>
      </c>
      <c r="N20" s="387" t="s">
        <v>280</v>
      </c>
      <c r="O20" s="388">
        <v>0</v>
      </c>
      <c r="P20" s="388">
        <v>0</v>
      </c>
      <c r="Q20" s="388">
        <f t="shared" si="0"/>
        <v>2</v>
      </c>
    </row>
    <row r="21" s="337" customFormat="1" ht="54" hidden="1" customHeight="1" spans="1:17">
      <c r="A21" s="392" t="s">
        <v>277</v>
      </c>
      <c r="B21" s="392" t="s">
        <v>281</v>
      </c>
      <c r="C21" s="383" t="s">
        <v>253</v>
      </c>
      <c r="D21" s="388" t="s">
        <v>218</v>
      </c>
      <c r="E21" s="393" t="s">
        <v>215</v>
      </c>
      <c r="F21" s="385">
        <v>11</v>
      </c>
      <c r="G21" s="383" t="s">
        <v>246</v>
      </c>
      <c r="H21" s="382" t="s">
        <v>279</v>
      </c>
      <c r="I21" s="386" t="s">
        <v>248</v>
      </c>
      <c r="J21" s="383" t="s">
        <v>220</v>
      </c>
      <c r="K21" s="383" t="s">
        <v>218</v>
      </c>
      <c r="L21" s="383" t="s">
        <v>218</v>
      </c>
      <c r="M21" s="383" t="s">
        <v>219</v>
      </c>
      <c r="N21" s="387" t="s">
        <v>221</v>
      </c>
      <c r="O21" s="388">
        <v>0</v>
      </c>
      <c r="P21" s="388">
        <v>0</v>
      </c>
      <c r="Q21" s="388">
        <f t="shared" si="0"/>
        <v>2</v>
      </c>
    </row>
    <row r="22" s="337" customFormat="1" ht="28" hidden="1" customHeight="1" spans="1:17">
      <c r="A22" s="392" t="s">
        <v>282</v>
      </c>
      <c r="B22" s="392" t="s">
        <v>283</v>
      </c>
      <c r="C22" s="383" t="s">
        <v>253</v>
      </c>
      <c r="D22" s="388" t="s">
        <v>218</v>
      </c>
      <c r="E22" s="393" t="s">
        <v>215</v>
      </c>
      <c r="F22" s="385">
        <v>12</v>
      </c>
      <c r="G22" s="383" t="s">
        <v>246</v>
      </c>
      <c r="H22" s="383" t="s">
        <v>218</v>
      </c>
      <c r="I22" s="386" t="s">
        <v>284</v>
      </c>
      <c r="J22" s="383" t="s">
        <v>220</v>
      </c>
      <c r="K22" s="383" t="s">
        <v>218</v>
      </c>
      <c r="L22" s="383" t="s">
        <v>218</v>
      </c>
      <c r="M22" s="383" t="s">
        <v>219</v>
      </c>
      <c r="N22" s="387" t="s">
        <v>280</v>
      </c>
      <c r="O22" s="388">
        <v>0</v>
      </c>
      <c r="P22" s="388">
        <v>0</v>
      </c>
      <c r="Q22" s="388">
        <f t="shared" si="0"/>
        <v>2</v>
      </c>
    </row>
    <row r="23" s="337" customFormat="1" ht="31" hidden="1" customHeight="1" spans="1:17">
      <c r="A23" s="392" t="s">
        <v>282</v>
      </c>
      <c r="B23" s="392" t="s">
        <v>285</v>
      </c>
      <c r="C23" s="383" t="s">
        <v>253</v>
      </c>
      <c r="D23" s="388" t="s">
        <v>218</v>
      </c>
      <c r="E23" s="393" t="s">
        <v>215</v>
      </c>
      <c r="F23" s="385">
        <v>13</v>
      </c>
      <c r="G23" s="383" t="s">
        <v>246</v>
      </c>
      <c r="H23" s="386" t="s">
        <v>284</v>
      </c>
      <c r="I23" s="386" t="s">
        <v>248</v>
      </c>
      <c r="J23" s="383" t="s">
        <v>220</v>
      </c>
      <c r="K23" s="383" t="s">
        <v>218</v>
      </c>
      <c r="L23" s="383" t="s">
        <v>218</v>
      </c>
      <c r="M23" s="383" t="s">
        <v>219</v>
      </c>
      <c r="N23" s="387" t="s">
        <v>221</v>
      </c>
      <c r="O23" s="388">
        <v>0</v>
      </c>
      <c r="P23" s="388">
        <v>0</v>
      </c>
      <c r="Q23" s="388">
        <f t="shared" si="0"/>
        <v>2</v>
      </c>
    </row>
    <row r="24" s="337" customFormat="1" ht="21" hidden="1" customHeight="1" spans="1:17">
      <c r="A24" s="392" t="s">
        <v>286</v>
      </c>
      <c r="B24" s="392" t="s">
        <v>287</v>
      </c>
      <c r="C24" s="383" t="s">
        <v>253</v>
      </c>
      <c r="D24" s="388" t="s">
        <v>218</v>
      </c>
      <c r="E24" s="393" t="s">
        <v>215</v>
      </c>
      <c r="F24" s="385">
        <v>14</v>
      </c>
      <c r="G24" s="383" t="s">
        <v>246</v>
      </c>
      <c r="H24" s="383" t="s">
        <v>218</v>
      </c>
      <c r="I24" s="386" t="s">
        <v>288</v>
      </c>
      <c r="J24" s="383" t="s">
        <v>220</v>
      </c>
      <c r="K24" s="383" t="s">
        <v>218</v>
      </c>
      <c r="L24" s="383" t="s">
        <v>218</v>
      </c>
      <c r="M24" s="383" t="s">
        <v>219</v>
      </c>
      <c r="N24" s="387" t="s">
        <v>280</v>
      </c>
      <c r="O24" s="388">
        <v>0</v>
      </c>
      <c r="P24" s="388">
        <v>0</v>
      </c>
      <c r="Q24" s="388">
        <f t="shared" si="0"/>
        <v>2</v>
      </c>
    </row>
    <row r="25" s="337" customFormat="1" ht="23" hidden="1" customHeight="1" spans="1:17">
      <c r="A25" s="392" t="s">
        <v>286</v>
      </c>
      <c r="B25" s="392" t="s">
        <v>289</v>
      </c>
      <c r="C25" s="383" t="s">
        <v>253</v>
      </c>
      <c r="D25" s="388" t="s">
        <v>218</v>
      </c>
      <c r="E25" s="393" t="s">
        <v>215</v>
      </c>
      <c r="F25" s="385">
        <v>15</v>
      </c>
      <c r="G25" s="383" t="s">
        <v>246</v>
      </c>
      <c r="H25" s="386" t="s">
        <v>288</v>
      </c>
      <c r="I25" s="386" t="s">
        <v>248</v>
      </c>
      <c r="J25" s="383" t="s">
        <v>220</v>
      </c>
      <c r="K25" s="383" t="s">
        <v>218</v>
      </c>
      <c r="L25" s="383" t="s">
        <v>218</v>
      </c>
      <c r="M25" s="383" t="s">
        <v>219</v>
      </c>
      <c r="N25" s="387" t="s">
        <v>221</v>
      </c>
      <c r="O25" s="388">
        <v>0</v>
      </c>
      <c r="P25" s="388">
        <v>0</v>
      </c>
      <c r="Q25" s="388">
        <f t="shared" si="0"/>
        <v>2</v>
      </c>
    </row>
    <row r="26" s="337" customFormat="1" ht="25" hidden="1" customHeight="1" spans="1:17">
      <c r="A26" s="392" t="s">
        <v>290</v>
      </c>
      <c r="B26" s="392" t="s">
        <v>291</v>
      </c>
      <c r="C26" s="383" t="s">
        <v>253</v>
      </c>
      <c r="D26" s="388" t="s">
        <v>218</v>
      </c>
      <c r="E26" s="393" t="s">
        <v>215</v>
      </c>
      <c r="F26" s="385">
        <v>16</v>
      </c>
      <c r="G26" s="383" t="s">
        <v>246</v>
      </c>
      <c r="H26" s="383" t="s">
        <v>218</v>
      </c>
      <c r="I26" s="386" t="s">
        <v>292</v>
      </c>
      <c r="J26" s="383" t="s">
        <v>220</v>
      </c>
      <c r="K26" s="383" t="s">
        <v>218</v>
      </c>
      <c r="L26" s="383" t="s">
        <v>218</v>
      </c>
      <c r="M26" s="383" t="s">
        <v>219</v>
      </c>
      <c r="N26" s="387" t="s">
        <v>280</v>
      </c>
      <c r="O26" s="388">
        <v>0</v>
      </c>
      <c r="P26" s="388">
        <v>0</v>
      </c>
      <c r="Q26" s="388">
        <f t="shared" si="0"/>
        <v>2</v>
      </c>
    </row>
    <row r="27" s="337" customFormat="1" ht="27" hidden="1" customHeight="1" spans="1:17">
      <c r="A27" s="392" t="s">
        <v>290</v>
      </c>
      <c r="B27" s="392" t="s">
        <v>293</v>
      </c>
      <c r="C27" s="383" t="s">
        <v>253</v>
      </c>
      <c r="D27" s="388" t="s">
        <v>218</v>
      </c>
      <c r="E27" s="393" t="s">
        <v>215</v>
      </c>
      <c r="F27" s="385">
        <v>17</v>
      </c>
      <c r="G27" s="383" t="s">
        <v>246</v>
      </c>
      <c r="H27" s="386" t="s">
        <v>292</v>
      </c>
      <c r="I27" s="386" t="s">
        <v>248</v>
      </c>
      <c r="J27" s="383" t="s">
        <v>220</v>
      </c>
      <c r="K27" s="383" t="s">
        <v>218</v>
      </c>
      <c r="L27" s="383" t="s">
        <v>218</v>
      </c>
      <c r="M27" s="383" t="s">
        <v>219</v>
      </c>
      <c r="N27" s="387" t="s">
        <v>221</v>
      </c>
      <c r="O27" s="388">
        <v>0</v>
      </c>
      <c r="P27" s="388">
        <v>0</v>
      </c>
      <c r="Q27" s="388">
        <f t="shared" si="0"/>
        <v>2</v>
      </c>
    </row>
    <row r="28" s="337" customFormat="1" ht="28" hidden="1" customHeight="1" spans="1:17">
      <c r="A28" s="392" t="s">
        <v>294</v>
      </c>
      <c r="B28" s="392" t="s">
        <v>295</v>
      </c>
      <c r="C28" s="383" t="s">
        <v>253</v>
      </c>
      <c r="D28" s="388" t="s">
        <v>218</v>
      </c>
      <c r="E28" s="393" t="s">
        <v>215</v>
      </c>
      <c r="F28" s="385">
        <v>18</v>
      </c>
      <c r="G28" s="383" t="s">
        <v>246</v>
      </c>
      <c r="H28" s="383" t="s">
        <v>218</v>
      </c>
      <c r="I28" s="386" t="s">
        <v>296</v>
      </c>
      <c r="J28" s="383" t="s">
        <v>220</v>
      </c>
      <c r="K28" s="383" t="s">
        <v>218</v>
      </c>
      <c r="L28" s="383" t="s">
        <v>218</v>
      </c>
      <c r="M28" s="383" t="s">
        <v>219</v>
      </c>
      <c r="N28" s="387" t="s">
        <v>280</v>
      </c>
      <c r="O28" s="388">
        <v>0</v>
      </c>
      <c r="P28" s="388">
        <v>0</v>
      </c>
      <c r="Q28" s="388">
        <f t="shared" si="0"/>
        <v>2</v>
      </c>
    </row>
    <row r="29" s="337" customFormat="1" ht="26" hidden="1" customHeight="1" spans="1:17">
      <c r="A29" s="392" t="s">
        <v>294</v>
      </c>
      <c r="B29" s="392" t="s">
        <v>297</v>
      </c>
      <c r="C29" s="383" t="s">
        <v>253</v>
      </c>
      <c r="D29" s="388" t="s">
        <v>218</v>
      </c>
      <c r="E29" s="393" t="s">
        <v>215</v>
      </c>
      <c r="F29" s="385">
        <v>19</v>
      </c>
      <c r="G29" s="383" t="s">
        <v>246</v>
      </c>
      <c r="H29" s="386" t="s">
        <v>296</v>
      </c>
      <c r="I29" s="386" t="s">
        <v>248</v>
      </c>
      <c r="J29" s="383" t="s">
        <v>220</v>
      </c>
      <c r="K29" s="383" t="s">
        <v>218</v>
      </c>
      <c r="L29" s="383" t="s">
        <v>218</v>
      </c>
      <c r="M29" s="383" t="s">
        <v>219</v>
      </c>
      <c r="N29" s="387" t="s">
        <v>221</v>
      </c>
      <c r="O29" s="388">
        <v>0</v>
      </c>
      <c r="P29" s="388">
        <v>0</v>
      </c>
      <c r="Q29" s="388">
        <f t="shared" si="0"/>
        <v>2</v>
      </c>
    </row>
    <row r="30" s="337" customFormat="1" ht="21" hidden="1" customHeight="1" spans="1:17">
      <c r="A30" s="392" t="s">
        <v>298</v>
      </c>
      <c r="B30" s="392" t="s">
        <v>299</v>
      </c>
      <c r="C30" s="383" t="s">
        <v>253</v>
      </c>
      <c r="D30" s="388" t="s">
        <v>218</v>
      </c>
      <c r="E30" s="393" t="s">
        <v>215</v>
      </c>
      <c r="F30" s="385">
        <v>20</v>
      </c>
      <c r="G30" s="383" t="s">
        <v>246</v>
      </c>
      <c r="H30" s="383" t="s">
        <v>218</v>
      </c>
      <c r="I30" s="386" t="s">
        <v>300</v>
      </c>
      <c r="J30" s="383" t="s">
        <v>220</v>
      </c>
      <c r="K30" s="383" t="s">
        <v>218</v>
      </c>
      <c r="L30" s="383" t="s">
        <v>218</v>
      </c>
      <c r="M30" s="383" t="s">
        <v>219</v>
      </c>
      <c r="N30" s="387" t="s">
        <v>280</v>
      </c>
      <c r="O30" s="388">
        <v>0</v>
      </c>
      <c r="P30" s="388">
        <v>0</v>
      </c>
      <c r="Q30" s="388">
        <f t="shared" si="0"/>
        <v>2</v>
      </c>
    </row>
    <row r="31" s="337" customFormat="1" ht="31" hidden="1" customHeight="1" spans="1:17">
      <c r="A31" s="392" t="s">
        <v>298</v>
      </c>
      <c r="B31" s="392" t="s">
        <v>301</v>
      </c>
      <c r="C31" s="383" t="s">
        <v>253</v>
      </c>
      <c r="D31" s="388" t="s">
        <v>218</v>
      </c>
      <c r="E31" s="393" t="s">
        <v>215</v>
      </c>
      <c r="F31" s="385">
        <v>21</v>
      </c>
      <c r="G31" s="383" t="s">
        <v>246</v>
      </c>
      <c r="H31" s="386" t="s">
        <v>300</v>
      </c>
      <c r="I31" s="386" t="s">
        <v>248</v>
      </c>
      <c r="J31" s="383" t="s">
        <v>220</v>
      </c>
      <c r="K31" s="383" t="s">
        <v>218</v>
      </c>
      <c r="L31" s="383" t="s">
        <v>218</v>
      </c>
      <c r="M31" s="383" t="s">
        <v>219</v>
      </c>
      <c r="N31" s="387" t="s">
        <v>221</v>
      </c>
      <c r="O31" s="388">
        <v>0</v>
      </c>
      <c r="P31" s="388">
        <v>0</v>
      </c>
      <c r="Q31" s="388">
        <f t="shared" si="0"/>
        <v>2</v>
      </c>
    </row>
    <row r="32" s="336" customFormat="1" ht="32" customHeight="1" spans="1:17">
      <c r="A32" s="394" t="s">
        <v>302</v>
      </c>
      <c r="B32" s="394" t="s">
        <v>303</v>
      </c>
      <c r="C32" s="376" t="s">
        <v>253</v>
      </c>
      <c r="D32" s="381" t="s">
        <v>218</v>
      </c>
      <c r="E32" s="395" t="s">
        <v>260</v>
      </c>
      <c r="F32" s="378">
        <v>6</v>
      </c>
      <c r="G32" s="376" t="s">
        <v>246</v>
      </c>
      <c r="H32" s="376" t="s">
        <v>218</v>
      </c>
      <c r="I32" s="379" t="s">
        <v>304</v>
      </c>
      <c r="J32" s="376" t="s">
        <v>220</v>
      </c>
      <c r="K32" s="376" t="s">
        <v>218</v>
      </c>
      <c r="L32" s="376" t="s">
        <v>219</v>
      </c>
      <c r="M32" s="376" t="s">
        <v>218</v>
      </c>
      <c r="N32" s="380" t="s">
        <v>280</v>
      </c>
      <c r="O32" s="381">
        <v>0</v>
      </c>
      <c r="P32" s="381">
        <v>0</v>
      </c>
      <c r="Q32" s="381">
        <f t="shared" si="0"/>
        <v>4</v>
      </c>
    </row>
    <row r="33" s="336" customFormat="1" ht="24" customHeight="1" spans="1:17">
      <c r="A33" s="394" t="s">
        <v>302</v>
      </c>
      <c r="B33" s="394" t="s">
        <v>305</v>
      </c>
      <c r="C33" s="376" t="s">
        <v>253</v>
      </c>
      <c r="D33" s="381" t="s">
        <v>218</v>
      </c>
      <c r="E33" s="395" t="s">
        <v>260</v>
      </c>
      <c r="F33" s="378">
        <v>7</v>
      </c>
      <c r="G33" s="376" t="s">
        <v>246</v>
      </c>
      <c r="H33" s="379" t="s">
        <v>304</v>
      </c>
      <c r="I33" s="379" t="s">
        <v>248</v>
      </c>
      <c r="J33" s="376" t="s">
        <v>220</v>
      </c>
      <c r="K33" s="376" t="s">
        <v>218</v>
      </c>
      <c r="L33" s="376" t="s">
        <v>219</v>
      </c>
      <c r="M33" s="376" t="s">
        <v>218</v>
      </c>
      <c r="N33" s="380" t="s">
        <v>221</v>
      </c>
      <c r="O33" s="381">
        <v>0</v>
      </c>
      <c r="P33" s="381">
        <v>0</v>
      </c>
      <c r="Q33" s="381">
        <f t="shared" si="0"/>
        <v>4</v>
      </c>
    </row>
    <row r="34" s="337" customFormat="1" ht="26" hidden="1" customHeight="1" spans="1:17">
      <c r="A34" s="392" t="s">
        <v>302</v>
      </c>
      <c r="B34" s="392" t="s">
        <v>306</v>
      </c>
      <c r="C34" s="383" t="s">
        <v>253</v>
      </c>
      <c r="D34" s="388" t="s">
        <v>218</v>
      </c>
      <c r="E34" s="393" t="s">
        <v>263</v>
      </c>
      <c r="F34" s="385">
        <v>39</v>
      </c>
      <c r="G34" s="383" t="s">
        <v>246</v>
      </c>
      <c r="H34" s="383" t="s">
        <v>218</v>
      </c>
      <c r="I34" s="386" t="s">
        <v>304</v>
      </c>
      <c r="J34" s="383" t="s">
        <v>220</v>
      </c>
      <c r="K34" s="383" t="s">
        <v>218</v>
      </c>
      <c r="L34" s="383" t="s">
        <v>218</v>
      </c>
      <c r="M34" s="383" t="s">
        <v>219</v>
      </c>
      <c r="N34" s="387" t="s">
        <v>280</v>
      </c>
      <c r="O34" s="388">
        <v>0</v>
      </c>
      <c r="P34" s="388">
        <v>0</v>
      </c>
      <c r="Q34" s="388">
        <f t="shared" si="0"/>
        <v>4</v>
      </c>
    </row>
    <row r="35" s="337" customFormat="1" ht="51" hidden="1" spans="1:17">
      <c r="A35" s="392" t="s">
        <v>302</v>
      </c>
      <c r="B35" s="392" t="s">
        <v>307</v>
      </c>
      <c r="C35" s="383" t="s">
        <v>253</v>
      </c>
      <c r="D35" s="388" t="s">
        <v>218</v>
      </c>
      <c r="E35" s="393" t="s">
        <v>263</v>
      </c>
      <c r="F35" s="385">
        <v>40</v>
      </c>
      <c r="G35" s="383" t="s">
        <v>246</v>
      </c>
      <c r="H35" s="386" t="s">
        <v>304</v>
      </c>
      <c r="I35" s="386" t="s">
        <v>248</v>
      </c>
      <c r="J35" s="383" t="s">
        <v>220</v>
      </c>
      <c r="K35" s="383" t="s">
        <v>218</v>
      </c>
      <c r="L35" s="383" t="s">
        <v>218</v>
      </c>
      <c r="M35" s="383" t="s">
        <v>219</v>
      </c>
      <c r="N35" s="387" t="s">
        <v>221</v>
      </c>
      <c r="O35" s="388">
        <v>0</v>
      </c>
      <c r="P35" s="388">
        <v>0</v>
      </c>
      <c r="Q35" s="388">
        <f t="shared" si="0"/>
        <v>4</v>
      </c>
    </row>
    <row r="36" s="337" customFormat="1" ht="51" hidden="1" spans="1:17">
      <c r="A36" s="392" t="s">
        <v>308</v>
      </c>
      <c r="B36" s="392" t="s">
        <v>309</v>
      </c>
      <c r="C36" s="383" t="s">
        <v>253</v>
      </c>
      <c r="D36" s="388" t="s">
        <v>218</v>
      </c>
      <c r="E36" s="388" t="s">
        <v>263</v>
      </c>
      <c r="F36" s="388">
        <v>24</v>
      </c>
      <c r="G36" s="388" t="s">
        <v>246</v>
      </c>
      <c r="H36" s="382" t="s">
        <v>310</v>
      </c>
      <c r="I36" s="386" t="s">
        <v>248</v>
      </c>
      <c r="J36" s="383" t="s">
        <v>220</v>
      </c>
      <c r="K36" s="383" t="s">
        <v>218</v>
      </c>
      <c r="L36" s="383" t="s">
        <v>218</v>
      </c>
      <c r="M36" s="383" t="s">
        <v>219</v>
      </c>
      <c r="N36" s="387" t="s">
        <v>221</v>
      </c>
      <c r="O36" s="388">
        <v>0</v>
      </c>
      <c r="P36" s="388">
        <v>0</v>
      </c>
      <c r="Q36" s="388">
        <f t="shared" si="0"/>
        <v>1</v>
      </c>
    </row>
    <row r="37" s="336" customFormat="1" ht="51" spans="1:17">
      <c r="A37" s="394" t="s">
        <v>311</v>
      </c>
      <c r="B37" s="394" t="s">
        <v>312</v>
      </c>
      <c r="C37" s="376" t="s">
        <v>253</v>
      </c>
      <c r="D37" s="381" t="s">
        <v>218</v>
      </c>
      <c r="E37" s="381" t="s">
        <v>246</v>
      </c>
      <c r="F37" s="381">
        <v>10</v>
      </c>
      <c r="G37" s="381" t="s">
        <v>246</v>
      </c>
      <c r="H37" s="375" t="s">
        <v>313</v>
      </c>
      <c r="I37" s="379" t="s">
        <v>248</v>
      </c>
      <c r="J37" s="376" t="s">
        <v>220</v>
      </c>
      <c r="K37" s="376" t="s">
        <v>218</v>
      </c>
      <c r="L37" s="376" t="s">
        <v>219</v>
      </c>
      <c r="M37" s="376" t="s">
        <v>218</v>
      </c>
      <c r="N37" s="380" t="s">
        <v>221</v>
      </c>
      <c r="O37" s="381">
        <v>0</v>
      </c>
      <c r="P37" s="381">
        <v>0</v>
      </c>
      <c r="Q37" s="381">
        <f t="shared" si="0"/>
        <v>1</v>
      </c>
    </row>
    <row r="38" s="333" customFormat="1" ht="25.5" spans="1:17">
      <c r="A38" s="356" t="s">
        <v>314</v>
      </c>
      <c r="B38" s="356" t="s">
        <v>315</v>
      </c>
      <c r="C38" s="396" t="s">
        <v>214</v>
      </c>
      <c r="D38" s="396">
        <v>1000</v>
      </c>
      <c r="E38" s="396" t="s">
        <v>263</v>
      </c>
      <c r="F38" s="396">
        <v>25</v>
      </c>
      <c r="G38" s="396" t="s">
        <v>216</v>
      </c>
      <c r="H38" s="356" t="s">
        <v>316</v>
      </c>
      <c r="I38" s="349" t="s">
        <v>218</v>
      </c>
      <c r="J38" s="349" t="s">
        <v>219</v>
      </c>
      <c r="K38" s="349" t="s">
        <v>219</v>
      </c>
      <c r="L38" s="349" t="s">
        <v>218</v>
      </c>
      <c r="M38" s="349" t="s">
        <v>220</v>
      </c>
      <c r="N38" s="353" t="s">
        <v>221</v>
      </c>
      <c r="O38" s="353">
        <v>1</v>
      </c>
      <c r="P38" s="353">
        <v>1</v>
      </c>
      <c r="Q38" s="353">
        <f t="shared" si="0"/>
        <v>1</v>
      </c>
    </row>
    <row r="39" s="333" customFormat="1" ht="25.5" spans="1:17">
      <c r="A39" s="356" t="s">
        <v>317</v>
      </c>
      <c r="B39" s="356" t="s">
        <v>318</v>
      </c>
      <c r="C39" s="396" t="s">
        <v>214</v>
      </c>
      <c r="D39" s="396">
        <v>1000</v>
      </c>
      <c r="E39" s="396" t="s">
        <v>263</v>
      </c>
      <c r="F39" s="396">
        <v>26</v>
      </c>
      <c r="G39" s="396" t="s">
        <v>216</v>
      </c>
      <c r="H39" s="356" t="s">
        <v>319</v>
      </c>
      <c r="I39" s="349" t="s">
        <v>218</v>
      </c>
      <c r="J39" s="349" t="s">
        <v>219</v>
      </c>
      <c r="K39" s="349" t="s">
        <v>219</v>
      </c>
      <c r="L39" s="349" t="s">
        <v>218</v>
      </c>
      <c r="M39" s="349" t="s">
        <v>220</v>
      </c>
      <c r="N39" s="353" t="s">
        <v>221</v>
      </c>
      <c r="O39" s="353">
        <v>1</v>
      </c>
      <c r="P39" s="353">
        <v>1</v>
      </c>
      <c r="Q39" s="353">
        <f t="shared" si="0"/>
        <v>1</v>
      </c>
    </row>
    <row r="40" s="337" customFormat="1" ht="51" hidden="1" spans="1:17">
      <c r="A40" s="392" t="s">
        <v>320</v>
      </c>
      <c r="B40" s="392" t="s">
        <v>321</v>
      </c>
      <c r="C40" s="383" t="s">
        <v>253</v>
      </c>
      <c r="D40" s="388" t="s">
        <v>218</v>
      </c>
      <c r="E40" s="388" t="s">
        <v>263</v>
      </c>
      <c r="F40" s="388">
        <v>28</v>
      </c>
      <c r="G40" s="388" t="s">
        <v>246</v>
      </c>
      <c r="H40" s="392" t="s">
        <v>322</v>
      </c>
      <c r="I40" s="382" t="s">
        <v>248</v>
      </c>
      <c r="J40" s="383" t="s">
        <v>220</v>
      </c>
      <c r="K40" s="383" t="s">
        <v>218</v>
      </c>
      <c r="L40" s="383" t="s">
        <v>218</v>
      </c>
      <c r="M40" s="383" t="s">
        <v>219</v>
      </c>
      <c r="N40" s="387" t="s">
        <v>221</v>
      </c>
      <c r="O40" s="388">
        <v>0</v>
      </c>
      <c r="P40" s="388">
        <v>0</v>
      </c>
      <c r="Q40" s="388">
        <f t="shared" si="0"/>
        <v>1</v>
      </c>
    </row>
    <row r="41" s="336" customFormat="1" ht="51" spans="1:17">
      <c r="A41" s="394" t="s">
        <v>323</v>
      </c>
      <c r="B41" s="394" t="s">
        <v>324</v>
      </c>
      <c r="C41" s="376" t="s">
        <v>253</v>
      </c>
      <c r="D41" s="381" t="s">
        <v>218</v>
      </c>
      <c r="E41" s="381" t="s">
        <v>246</v>
      </c>
      <c r="F41" s="381">
        <v>11</v>
      </c>
      <c r="G41" s="381" t="s">
        <v>246</v>
      </c>
      <c r="H41" s="394" t="s">
        <v>325</v>
      </c>
      <c r="I41" s="375" t="s">
        <v>248</v>
      </c>
      <c r="J41" s="376" t="s">
        <v>220</v>
      </c>
      <c r="K41" s="376" t="s">
        <v>218</v>
      </c>
      <c r="L41" s="376" t="s">
        <v>219</v>
      </c>
      <c r="M41" s="376" t="s">
        <v>218</v>
      </c>
      <c r="N41" s="380" t="s">
        <v>221</v>
      </c>
      <c r="O41" s="381">
        <v>0</v>
      </c>
      <c r="P41" s="381">
        <v>0</v>
      </c>
      <c r="Q41" s="381">
        <f t="shared" si="0"/>
        <v>1</v>
      </c>
    </row>
    <row r="42" s="336" customFormat="1" spans="1:17">
      <c r="A42" s="394" t="s">
        <v>326</v>
      </c>
      <c r="B42" s="397" t="s">
        <v>327</v>
      </c>
      <c r="C42" s="398" t="s">
        <v>253</v>
      </c>
      <c r="D42" s="377" t="s">
        <v>218</v>
      </c>
      <c r="E42" s="376" t="s">
        <v>236</v>
      </c>
      <c r="F42" s="378">
        <v>5</v>
      </c>
      <c r="G42" s="376" t="s">
        <v>246</v>
      </c>
      <c r="H42" s="376" t="s">
        <v>218</v>
      </c>
      <c r="I42" s="399" t="s">
        <v>328</v>
      </c>
      <c r="J42" s="376" t="s">
        <v>220</v>
      </c>
      <c r="K42" s="376" t="s">
        <v>218</v>
      </c>
      <c r="L42" s="376" t="s">
        <v>219</v>
      </c>
      <c r="M42" s="376" t="s">
        <v>219</v>
      </c>
      <c r="N42" s="380" t="s">
        <v>280</v>
      </c>
      <c r="O42" s="381">
        <v>0</v>
      </c>
      <c r="P42" s="381">
        <v>0</v>
      </c>
      <c r="Q42" s="381">
        <f t="shared" si="0"/>
        <v>1</v>
      </c>
    </row>
    <row r="43" s="333" customFormat="1" spans="1:17">
      <c r="A43" s="354" t="s">
        <v>329</v>
      </c>
      <c r="B43" s="357" t="s">
        <v>330</v>
      </c>
      <c r="C43" s="347" t="s">
        <v>214</v>
      </c>
      <c r="D43" s="355">
        <v>1000</v>
      </c>
      <c r="E43" s="349" t="s">
        <v>263</v>
      </c>
      <c r="F43" s="350">
        <v>23</v>
      </c>
      <c r="G43" s="349" t="s">
        <v>216</v>
      </c>
      <c r="H43" s="346" t="s">
        <v>331</v>
      </c>
      <c r="I43" s="349" t="s">
        <v>218</v>
      </c>
      <c r="J43" s="349" t="s">
        <v>219</v>
      </c>
      <c r="K43" s="349" t="s">
        <v>219</v>
      </c>
      <c r="L43" s="349" t="s">
        <v>218</v>
      </c>
      <c r="M43" s="349" t="s">
        <v>220</v>
      </c>
      <c r="N43" s="353" t="s">
        <v>221</v>
      </c>
      <c r="O43" s="353">
        <v>1</v>
      </c>
      <c r="P43" s="353">
        <v>1</v>
      </c>
      <c r="Q43" s="353">
        <f t="shared" si="0"/>
        <v>1</v>
      </c>
    </row>
    <row r="44" s="333" customFormat="1" spans="1:17">
      <c r="A44" s="354" t="s">
        <v>332</v>
      </c>
      <c r="B44" s="354" t="s">
        <v>333</v>
      </c>
      <c r="C44" s="396" t="s">
        <v>214</v>
      </c>
      <c r="D44" s="396">
        <v>1000</v>
      </c>
      <c r="E44" s="353" t="s">
        <v>216</v>
      </c>
      <c r="F44" s="353">
        <v>7</v>
      </c>
      <c r="G44" s="353" t="s">
        <v>216</v>
      </c>
      <c r="H44" s="354" t="s">
        <v>334</v>
      </c>
      <c r="I44" s="400" t="s">
        <v>218</v>
      </c>
      <c r="J44" s="353" t="s">
        <v>219</v>
      </c>
      <c r="K44" s="353" t="s">
        <v>220</v>
      </c>
      <c r="L44" s="353" t="s">
        <v>218</v>
      </c>
      <c r="M44" s="353" t="s">
        <v>218</v>
      </c>
      <c r="N44" s="353" t="s">
        <v>218</v>
      </c>
      <c r="O44" s="353">
        <v>1</v>
      </c>
      <c r="P44" s="353">
        <v>1</v>
      </c>
      <c r="Q44" s="353">
        <f t="shared" si="0"/>
        <v>1</v>
      </c>
    </row>
    <row r="45" s="333" customFormat="1" spans="1:17">
      <c r="A45" s="354" t="s">
        <v>335</v>
      </c>
      <c r="B45" s="354" t="s">
        <v>336</v>
      </c>
      <c r="C45" s="396" t="s">
        <v>214</v>
      </c>
      <c r="D45" s="396">
        <v>1000</v>
      </c>
      <c r="E45" s="353" t="s">
        <v>216</v>
      </c>
      <c r="F45" s="353">
        <v>8</v>
      </c>
      <c r="G45" s="353" t="s">
        <v>216</v>
      </c>
      <c r="H45" s="354" t="s">
        <v>337</v>
      </c>
      <c r="I45" s="400" t="s">
        <v>218</v>
      </c>
      <c r="J45" s="353" t="s">
        <v>219</v>
      </c>
      <c r="K45" s="353" t="s">
        <v>220</v>
      </c>
      <c r="L45" s="353" t="s">
        <v>218</v>
      </c>
      <c r="M45" s="353" t="s">
        <v>218</v>
      </c>
      <c r="N45" s="353" t="s">
        <v>218</v>
      </c>
      <c r="O45" s="353">
        <v>1</v>
      </c>
      <c r="P45" s="353">
        <v>1</v>
      </c>
      <c r="Q45" s="353">
        <f t="shared" si="0"/>
        <v>1</v>
      </c>
    </row>
    <row r="46" s="333" customFormat="1" spans="1:17">
      <c r="A46" s="354" t="s">
        <v>338</v>
      </c>
      <c r="B46" s="354" t="s">
        <v>339</v>
      </c>
      <c r="C46" s="396" t="s">
        <v>214</v>
      </c>
      <c r="D46" s="396">
        <v>1000</v>
      </c>
      <c r="E46" s="353" t="s">
        <v>216</v>
      </c>
      <c r="F46" s="353">
        <v>9</v>
      </c>
      <c r="G46" s="353" t="s">
        <v>216</v>
      </c>
      <c r="H46" s="354" t="s">
        <v>237</v>
      </c>
      <c r="I46" s="400" t="s">
        <v>218</v>
      </c>
      <c r="J46" s="353" t="s">
        <v>219</v>
      </c>
      <c r="K46" s="353" t="s">
        <v>220</v>
      </c>
      <c r="L46" s="353" t="s">
        <v>218</v>
      </c>
      <c r="M46" s="353" t="s">
        <v>218</v>
      </c>
      <c r="N46" s="353" t="s">
        <v>218</v>
      </c>
      <c r="O46" s="353">
        <v>1</v>
      </c>
      <c r="P46" s="353">
        <v>1</v>
      </c>
      <c r="Q46" s="353">
        <f t="shared" si="0"/>
        <v>1</v>
      </c>
    </row>
    <row r="47" s="336" customFormat="1" spans="1:17">
      <c r="A47" s="394" t="s">
        <v>340</v>
      </c>
      <c r="B47" s="394" t="s">
        <v>341</v>
      </c>
      <c r="C47" s="381" t="s">
        <v>253</v>
      </c>
      <c r="D47" s="381" t="s">
        <v>218</v>
      </c>
      <c r="E47" s="381" t="s">
        <v>236</v>
      </c>
      <c r="F47" s="381">
        <v>8</v>
      </c>
      <c r="G47" s="381" t="s">
        <v>246</v>
      </c>
      <c r="H47" s="381" t="s">
        <v>218</v>
      </c>
      <c r="I47" s="401" t="s">
        <v>237</v>
      </c>
      <c r="J47" s="381" t="s">
        <v>220</v>
      </c>
      <c r="K47" s="381" t="s">
        <v>219</v>
      </c>
      <c r="L47" s="381" t="s">
        <v>219</v>
      </c>
      <c r="M47" s="381" t="s">
        <v>219</v>
      </c>
      <c r="N47" s="381" t="s">
        <v>280</v>
      </c>
      <c r="O47" s="381">
        <v>0</v>
      </c>
      <c r="P47" s="381">
        <v>0</v>
      </c>
      <c r="Q47" s="381">
        <f t="shared" si="0"/>
        <v>2</v>
      </c>
    </row>
    <row r="48" s="336" customFormat="1" ht="51" spans="1:17">
      <c r="A48" s="394" t="s">
        <v>340</v>
      </c>
      <c r="B48" s="394" t="s">
        <v>342</v>
      </c>
      <c r="C48" s="381" t="s">
        <v>253</v>
      </c>
      <c r="D48" s="381" t="s">
        <v>218</v>
      </c>
      <c r="E48" s="381" t="s">
        <v>236</v>
      </c>
      <c r="F48" s="381">
        <v>9</v>
      </c>
      <c r="G48" s="381" t="s">
        <v>246</v>
      </c>
      <c r="H48" s="394" t="s">
        <v>237</v>
      </c>
      <c r="I48" s="402" t="s">
        <v>248</v>
      </c>
      <c r="J48" s="381" t="s">
        <v>220</v>
      </c>
      <c r="K48" s="381" t="s">
        <v>219</v>
      </c>
      <c r="L48" s="381" t="s">
        <v>219</v>
      </c>
      <c r="M48" s="381" t="s">
        <v>219</v>
      </c>
      <c r="N48" s="381" t="s">
        <v>221</v>
      </c>
      <c r="O48" s="381">
        <v>0</v>
      </c>
      <c r="P48" s="381">
        <v>0</v>
      </c>
      <c r="Q48" s="381">
        <f t="shared" si="0"/>
        <v>2</v>
      </c>
    </row>
    <row r="49" s="336" customFormat="1" spans="1:17">
      <c r="A49" s="394" t="s">
        <v>343</v>
      </c>
      <c r="B49" s="394" t="s">
        <v>344</v>
      </c>
      <c r="C49" s="381" t="s">
        <v>253</v>
      </c>
      <c r="D49" s="381" t="s">
        <v>218</v>
      </c>
      <c r="E49" s="381" t="s">
        <v>216</v>
      </c>
      <c r="F49" s="381">
        <v>10</v>
      </c>
      <c r="G49" s="381" t="s">
        <v>246</v>
      </c>
      <c r="H49" s="381" t="s">
        <v>218</v>
      </c>
      <c r="I49" s="401" t="s">
        <v>345</v>
      </c>
      <c r="J49" s="381" t="s">
        <v>220</v>
      </c>
      <c r="K49" s="381" t="s">
        <v>219</v>
      </c>
      <c r="L49" s="381" t="s">
        <v>218</v>
      </c>
      <c r="M49" s="381" t="s">
        <v>218</v>
      </c>
      <c r="N49" s="381" t="s">
        <v>280</v>
      </c>
      <c r="O49" s="381">
        <v>0</v>
      </c>
      <c r="P49" s="381">
        <v>0</v>
      </c>
      <c r="Q49" s="381">
        <f t="shared" si="0"/>
        <v>1</v>
      </c>
    </row>
    <row r="50" s="335" customFormat="1" spans="1:17">
      <c r="A50" s="403" t="s">
        <v>346</v>
      </c>
      <c r="B50" s="403" t="s">
        <v>347</v>
      </c>
      <c r="C50" s="373" t="s">
        <v>214</v>
      </c>
      <c r="D50" s="373">
        <v>1000</v>
      </c>
      <c r="E50" s="373" t="s">
        <v>246</v>
      </c>
      <c r="F50" s="373">
        <v>14</v>
      </c>
      <c r="G50" s="373" t="s">
        <v>216</v>
      </c>
      <c r="H50" s="367" t="s">
        <v>348</v>
      </c>
      <c r="I50" s="404" t="s">
        <v>218</v>
      </c>
      <c r="J50" s="373" t="s">
        <v>218</v>
      </c>
      <c r="K50" s="373" t="s">
        <v>218</v>
      </c>
      <c r="L50" s="373" t="s">
        <v>220</v>
      </c>
      <c r="M50" s="373" t="s">
        <v>219</v>
      </c>
      <c r="N50" s="373" t="s">
        <v>221</v>
      </c>
      <c r="O50" s="373">
        <v>0</v>
      </c>
      <c r="P50" s="373">
        <v>0</v>
      </c>
      <c r="Q50" s="373">
        <f t="shared" si="0"/>
        <v>1</v>
      </c>
    </row>
    <row r="51" s="333" customFormat="1" spans="1:17">
      <c r="A51" s="354" t="s">
        <v>349</v>
      </c>
      <c r="B51" s="354" t="s">
        <v>350</v>
      </c>
      <c r="C51" s="353" t="s">
        <v>214</v>
      </c>
      <c r="D51" s="353">
        <v>1000</v>
      </c>
      <c r="E51" s="353" t="s">
        <v>216</v>
      </c>
      <c r="F51" s="353">
        <v>14</v>
      </c>
      <c r="G51" s="353" t="s">
        <v>216</v>
      </c>
      <c r="H51" s="354" t="s">
        <v>351</v>
      </c>
      <c r="I51" s="400" t="s">
        <v>218</v>
      </c>
      <c r="J51" s="353" t="s">
        <v>218</v>
      </c>
      <c r="K51" s="353" t="s">
        <v>220</v>
      </c>
      <c r="L51" s="353" t="s">
        <v>219</v>
      </c>
      <c r="M51" s="353" t="s">
        <v>218</v>
      </c>
      <c r="N51" s="353" t="s">
        <v>221</v>
      </c>
      <c r="O51" s="353">
        <v>0</v>
      </c>
      <c r="P51" s="353">
        <v>0</v>
      </c>
      <c r="Q51" s="353">
        <f t="shared" si="0"/>
        <v>1</v>
      </c>
    </row>
    <row r="52" spans="1:17">
      <c r="H52" s="405"/>
      <c r="I52" s="406"/>
    </row>
    <row r="53" spans="1:17">
      <c r="H53" s="405"/>
      <c r="I53" s="406"/>
    </row>
    <row r="54" spans="1:17">
      <c r="H54" s="405"/>
      <c r="I54" s="406"/>
    </row>
    <row r="55" spans="1:17">
      <c r="H55" s="405"/>
      <c r="I55" s="406"/>
    </row>
    <row r="56" spans="1:17">
      <c r="H56" s="405"/>
      <c r="I56" s="406"/>
    </row>
    <row r="57" spans="1:17">
      <c r="H57" s="405"/>
      <c r="I57" s="406"/>
    </row>
    <row r="58" spans="1:17">
      <c r="H58" s="405"/>
      <c r="I58" s="406"/>
    </row>
    <row r="59" spans="1:17">
      <c r="H59" s="405"/>
      <c r="I59" s="406"/>
    </row>
    <row r="60" spans="1:17">
      <c r="H60" s="405"/>
      <c r="I60" s="406"/>
    </row>
    <row r="61" spans="1:17">
      <c r="H61" s="405"/>
      <c r="I61" s="406"/>
    </row>
    <row r="62" spans="1:17">
      <c r="H62" s="405"/>
      <c r="I62" s="406"/>
    </row>
    <row r="63" spans="1:17">
      <c r="H63" s="405"/>
      <c r="I63" s="406"/>
    </row>
    <row r="64" spans="1:17">
      <c r="H64" s="405"/>
      <c r="I64" s="406"/>
    </row>
    <row r="65" spans="8:9">
      <c r="H65" s="405"/>
      <c r="I65" s="406"/>
    </row>
    <row r="66" spans="8:9">
      <c r="H66" s="405"/>
      <c r="I66" s="406"/>
    </row>
    <row r="67" spans="8:9">
      <c r="H67" s="405"/>
      <c r="I67" s="406"/>
    </row>
    <row r="68" spans="8:9">
      <c r="H68" s="405"/>
      <c r="I68" s="406"/>
    </row>
    <row r="69" spans="8:9">
      <c r="H69" s="405"/>
      <c r="I69" s="406"/>
    </row>
    <row r="70" spans="8:9">
      <c r="H70" s="405"/>
      <c r="I70" s="406"/>
    </row>
    <row r="71" spans="8:9">
      <c r="H71" s="405"/>
      <c r="I71" s="406"/>
    </row>
    <row r="72" spans="8:9">
      <c r="H72" s="405"/>
      <c r="I72" s="406"/>
    </row>
    <row r="73" spans="8:9">
      <c r="H73" s="405"/>
      <c r="I73" s="406"/>
    </row>
    <row r="74" spans="8:9">
      <c r="H74" s="405"/>
      <c r="I74" s="406"/>
    </row>
    <row r="75" spans="8:9">
      <c r="H75" s="405"/>
      <c r="I75" s="406"/>
    </row>
    <row r="76" spans="8:9">
      <c r="H76" s="405"/>
      <c r="I76" s="406"/>
    </row>
    <row r="77" spans="8:9">
      <c r="H77" s="405"/>
      <c r="I77" s="406"/>
    </row>
    <row r="78" spans="8:9">
      <c r="H78" s="405"/>
      <c r="I78" s="406"/>
    </row>
    <row r="79" spans="8:9">
      <c r="H79" s="405"/>
      <c r="I79" s="406"/>
    </row>
    <row r="80" spans="8:9">
      <c r="H80" s="405"/>
      <c r="I80" s="406"/>
    </row>
    <row r="81" spans="8:9">
      <c r="H81" s="405"/>
      <c r="I81" s="406"/>
    </row>
    <row r="82" spans="8:9">
      <c r="H82" s="405"/>
      <c r="I82" s="406"/>
    </row>
    <row r="83" spans="8:9">
      <c r="H83" s="405"/>
      <c r="I83" s="406"/>
    </row>
    <row r="84" spans="8:9">
      <c r="H84" s="405"/>
      <c r="I84" s="406"/>
    </row>
    <row r="85" spans="8:9">
      <c r="H85" s="405"/>
      <c r="I85" s="406"/>
    </row>
    <row r="86" spans="8:9">
      <c r="H86" s="405"/>
      <c r="I86" s="406"/>
    </row>
    <row r="87" spans="8:9">
      <c r="H87" s="405"/>
      <c r="I87" s="406"/>
    </row>
    <row r="88" spans="8:9">
      <c r="H88" s="405"/>
      <c r="I88" s="406"/>
    </row>
    <row r="89" spans="8:9">
      <c r="H89" s="405"/>
      <c r="I89" s="406"/>
    </row>
    <row r="90" spans="8:9">
      <c r="H90" s="405"/>
      <c r="I90" s="406"/>
    </row>
    <row r="91" spans="8:9">
      <c r="H91" s="405"/>
      <c r="I91" s="406"/>
    </row>
    <row r="92" spans="8:9">
      <c r="H92" s="405"/>
      <c r="I92" s="406"/>
    </row>
    <row r="93" spans="8:9">
      <c r="H93" s="405"/>
      <c r="I93" s="406"/>
    </row>
    <row r="94" spans="8:9">
      <c r="H94" s="405"/>
      <c r="I94" s="406"/>
    </row>
    <row r="95" spans="8:9">
      <c r="H95" s="405"/>
      <c r="I95" s="406"/>
    </row>
    <row r="96" spans="8:9">
      <c r="H96" s="405"/>
      <c r="I96" s="406"/>
    </row>
    <row r="97" spans="8:9">
      <c r="H97" s="405"/>
      <c r="I97" s="406"/>
    </row>
    <row r="98" spans="8:9">
      <c r="H98" s="405"/>
      <c r="I98" s="406"/>
    </row>
    <row r="99" spans="8:9">
      <c r="H99" s="405"/>
      <c r="I99" s="406"/>
    </row>
    <row r="100" spans="8:9">
      <c r="H100" s="405"/>
      <c r="I100" s="406"/>
    </row>
    <row r="101" spans="8:9">
      <c r="H101" s="405"/>
      <c r="I101" s="406"/>
    </row>
    <row r="102" spans="8:9">
      <c r="H102" s="405"/>
      <c r="I102" s="406"/>
    </row>
    <row r="103" spans="8:9">
      <c r="H103" s="405"/>
      <c r="I103" s="406"/>
    </row>
    <row r="104" spans="8:9">
      <c r="H104" s="405"/>
      <c r="I104" s="406"/>
    </row>
    <row r="105" spans="8:9">
      <c r="H105" s="405"/>
      <c r="I105" s="406"/>
    </row>
    <row r="106" spans="8:9">
      <c r="H106" s="405"/>
      <c r="I106" s="406"/>
    </row>
    <row r="107" spans="8:9">
      <c r="H107" s="405"/>
      <c r="I107" s="406"/>
    </row>
    <row r="108" spans="8:9">
      <c r="H108" s="405"/>
      <c r="I108" s="406"/>
    </row>
    <row r="109" spans="8:9">
      <c r="H109" s="405"/>
      <c r="I109" s="406"/>
    </row>
    <row r="110" spans="8:9">
      <c r="H110" s="405"/>
      <c r="I110" s="406"/>
    </row>
    <row r="111" spans="8:9">
      <c r="H111" s="405"/>
      <c r="I111" s="406"/>
    </row>
    <row r="112" spans="8:9">
      <c r="H112" s="405"/>
      <c r="I112" s="406"/>
    </row>
    <row r="113" spans="8:9">
      <c r="H113" s="405"/>
      <c r="I113" s="406"/>
    </row>
    <row r="114" spans="8:9">
      <c r="H114" s="405"/>
      <c r="I114" s="406"/>
    </row>
    <row r="115" spans="8:9">
      <c r="H115" s="405"/>
      <c r="I115" s="406"/>
    </row>
    <row r="116" spans="8:9">
      <c r="H116" s="405"/>
      <c r="I116" s="406"/>
    </row>
    <row r="117" spans="8:9">
      <c r="H117" s="405"/>
      <c r="I117" s="406"/>
    </row>
    <row r="118" spans="8:9">
      <c r="H118" s="405"/>
      <c r="I118" s="406"/>
    </row>
    <row r="119" spans="8:9">
      <c r="H119" s="405"/>
      <c r="I119" s="406"/>
    </row>
    <row r="120" spans="8:9">
      <c r="H120" s="405"/>
      <c r="I120" s="406"/>
    </row>
    <row r="121" spans="8:9">
      <c r="H121" s="405"/>
      <c r="I121" s="406"/>
    </row>
    <row r="122" spans="8:9">
      <c r="H122" s="405"/>
      <c r="I122" s="406"/>
    </row>
    <row r="123" spans="8:9">
      <c r="H123" s="405"/>
      <c r="I123" s="406"/>
    </row>
    <row r="124" spans="8:9">
      <c r="H124" s="405"/>
      <c r="I124" s="406"/>
    </row>
    <row r="125" spans="8:9">
      <c r="H125" s="405"/>
      <c r="I125" s="406"/>
    </row>
    <row r="126" spans="8:9">
      <c r="H126" s="405"/>
      <c r="I126" s="406"/>
    </row>
    <row r="127" spans="8:9">
      <c r="H127" s="405"/>
      <c r="I127" s="406"/>
    </row>
    <row r="128" spans="8:9">
      <c r="H128" s="405"/>
      <c r="I128" s="406"/>
    </row>
    <row r="129" spans="8:9">
      <c r="H129" s="405"/>
      <c r="I129" s="406"/>
    </row>
    <row r="130" spans="8:9">
      <c r="H130" s="405"/>
      <c r="I130" s="406"/>
    </row>
    <row r="131" spans="8:9">
      <c r="H131" s="405"/>
      <c r="I131" s="406"/>
    </row>
    <row r="132" spans="8:9">
      <c r="H132" s="405"/>
      <c r="I132" s="406"/>
    </row>
    <row r="133" spans="8:9">
      <c r="H133" s="405"/>
      <c r="I133" s="406"/>
    </row>
    <row r="134" spans="8:9">
      <c r="H134" s="405"/>
      <c r="I134" s="406"/>
    </row>
    <row r="135" spans="8:9">
      <c r="H135" s="405"/>
      <c r="I135" s="406"/>
    </row>
    <row r="136" spans="8:9">
      <c r="H136" s="405"/>
      <c r="I136" s="406"/>
    </row>
    <row r="137" spans="8:9">
      <c r="H137" s="405"/>
      <c r="I137" s="406"/>
    </row>
    <row r="138" spans="8:9">
      <c r="H138" s="405"/>
      <c r="I138" s="406"/>
    </row>
    <row r="139" spans="8:9">
      <c r="H139" s="405"/>
      <c r="I139" s="406"/>
    </row>
    <row r="140" spans="8:9">
      <c r="H140" s="405"/>
      <c r="I140" s="406"/>
    </row>
    <row r="141" spans="8:9">
      <c r="H141" s="405"/>
      <c r="I141" s="406"/>
    </row>
    <row r="142" spans="8:9">
      <c r="H142" s="405"/>
      <c r="I142" s="406"/>
    </row>
    <row r="143" spans="8:9">
      <c r="H143" s="405"/>
      <c r="I143" s="406"/>
    </row>
    <row r="144" spans="8:9">
      <c r="H144" s="405"/>
      <c r="I144" s="406"/>
    </row>
    <row r="145" spans="8:9">
      <c r="H145" s="405"/>
      <c r="I145" s="406"/>
    </row>
    <row r="146" spans="8:9">
      <c r="H146" s="405"/>
      <c r="I146" s="406"/>
    </row>
    <row r="147" spans="8:9">
      <c r="H147" s="405"/>
      <c r="I147" s="406"/>
    </row>
    <row r="148" spans="8:9">
      <c r="H148" s="405"/>
      <c r="I148" s="406"/>
    </row>
    <row r="149" spans="8:9">
      <c r="H149" s="405"/>
      <c r="I149" s="406"/>
    </row>
    <row r="150" spans="8:9">
      <c r="H150" s="405"/>
      <c r="I150" s="406"/>
    </row>
    <row r="151" spans="8:9">
      <c r="H151" s="405"/>
      <c r="I151" s="406"/>
    </row>
    <row r="152" spans="8:9">
      <c r="H152" s="405"/>
      <c r="I152" s="406"/>
    </row>
    <row r="153" spans="8:9">
      <c r="H153" s="405"/>
      <c r="I153" s="406"/>
    </row>
    <row r="154" spans="8:9">
      <c r="H154" s="405"/>
      <c r="I154" s="406"/>
    </row>
    <row r="155" spans="8:9">
      <c r="H155" s="405"/>
      <c r="I155" s="406"/>
    </row>
    <row r="156" spans="8:9">
      <c r="H156" s="405"/>
      <c r="I156" s="406"/>
    </row>
    <row r="157" spans="8:9">
      <c r="H157" s="405"/>
      <c r="I157" s="406"/>
    </row>
    <row r="158" spans="8:9">
      <c r="H158" s="405"/>
      <c r="I158" s="406"/>
    </row>
    <row r="159" spans="8:9">
      <c r="H159" s="405"/>
      <c r="I159" s="406"/>
    </row>
    <row r="160" spans="8:9">
      <c r="H160" s="405"/>
      <c r="I160" s="406"/>
    </row>
    <row r="161" spans="8:9">
      <c r="H161" s="405"/>
      <c r="I161" s="406"/>
    </row>
    <row r="162" spans="8:9">
      <c r="H162" s="405"/>
      <c r="I162" s="406"/>
    </row>
    <row r="163" spans="8:9">
      <c r="H163" s="405"/>
      <c r="I163" s="406"/>
    </row>
    <row r="164" spans="8:9">
      <c r="H164" s="405"/>
      <c r="I164" s="406"/>
    </row>
    <row r="165" spans="8:9">
      <c r="H165" s="405"/>
      <c r="I165" s="406"/>
    </row>
    <row r="166" spans="8:9">
      <c r="H166" s="405"/>
      <c r="I166" s="406"/>
    </row>
    <row r="167" spans="8:9">
      <c r="H167" s="405"/>
      <c r="I167" s="406"/>
    </row>
    <row r="168" spans="8:9">
      <c r="H168" s="405"/>
      <c r="I168" s="406"/>
    </row>
    <row r="169" spans="8:9">
      <c r="H169" s="405"/>
      <c r="I169" s="406"/>
    </row>
    <row r="170" spans="8:9">
      <c r="H170" s="405"/>
      <c r="I170" s="406"/>
    </row>
    <row r="171" spans="8:9">
      <c r="H171" s="405"/>
      <c r="I171" s="406"/>
    </row>
    <row r="172" spans="8:9">
      <c r="H172" s="405"/>
      <c r="I172" s="406"/>
    </row>
    <row r="173" spans="8:9">
      <c r="H173" s="405"/>
      <c r="I173" s="406"/>
    </row>
    <row r="174" spans="8:9">
      <c r="H174" s="405"/>
      <c r="I174" s="406"/>
    </row>
    <row r="175" spans="8:9">
      <c r="H175" s="405"/>
      <c r="I175" s="406"/>
    </row>
    <row r="176" spans="8:9">
      <c r="H176" s="405"/>
      <c r="I176" s="406"/>
    </row>
    <row r="177" spans="8:9">
      <c r="H177" s="405"/>
      <c r="I177" s="406"/>
    </row>
    <row r="178" spans="8:9">
      <c r="H178" s="405"/>
      <c r="I178" s="406"/>
    </row>
    <row r="179" spans="8:9">
      <c r="H179" s="405"/>
      <c r="I179" s="406"/>
    </row>
    <row r="180" spans="8:9">
      <c r="H180" s="405"/>
      <c r="I180" s="406"/>
    </row>
    <row r="181" spans="8:9">
      <c r="H181" s="405"/>
      <c r="I181" s="406"/>
    </row>
    <row r="182" spans="8:9">
      <c r="H182" s="405"/>
      <c r="I182" s="406"/>
    </row>
    <row r="183" spans="8:9">
      <c r="H183" s="405"/>
      <c r="I183" s="406"/>
    </row>
    <row r="184" spans="8:9">
      <c r="H184" s="405"/>
      <c r="I184" s="406"/>
    </row>
    <row r="185" spans="8:9">
      <c r="H185" s="405"/>
      <c r="I185" s="406"/>
    </row>
    <row r="186" spans="8:9">
      <c r="H186" s="405"/>
      <c r="I186" s="406"/>
    </row>
    <row r="187" spans="8:9">
      <c r="H187" s="405"/>
      <c r="I187" s="406"/>
    </row>
    <row r="188" spans="8:9">
      <c r="H188" s="405"/>
      <c r="I188" s="406"/>
    </row>
    <row r="189" spans="8:9">
      <c r="H189" s="405"/>
      <c r="I189" s="406"/>
    </row>
    <row r="190" spans="8:9">
      <c r="H190" s="405"/>
      <c r="I190" s="406"/>
    </row>
    <row r="191" spans="8:9">
      <c r="H191" s="405"/>
      <c r="I191" s="406"/>
    </row>
    <row r="192" spans="8:9">
      <c r="H192" s="405"/>
      <c r="I192" s="406"/>
    </row>
    <row r="193" spans="8:9">
      <c r="H193" s="405"/>
      <c r="I193" s="406"/>
    </row>
    <row r="194" spans="8:9">
      <c r="H194" s="405"/>
      <c r="I194" s="406"/>
    </row>
    <row r="195" spans="8:9">
      <c r="H195" s="405"/>
      <c r="I195" s="406"/>
    </row>
    <row r="196" spans="8:9">
      <c r="H196" s="405"/>
      <c r="I196" s="406"/>
    </row>
    <row r="197" spans="8:9">
      <c r="H197" s="405"/>
      <c r="I197" s="406"/>
    </row>
    <row r="198" spans="8:9">
      <c r="H198" s="405"/>
      <c r="I198" s="406"/>
    </row>
    <row r="199" spans="8:9">
      <c r="H199" s="405"/>
      <c r="I199" s="406"/>
    </row>
    <row r="200" spans="8:9">
      <c r="H200" s="405"/>
      <c r="I200" s="406"/>
    </row>
    <row r="201" spans="8:9">
      <c r="H201" s="405"/>
      <c r="I201" s="406"/>
    </row>
    <row r="202" spans="8:9">
      <c r="H202" s="405"/>
      <c r="I202" s="406"/>
    </row>
  </sheetData>
  <autoFilter xmlns:etc="http://www.wps.cn/officeDocument/2017/etCustomData" ref="A1:Q51" etc:filterBottomFollowUsedRange="0">
    <extLst/>
  </autoFilter>
  <dataValidations count="1">
    <dataValidation type="list" allowBlank="1" showErrorMessage="1" sqref="C2:C17 C20:C37 C40:C43">
      <formula1>"Periodic,OnChange,OnRequest,OnChangeWithRepetition,IfActive"</formula1>
    </dataValidation>
  </dataValidations>
  <pageMargins left="0.7" right="0.7" top="0.75" bottom="0.75" header="0.3" footer="0.3"/>
  <pageSetup paperSize="9" orientation="portrait"/>
  <headerFooter/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outlinePr summaryBelow="0" summaryRight="0"/>
  </sheetPr>
  <dimension ref="A1:AA540"/>
  <sheetViews>
    <sheetView showGridLines="0" tabSelected="1" workbookViewId="0">
      <pane ySplit="1" topLeftCell="A141" activePane="bottomLeft" state="frozen"/>
      <selection/>
      <selection pane="bottomLeft" activeCell="B141" sqref="B141"/>
    </sheetView>
  </sheetViews>
  <sheetFormatPr defaultColWidth="14" defaultRowHeight="14.25"/>
  <cols>
    <col min="1" max="1" width="14.7142857142857" style="29" customWidth="1"/>
    <col min="2" max="2" width="27.1428571428571" style="29" customWidth="1"/>
    <col min="3" max="3" width="24.1428571428571" style="29" customWidth="1"/>
    <col min="4" max="4" width="35.2857142857143" style="30" customWidth="1"/>
    <col min="5" max="5" width="8.90476190476191" style="31" customWidth="1"/>
    <col min="6" max="6" width="9" style="31" customWidth="1"/>
    <col min="7" max="7" width="12" style="29" customWidth="1"/>
    <col min="8" max="8" width="11" style="29" customWidth="1"/>
    <col min="9" max="9" width="8" style="29" customWidth="1"/>
    <col min="10" max="10" width="13.7142857142857" style="29" customWidth="1"/>
    <col min="11" max="11" width="13.5428571428571" style="29" customWidth="1"/>
    <col min="12" max="12" width="12.5714285714286" style="29" customWidth="1"/>
    <col min="13" max="13" width="11" style="29" customWidth="1"/>
    <col min="14" max="14" width="11.8190476190476" style="32" customWidth="1"/>
    <col min="15" max="15" width="62.0857142857143" style="29" customWidth="1"/>
    <col min="16" max="16" width="24.0857142857143" style="31" customWidth="1"/>
    <col min="17" max="17" width="43.8190476190476" style="29" customWidth="1"/>
    <col min="18" max="21" width="33.6285714285714" style="33" customWidth="1"/>
    <col min="22" max="27" width="10" style="29" customWidth="1"/>
    <col min="28" max="16384" width="14" style="29"/>
  </cols>
  <sheetData>
    <row r="1" ht="25.5" spans="1:27">
      <c r="A1" s="34" t="s">
        <v>195</v>
      </c>
      <c r="B1" s="34" t="s">
        <v>196</v>
      </c>
      <c r="C1" s="34" t="s">
        <v>352</v>
      </c>
      <c r="D1" s="34" t="s">
        <v>353</v>
      </c>
      <c r="E1" s="34" t="s">
        <v>354</v>
      </c>
      <c r="F1" s="35" t="s">
        <v>355</v>
      </c>
      <c r="G1" s="34" t="s">
        <v>356</v>
      </c>
      <c r="H1" s="34" t="s">
        <v>357</v>
      </c>
      <c r="I1" s="34" t="s">
        <v>358</v>
      </c>
      <c r="J1" s="34" t="s">
        <v>359</v>
      </c>
      <c r="K1" s="34" t="s">
        <v>360</v>
      </c>
      <c r="L1" s="34" t="s">
        <v>361</v>
      </c>
      <c r="M1" s="34" t="s">
        <v>362</v>
      </c>
      <c r="N1" s="36" t="s">
        <v>363</v>
      </c>
      <c r="O1" s="34" t="s">
        <v>364</v>
      </c>
      <c r="P1" s="34" t="s">
        <v>365</v>
      </c>
      <c r="Q1" s="34" t="s">
        <v>366</v>
      </c>
      <c r="R1" s="37" t="s">
        <v>367</v>
      </c>
      <c r="S1" s="38" t="s">
        <v>368</v>
      </c>
      <c r="T1" s="39" t="s">
        <v>369</v>
      </c>
      <c r="U1" s="39" t="s">
        <v>370</v>
      </c>
      <c r="V1" s="40"/>
      <c r="W1" s="40"/>
      <c r="X1" s="40"/>
      <c r="Y1" s="40"/>
      <c r="Z1" s="40"/>
      <c r="AA1" s="40"/>
    </row>
    <row r="2" ht="63.75" spans="1:27">
      <c r="A2" s="41" t="s">
        <v>212</v>
      </c>
      <c r="B2" s="42" t="str">
        <f>VLOOKUP(A2,'Message ID'!A:M,2,FALSE)</f>
        <v>Rack 概要数据(系统状态、高压状态、接插件温度、消防干接点、TMS、FCU、温湿度、水浸传感器；SOX、持续和瞬时功率、电压温度概要、故障和心跳信号；可充/放容量电量)</v>
      </c>
      <c r="C2" s="41"/>
      <c r="D2" s="41"/>
      <c r="E2" s="43">
        <v>310</v>
      </c>
      <c r="F2" s="44"/>
      <c r="G2" s="45"/>
      <c r="H2" s="45"/>
      <c r="I2" s="45"/>
      <c r="J2" s="45"/>
      <c r="K2" s="45"/>
      <c r="L2" s="45"/>
      <c r="M2" s="45"/>
      <c r="N2" s="43">
        <f>SUM(N3:N131)</f>
        <v>805</v>
      </c>
      <c r="O2" s="46"/>
      <c r="P2" s="45"/>
      <c r="Q2" s="41"/>
      <c r="R2" s="41"/>
      <c r="S2" s="47"/>
      <c r="T2" s="47"/>
      <c r="U2" s="47"/>
      <c r="V2" s="48"/>
      <c r="W2" s="48"/>
      <c r="X2" s="48"/>
      <c r="Y2" s="48"/>
      <c r="Z2" s="48"/>
      <c r="AA2" s="48"/>
    </row>
    <row r="3" ht="153" customHeight="1" outlineLevel="1" spans="1:27">
      <c r="A3" s="49"/>
      <c r="C3" s="49" t="s">
        <v>371</v>
      </c>
      <c r="D3" s="50" t="s">
        <v>372</v>
      </c>
      <c r="E3" s="51">
        <f t="shared" ref="E3:E17" si="0">IF(INT((F3+G3-1)/8)+1=INT(F3/8)+1,INT(F3/8)+1,INT(F3/8)+1&amp;"-"&amp;INT((F3+G3-1)/8)+1)</f>
        <v>1</v>
      </c>
      <c r="F3" s="52">
        <v>0</v>
      </c>
      <c r="G3" s="53">
        <v>8</v>
      </c>
      <c r="H3" s="53">
        <v>1</v>
      </c>
      <c r="I3" s="53">
        <v>0</v>
      </c>
      <c r="J3" s="53">
        <v>0</v>
      </c>
      <c r="K3" s="53">
        <f t="shared" ref="K3:K17" si="1">(POWER(2,G3)-1)*H3+I3</f>
        <v>255</v>
      </c>
      <c r="L3" s="53">
        <v>0</v>
      </c>
      <c r="M3" s="54" t="s">
        <v>218</v>
      </c>
      <c r="N3" s="55">
        <f>LEN(K3)</f>
        <v>3</v>
      </c>
      <c r="O3" s="56" t="s">
        <v>373</v>
      </c>
      <c r="P3" s="57" t="s">
        <v>374</v>
      </c>
      <c r="Q3" s="49"/>
      <c r="R3" s="58" t="s">
        <v>375</v>
      </c>
      <c r="S3" s="59" t="s">
        <v>376</v>
      </c>
      <c r="T3" s="60" t="s">
        <v>376</v>
      </c>
      <c r="U3" s="60" t="s">
        <v>218</v>
      </c>
      <c r="V3" s="61"/>
      <c r="W3" s="61"/>
      <c r="X3" s="61"/>
      <c r="Y3" s="61"/>
      <c r="Z3" s="61"/>
      <c r="AA3" s="61"/>
    </row>
    <row r="4" ht="89.25" outlineLevel="1" spans="1:27">
      <c r="A4" s="49"/>
      <c r="B4" s="49"/>
      <c r="C4" s="49" t="s">
        <v>377</v>
      </c>
      <c r="D4" s="62" t="s">
        <v>378</v>
      </c>
      <c r="E4" s="63">
        <f t="shared" si="0"/>
        <v>2</v>
      </c>
      <c r="F4" s="64">
        <f t="shared" ref="F4:F64" si="2">F3+G3</f>
        <v>8</v>
      </c>
      <c r="G4" s="65">
        <v>8</v>
      </c>
      <c r="H4" s="65">
        <v>1</v>
      </c>
      <c r="I4" s="65">
        <v>0</v>
      </c>
      <c r="J4" s="65">
        <v>0</v>
      </c>
      <c r="K4" s="65">
        <f t="shared" si="1"/>
        <v>255</v>
      </c>
      <c r="L4" s="65">
        <v>0</v>
      </c>
      <c r="M4" s="66" t="s">
        <v>218</v>
      </c>
      <c r="N4" s="55">
        <f t="shared" ref="N4:N64" si="3">LEN(K4)</f>
        <v>3</v>
      </c>
      <c r="O4" s="67" t="s">
        <v>379</v>
      </c>
      <c r="P4" s="68" t="s">
        <v>380</v>
      </c>
      <c r="Q4" s="69" t="s">
        <v>381</v>
      </c>
      <c r="R4" s="49" t="s">
        <v>382</v>
      </c>
      <c r="S4" s="59" t="s">
        <v>218</v>
      </c>
      <c r="T4" s="60" t="s">
        <v>383</v>
      </c>
      <c r="U4" s="60" t="s">
        <v>218</v>
      </c>
      <c r="V4" s="61"/>
      <c r="W4" s="61"/>
      <c r="X4" s="61"/>
      <c r="Y4" s="61"/>
      <c r="Z4" s="61"/>
      <c r="AA4" s="61"/>
    </row>
    <row r="5" ht="89.25" outlineLevel="1" spans="1:27">
      <c r="A5" s="49"/>
      <c r="B5" s="49"/>
      <c r="C5" s="49" t="s">
        <v>384</v>
      </c>
      <c r="D5" s="70" t="s">
        <v>385</v>
      </c>
      <c r="E5" s="63">
        <f t="shared" si="0"/>
        <v>3</v>
      </c>
      <c r="F5" s="64">
        <f t="shared" si="2"/>
        <v>16</v>
      </c>
      <c r="G5" s="65">
        <v>8</v>
      </c>
      <c r="H5" s="65">
        <v>1</v>
      </c>
      <c r="I5" s="65">
        <v>0</v>
      </c>
      <c r="J5" s="65">
        <v>0</v>
      </c>
      <c r="K5" s="65">
        <f t="shared" si="1"/>
        <v>255</v>
      </c>
      <c r="L5" s="65">
        <v>0</v>
      </c>
      <c r="M5" s="66" t="s">
        <v>218</v>
      </c>
      <c r="N5" s="55">
        <f t="shared" si="3"/>
        <v>3</v>
      </c>
      <c r="O5" s="71" t="s">
        <v>386</v>
      </c>
      <c r="P5" s="72" t="s">
        <v>387</v>
      </c>
      <c r="Q5" s="69" t="s">
        <v>388</v>
      </c>
      <c r="R5" s="73" t="s">
        <v>389</v>
      </c>
      <c r="S5" s="59" t="s">
        <v>218</v>
      </c>
      <c r="T5" s="60" t="s">
        <v>390</v>
      </c>
      <c r="U5" s="60" t="s">
        <v>218</v>
      </c>
      <c r="V5" s="61"/>
      <c r="W5" s="61"/>
      <c r="X5" s="61"/>
      <c r="Y5" s="61"/>
      <c r="Z5" s="61"/>
      <c r="AA5" s="61"/>
    </row>
    <row r="6" ht="409.5" outlineLevel="1" spans="1:27">
      <c r="A6" s="49"/>
      <c r="B6" s="49"/>
      <c r="C6" s="74" t="s">
        <v>391</v>
      </c>
      <c r="D6" s="74" t="s">
        <v>392</v>
      </c>
      <c r="E6" s="63" t="str">
        <f t="shared" si="0"/>
        <v>4-5</v>
      </c>
      <c r="F6" s="64">
        <f t="shared" si="2"/>
        <v>24</v>
      </c>
      <c r="G6" s="65">
        <v>16</v>
      </c>
      <c r="H6" s="65">
        <v>1</v>
      </c>
      <c r="I6" s="65">
        <v>0</v>
      </c>
      <c r="J6" s="65">
        <v>0</v>
      </c>
      <c r="K6" s="65">
        <f t="shared" si="1"/>
        <v>65535</v>
      </c>
      <c r="L6" s="65">
        <v>0</v>
      </c>
      <c r="M6" s="66" t="s">
        <v>218</v>
      </c>
      <c r="N6" s="75">
        <f t="shared" si="3"/>
        <v>5</v>
      </c>
      <c r="O6" s="71" t="s">
        <v>393</v>
      </c>
      <c r="P6" s="72" t="s">
        <v>394</v>
      </c>
      <c r="Q6" s="74"/>
      <c r="R6" s="49" t="s">
        <v>395</v>
      </c>
      <c r="S6" s="59" t="s">
        <v>218</v>
      </c>
      <c r="T6" s="60" t="s">
        <v>396</v>
      </c>
      <c r="U6" s="60" t="s">
        <v>218</v>
      </c>
      <c r="V6" s="61"/>
      <c r="W6" s="61"/>
      <c r="X6" s="61"/>
      <c r="Y6" s="61"/>
      <c r="Z6" s="61"/>
      <c r="AA6" s="61"/>
    </row>
    <row r="7" ht="190" customHeight="1" outlineLevel="1" spans="1:27">
      <c r="A7" s="49"/>
      <c r="B7" s="49"/>
      <c r="C7" s="74" t="s">
        <v>397</v>
      </c>
      <c r="D7" s="74" t="s">
        <v>398</v>
      </c>
      <c r="E7" s="63" t="str">
        <f t="shared" si="0"/>
        <v>6-7</v>
      </c>
      <c r="F7" s="64">
        <f t="shared" si="2"/>
        <v>40</v>
      </c>
      <c r="G7" s="65">
        <v>16</v>
      </c>
      <c r="H7" s="65">
        <v>1</v>
      </c>
      <c r="I7" s="65">
        <v>0</v>
      </c>
      <c r="J7" s="65">
        <v>0</v>
      </c>
      <c r="K7" s="65">
        <f t="shared" si="1"/>
        <v>65535</v>
      </c>
      <c r="L7" s="65">
        <v>0</v>
      </c>
      <c r="M7" s="66" t="s">
        <v>218</v>
      </c>
      <c r="N7" s="75">
        <f t="shared" si="3"/>
        <v>5</v>
      </c>
      <c r="O7" s="56" t="s">
        <v>399</v>
      </c>
      <c r="P7" s="72" t="s">
        <v>400</v>
      </c>
      <c r="Q7" s="74"/>
      <c r="R7" s="74" t="s">
        <v>401</v>
      </c>
      <c r="S7" s="59" t="s">
        <v>218</v>
      </c>
      <c r="T7" s="60" t="s">
        <v>402</v>
      </c>
      <c r="U7" s="60" t="s">
        <v>218</v>
      </c>
      <c r="V7" s="61"/>
      <c r="W7" s="61"/>
      <c r="X7" s="61"/>
      <c r="Y7" s="61"/>
      <c r="Z7" s="61"/>
      <c r="AA7" s="61"/>
    </row>
    <row r="8" ht="25.5" outlineLevel="1" spans="1:27">
      <c r="A8" s="49"/>
      <c r="B8" s="49"/>
      <c r="C8" s="74" t="s">
        <v>403</v>
      </c>
      <c r="D8" s="74" t="s">
        <v>404</v>
      </c>
      <c r="E8" s="63" t="str">
        <f t="shared" si="0"/>
        <v>8-9</v>
      </c>
      <c r="F8" s="64">
        <f t="shared" si="2"/>
        <v>56</v>
      </c>
      <c r="G8" s="65">
        <v>16</v>
      </c>
      <c r="H8" s="65">
        <v>0.5</v>
      </c>
      <c r="I8" s="65">
        <v>0</v>
      </c>
      <c r="J8" s="65">
        <v>0</v>
      </c>
      <c r="K8" s="65">
        <f t="shared" si="1"/>
        <v>32767.5</v>
      </c>
      <c r="L8" s="65">
        <v>0</v>
      </c>
      <c r="M8" s="66" t="s">
        <v>405</v>
      </c>
      <c r="N8" s="75">
        <f t="shared" si="3"/>
        <v>7</v>
      </c>
      <c r="O8" s="76"/>
      <c r="P8" s="66" t="s">
        <v>406</v>
      </c>
      <c r="Q8" s="74"/>
      <c r="R8" s="74" t="s">
        <v>407</v>
      </c>
      <c r="S8" s="59" t="s">
        <v>218</v>
      </c>
      <c r="T8" s="60" t="s">
        <v>408</v>
      </c>
      <c r="U8" s="60" t="s">
        <v>218</v>
      </c>
      <c r="V8" s="61"/>
      <c r="W8" s="61"/>
      <c r="X8" s="61"/>
      <c r="Y8" s="61"/>
      <c r="Z8" s="61"/>
      <c r="AA8" s="61"/>
    </row>
    <row r="9" ht="25.5" outlineLevel="1" spans="1:27">
      <c r="A9" s="49"/>
      <c r="B9" s="49"/>
      <c r="C9" s="74" t="s">
        <v>409</v>
      </c>
      <c r="D9" s="74" t="s">
        <v>410</v>
      </c>
      <c r="E9" s="63" t="str">
        <f t="shared" si="0"/>
        <v>10-11</v>
      </c>
      <c r="F9" s="64">
        <f t="shared" si="2"/>
        <v>72</v>
      </c>
      <c r="G9" s="65">
        <v>16</v>
      </c>
      <c r="H9" s="65">
        <v>0.5</v>
      </c>
      <c r="I9" s="65">
        <v>0</v>
      </c>
      <c r="J9" s="65">
        <v>0</v>
      </c>
      <c r="K9" s="65">
        <f t="shared" si="1"/>
        <v>32767.5</v>
      </c>
      <c r="L9" s="65">
        <v>0</v>
      </c>
      <c r="M9" s="66" t="s">
        <v>405</v>
      </c>
      <c r="N9" s="75">
        <f t="shared" si="3"/>
        <v>7</v>
      </c>
      <c r="O9" s="76"/>
      <c r="P9" s="66" t="s">
        <v>411</v>
      </c>
      <c r="Q9" s="74"/>
      <c r="R9" s="74" t="s">
        <v>412</v>
      </c>
      <c r="S9" s="59" t="s">
        <v>218</v>
      </c>
      <c r="T9" s="60" t="s">
        <v>413</v>
      </c>
      <c r="U9" s="60" t="s">
        <v>218</v>
      </c>
      <c r="V9" s="61"/>
      <c r="W9" s="61"/>
      <c r="X9" s="61"/>
      <c r="Y9" s="61"/>
      <c r="Z9" s="61"/>
      <c r="AA9" s="61"/>
    </row>
    <row r="10" s="19" customFormat="1" ht="25.5" outlineLevel="1" spans="1:27">
      <c r="A10" s="74"/>
      <c r="B10" s="74"/>
      <c r="C10" s="74" t="s">
        <v>414</v>
      </c>
      <c r="D10" s="74" t="s">
        <v>415</v>
      </c>
      <c r="E10" s="63" t="str">
        <f t="shared" si="0"/>
        <v>12-15</v>
      </c>
      <c r="F10" s="64">
        <f t="shared" si="2"/>
        <v>88</v>
      </c>
      <c r="G10" s="68">
        <v>32</v>
      </c>
      <c r="H10" s="68">
        <v>0.001</v>
      </c>
      <c r="I10" s="68">
        <v>-2000</v>
      </c>
      <c r="J10" s="68">
        <v>-2000</v>
      </c>
      <c r="K10" s="68">
        <f t="shared" si="1"/>
        <v>4292967.295</v>
      </c>
      <c r="L10" s="65">
        <v>0</v>
      </c>
      <c r="M10" s="66" t="s">
        <v>416</v>
      </c>
      <c r="N10" s="75">
        <f t="shared" si="3"/>
        <v>11</v>
      </c>
      <c r="O10" s="76"/>
      <c r="P10" s="66"/>
      <c r="Q10" s="74" t="s">
        <v>417</v>
      </c>
      <c r="R10" s="74" t="s">
        <v>418</v>
      </c>
      <c r="S10" s="59" t="s">
        <v>218</v>
      </c>
      <c r="T10" s="59" t="s">
        <v>218</v>
      </c>
      <c r="U10" s="59" t="s">
        <v>218</v>
      </c>
      <c r="V10" s="77"/>
      <c r="W10" s="77"/>
      <c r="X10" s="77"/>
      <c r="Y10" s="77"/>
      <c r="Z10" s="77"/>
      <c r="AA10" s="77"/>
    </row>
    <row r="11" ht="25.5" outlineLevel="1" spans="1:27">
      <c r="A11" s="49"/>
      <c r="B11" s="49"/>
      <c r="C11" s="74" t="s">
        <v>419</v>
      </c>
      <c r="D11" s="74" t="s">
        <v>420</v>
      </c>
      <c r="E11" s="63" t="str">
        <f t="shared" si="0"/>
        <v>16-17</v>
      </c>
      <c r="F11" s="64">
        <f t="shared" si="2"/>
        <v>120</v>
      </c>
      <c r="G11" s="65">
        <v>16</v>
      </c>
      <c r="H11" s="65">
        <v>1</v>
      </c>
      <c r="I11" s="65">
        <v>0</v>
      </c>
      <c r="J11" s="65">
        <v>0</v>
      </c>
      <c r="K11" s="65">
        <f t="shared" si="1"/>
        <v>65535</v>
      </c>
      <c r="L11" s="65">
        <v>0</v>
      </c>
      <c r="M11" s="66" t="s">
        <v>421</v>
      </c>
      <c r="N11" s="75">
        <f t="shared" si="3"/>
        <v>5</v>
      </c>
      <c r="O11" s="76"/>
      <c r="P11" s="66" t="s">
        <v>422</v>
      </c>
      <c r="Q11" s="74"/>
      <c r="R11" s="74" t="s">
        <v>423</v>
      </c>
      <c r="S11" s="59" t="s">
        <v>218</v>
      </c>
      <c r="T11" s="59" t="s">
        <v>424</v>
      </c>
      <c r="U11" s="60" t="s">
        <v>218</v>
      </c>
      <c r="V11" s="61"/>
      <c r="W11" s="61"/>
      <c r="X11" s="61"/>
      <c r="Y11" s="61"/>
      <c r="Z11" s="61"/>
      <c r="AA11" s="61"/>
    </row>
    <row r="12" s="19" customFormat="1" ht="25.5" outlineLevel="1" spans="1:27">
      <c r="A12" s="74"/>
      <c r="B12" s="74"/>
      <c r="C12" s="74" t="s">
        <v>425</v>
      </c>
      <c r="D12" s="74" t="s">
        <v>426</v>
      </c>
      <c r="E12" s="63" t="str">
        <f t="shared" ref="E12:E14" si="4">IF(INT((F12+G12-1)/8)+1=INT(F12/8)+1,INT(F12/8)+1,INT(F12/8)+1&amp;"-"&amp;INT((F12+G12-1)/8)+1)</f>
        <v>18-19</v>
      </c>
      <c r="F12" s="64">
        <f t="shared" ref="F12:F15" si="5">F11+G11</f>
        <v>136</v>
      </c>
      <c r="G12" s="75">
        <v>16</v>
      </c>
      <c r="H12" s="65">
        <v>0.1</v>
      </c>
      <c r="I12" s="65">
        <v>-40</v>
      </c>
      <c r="J12" s="65">
        <v>-40</v>
      </c>
      <c r="K12" s="65">
        <f t="shared" ref="K12:K13" si="6">(POWER(2,G12)-1)*H12+I12</f>
        <v>6513.5</v>
      </c>
      <c r="L12" s="65">
        <v>0</v>
      </c>
      <c r="M12" s="66" t="s">
        <v>427</v>
      </c>
      <c r="N12" s="75">
        <f t="shared" ref="N12:N13" si="7">LEN(K12)</f>
        <v>6</v>
      </c>
      <c r="O12" s="76"/>
      <c r="P12" s="66" t="s">
        <v>428</v>
      </c>
      <c r="Q12" s="74"/>
      <c r="R12" s="74" t="s">
        <v>429</v>
      </c>
      <c r="S12" s="59" t="s">
        <v>218</v>
      </c>
      <c r="T12" s="59" t="s">
        <v>430</v>
      </c>
      <c r="U12" s="59" t="s">
        <v>218</v>
      </c>
      <c r="V12" s="77"/>
      <c r="W12" s="77"/>
      <c r="X12" s="77"/>
      <c r="Y12" s="77"/>
      <c r="Z12" s="77"/>
      <c r="AA12" s="77"/>
    </row>
    <row r="13" s="19" customFormat="1" ht="25.5" outlineLevel="1" spans="1:27">
      <c r="A13" s="74"/>
      <c r="B13" s="74"/>
      <c r="C13" s="70" t="s">
        <v>431</v>
      </c>
      <c r="D13" s="74" t="s">
        <v>432</v>
      </c>
      <c r="E13" s="63" t="str">
        <f t="shared" si="4"/>
        <v>20-21</v>
      </c>
      <c r="F13" s="64">
        <f t="shared" si="5"/>
        <v>152</v>
      </c>
      <c r="G13" s="75">
        <v>16</v>
      </c>
      <c r="H13" s="75">
        <v>0.1</v>
      </c>
      <c r="I13" s="75">
        <v>-40</v>
      </c>
      <c r="J13" s="75">
        <v>-40</v>
      </c>
      <c r="K13" s="75">
        <f t="shared" si="6"/>
        <v>6513.5</v>
      </c>
      <c r="L13" s="66">
        <v>0</v>
      </c>
      <c r="M13" s="66" t="s">
        <v>427</v>
      </c>
      <c r="N13" s="75">
        <f t="shared" si="7"/>
        <v>6</v>
      </c>
      <c r="O13" s="74"/>
      <c r="P13" s="66" t="s">
        <v>433</v>
      </c>
      <c r="Q13" s="74"/>
      <c r="R13" s="74" t="s">
        <v>434</v>
      </c>
      <c r="S13" s="59" t="s">
        <v>218</v>
      </c>
      <c r="T13" s="59" t="s">
        <v>435</v>
      </c>
      <c r="U13" s="59" t="s">
        <v>218</v>
      </c>
      <c r="V13" s="77"/>
      <c r="W13" s="77"/>
      <c r="X13" s="77"/>
      <c r="Y13" s="77"/>
      <c r="Z13" s="77"/>
      <c r="AA13" s="77"/>
    </row>
    <row r="14" s="20" customFormat="1" ht="26" customHeight="1" outlineLevel="1" spans="1:27">
      <c r="A14" s="78"/>
      <c r="B14" s="78"/>
      <c r="C14" s="78" t="s">
        <v>436</v>
      </c>
      <c r="D14" s="79" t="s">
        <v>437</v>
      </c>
      <c r="E14" s="80">
        <f t="shared" si="4"/>
        <v>22</v>
      </c>
      <c r="F14" s="81">
        <f t="shared" si="5"/>
        <v>168</v>
      </c>
      <c r="G14" s="82">
        <v>8</v>
      </c>
      <c r="H14" s="82">
        <v>1</v>
      </c>
      <c r="I14" s="82">
        <v>0</v>
      </c>
      <c r="J14" s="82">
        <v>0</v>
      </c>
      <c r="K14" s="82">
        <f t="shared" ref="K14" si="8">(POWER(2,G14)-1)*H14+I14</f>
        <v>255</v>
      </c>
      <c r="L14" s="82">
        <v>0</v>
      </c>
      <c r="M14" s="83" t="s">
        <v>218</v>
      </c>
      <c r="N14" s="84">
        <v>0</v>
      </c>
      <c r="P14" s="83"/>
      <c r="Q14" s="78"/>
      <c r="R14" s="79" t="s">
        <v>218</v>
      </c>
      <c r="S14" s="85" t="s">
        <v>218</v>
      </c>
      <c r="T14" s="85" t="s">
        <v>218</v>
      </c>
      <c r="U14" s="85" t="s">
        <v>218</v>
      </c>
      <c r="V14" s="86"/>
      <c r="W14" s="86"/>
      <c r="X14" s="86"/>
      <c r="Y14" s="86"/>
      <c r="Z14" s="86"/>
      <c r="AA14" s="86"/>
    </row>
    <row r="15" ht="25.5" outlineLevel="1" spans="1:27">
      <c r="A15" s="49"/>
      <c r="B15" s="49"/>
      <c r="C15" s="49" t="s">
        <v>438</v>
      </c>
      <c r="D15" s="74" t="s">
        <v>439</v>
      </c>
      <c r="E15" s="63" t="str">
        <f t="shared" ref="E15" si="9">IF(INT((F15+G15-1)/8)+1=INT(F15/8)+1,INT(F15/8)+1,INT(F15/8)+1&amp;"-"&amp;INT((F15+G15-1)/8)+1)</f>
        <v>23-24</v>
      </c>
      <c r="F15" s="64">
        <f t="shared" si="5"/>
        <v>176</v>
      </c>
      <c r="G15" s="65">
        <v>16</v>
      </c>
      <c r="H15" s="65">
        <v>1</v>
      </c>
      <c r="I15" s="65">
        <v>0</v>
      </c>
      <c r="J15" s="65">
        <v>0</v>
      </c>
      <c r="K15" s="65">
        <f t="shared" si="1"/>
        <v>65535</v>
      </c>
      <c r="L15" s="65">
        <v>0</v>
      </c>
      <c r="M15" s="66" t="s">
        <v>440</v>
      </c>
      <c r="N15" s="75">
        <f t="shared" si="3"/>
        <v>5</v>
      </c>
      <c r="O15" s="76"/>
      <c r="P15" s="66" t="s">
        <v>441</v>
      </c>
      <c r="Q15" s="74"/>
      <c r="R15" s="74" t="s">
        <v>442</v>
      </c>
      <c r="S15" s="59" t="s">
        <v>218</v>
      </c>
      <c r="T15" s="60" t="s">
        <v>443</v>
      </c>
      <c r="U15" s="60" t="s">
        <v>218</v>
      </c>
      <c r="V15" s="61"/>
      <c r="W15" s="61"/>
      <c r="X15" s="61"/>
      <c r="Y15" s="61"/>
      <c r="Z15" s="61"/>
      <c r="AA15" s="61"/>
    </row>
    <row r="16" ht="178.5" outlineLevel="1" spans="1:27">
      <c r="A16" s="49"/>
      <c r="B16" s="49"/>
      <c r="C16" s="49" t="s">
        <v>444</v>
      </c>
      <c r="D16" s="70" t="s">
        <v>445</v>
      </c>
      <c r="E16" s="63">
        <f t="shared" si="0"/>
        <v>25</v>
      </c>
      <c r="F16" s="64">
        <f t="shared" si="2"/>
        <v>192</v>
      </c>
      <c r="G16" s="65">
        <v>4</v>
      </c>
      <c r="H16" s="65">
        <v>1</v>
      </c>
      <c r="I16" s="65">
        <v>0</v>
      </c>
      <c r="J16" s="65">
        <v>0</v>
      </c>
      <c r="K16" s="65">
        <f t="shared" si="1"/>
        <v>15</v>
      </c>
      <c r="L16" s="65">
        <v>0</v>
      </c>
      <c r="M16" s="66" t="s">
        <v>218</v>
      </c>
      <c r="N16" s="75">
        <f t="shared" si="3"/>
        <v>2</v>
      </c>
      <c r="O16" s="76" t="s">
        <v>446</v>
      </c>
      <c r="P16" s="66" t="s">
        <v>447</v>
      </c>
      <c r="Q16" s="74"/>
      <c r="R16" s="70" t="s">
        <v>448</v>
      </c>
      <c r="S16" s="59" t="s">
        <v>218</v>
      </c>
      <c r="T16" s="60"/>
      <c r="U16" s="60" t="s">
        <v>218</v>
      </c>
      <c r="V16" s="61"/>
      <c r="W16" s="61"/>
      <c r="X16" s="61"/>
      <c r="Y16" s="61"/>
      <c r="Z16" s="61"/>
      <c r="AA16" s="61"/>
    </row>
    <row r="17" s="21" customFormat="1" ht="25.5" outlineLevel="1" spans="1:27">
      <c r="A17" s="87"/>
      <c r="B17" s="87"/>
      <c r="C17" s="88" t="s">
        <v>449</v>
      </c>
      <c r="D17" s="89" t="s">
        <v>450</v>
      </c>
      <c r="E17" s="90">
        <f t="shared" si="0"/>
        <v>25</v>
      </c>
      <c r="F17" s="91">
        <f t="shared" si="2"/>
        <v>196</v>
      </c>
      <c r="G17" s="92">
        <v>4</v>
      </c>
      <c r="H17" s="92">
        <v>1</v>
      </c>
      <c r="I17" s="92">
        <v>0</v>
      </c>
      <c r="J17" s="92">
        <v>0</v>
      </c>
      <c r="K17" s="80">
        <f t="shared" si="1"/>
        <v>15</v>
      </c>
      <c r="L17" s="92">
        <v>0</v>
      </c>
      <c r="M17" s="93" t="s">
        <v>218</v>
      </c>
      <c r="N17" s="94">
        <v>0</v>
      </c>
      <c r="O17" s="95"/>
      <c r="P17" s="96"/>
      <c r="Q17" s="97"/>
      <c r="R17" s="98" t="s">
        <v>218</v>
      </c>
      <c r="S17" s="98" t="s">
        <v>218</v>
      </c>
      <c r="T17" s="98" t="s">
        <v>218</v>
      </c>
      <c r="U17" s="99" t="s">
        <v>218</v>
      </c>
      <c r="V17" s="87"/>
      <c r="W17" s="87"/>
      <c r="X17" s="100"/>
      <c r="Y17" s="87"/>
      <c r="Z17" s="87"/>
      <c r="AA17" s="87"/>
    </row>
    <row r="18" s="20" customFormat="1" ht="26" customHeight="1" outlineLevel="1" spans="1:27">
      <c r="A18" s="78"/>
      <c r="B18" s="78"/>
      <c r="C18" s="78" t="s">
        <v>451</v>
      </c>
      <c r="D18" s="79" t="s">
        <v>452</v>
      </c>
      <c r="E18" s="80">
        <f t="shared" ref="E18:E47" si="10">IF(INT((F18+G18-1)/8)+1=INT(F18/8)+1,INT(F18/8)+1,INT(F18/8)+1&amp;"-"&amp;INT((F18+G18-1)/8)+1)</f>
        <v>26</v>
      </c>
      <c r="F18" s="81">
        <f t="shared" si="2"/>
        <v>200</v>
      </c>
      <c r="G18" s="82">
        <v>8</v>
      </c>
      <c r="H18" s="82">
        <v>1</v>
      </c>
      <c r="I18" s="82">
        <v>0</v>
      </c>
      <c r="J18" s="82">
        <v>0</v>
      </c>
      <c r="K18" s="82">
        <f t="shared" ref="K18:K40" si="11">(POWER(2,G18)-1)*H18+I18</f>
        <v>255</v>
      </c>
      <c r="L18" s="82">
        <v>0</v>
      </c>
      <c r="M18" s="83" t="s">
        <v>218</v>
      </c>
      <c r="N18" s="84">
        <v>0</v>
      </c>
      <c r="P18" s="83"/>
      <c r="Q18" s="78"/>
      <c r="R18" s="79" t="s">
        <v>218</v>
      </c>
      <c r="S18" s="85" t="s">
        <v>218</v>
      </c>
      <c r="T18" s="85" t="s">
        <v>218</v>
      </c>
      <c r="U18" s="85" t="s">
        <v>218</v>
      </c>
      <c r="V18" s="86"/>
      <c r="W18" s="86"/>
      <c r="X18" s="86"/>
      <c r="Y18" s="86"/>
      <c r="Z18" s="86"/>
      <c r="AA18" s="86"/>
    </row>
    <row r="19" ht="25.5" outlineLevel="1" spans="1:27">
      <c r="A19" s="49"/>
      <c r="B19" s="49"/>
      <c r="C19" s="74" t="s">
        <v>453</v>
      </c>
      <c r="D19" s="70" t="s">
        <v>454</v>
      </c>
      <c r="E19" s="63" t="str">
        <f t="shared" si="10"/>
        <v>27-30</v>
      </c>
      <c r="F19" s="64">
        <f t="shared" si="2"/>
        <v>208</v>
      </c>
      <c r="G19" s="65">
        <v>32</v>
      </c>
      <c r="H19" s="65">
        <v>1</v>
      </c>
      <c r="I19" s="65">
        <v>0</v>
      </c>
      <c r="J19" s="65">
        <v>0</v>
      </c>
      <c r="K19" s="65">
        <f t="shared" si="11"/>
        <v>4294967295</v>
      </c>
      <c r="L19" s="65">
        <v>0</v>
      </c>
      <c r="M19" s="66" t="s">
        <v>455</v>
      </c>
      <c r="N19" s="55">
        <f t="shared" si="3"/>
        <v>10</v>
      </c>
      <c r="O19" s="76"/>
      <c r="P19" s="66" t="s">
        <v>456</v>
      </c>
      <c r="Q19" s="49"/>
      <c r="R19" s="73" t="s">
        <v>457</v>
      </c>
      <c r="S19" s="59" t="s">
        <v>218</v>
      </c>
      <c r="T19" s="60" t="s">
        <v>458</v>
      </c>
      <c r="U19" s="60" t="s">
        <v>218</v>
      </c>
      <c r="V19" s="61"/>
      <c r="W19" s="61"/>
      <c r="X19" s="61"/>
      <c r="Y19" s="61"/>
      <c r="Z19" s="61"/>
      <c r="AA19" s="61"/>
    </row>
    <row r="20" ht="25.5" outlineLevel="1" spans="1:27">
      <c r="A20" s="49"/>
      <c r="B20" s="49"/>
      <c r="C20" s="74" t="s">
        <v>459</v>
      </c>
      <c r="D20" s="70" t="s">
        <v>460</v>
      </c>
      <c r="E20" s="63" t="str">
        <f t="shared" si="10"/>
        <v>31-34</v>
      </c>
      <c r="F20" s="64">
        <f t="shared" si="2"/>
        <v>240</v>
      </c>
      <c r="G20" s="65">
        <v>32</v>
      </c>
      <c r="H20" s="65">
        <v>1</v>
      </c>
      <c r="I20" s="65">
        <v>0</v>
      </c>
      <c r="J20" s="65">
        <v>0</v>
      </c>
      <c r="K20" s="65">
        <f t="shared" si="11"/>
        <v>4294967295</v>
      </c>
      <c r="L20" s="65">
        <v>0</v>
      </c>
      <c r="M20" s="66" t="s">
        <v>455</v>
      </c>
      <c r="N20" s="55">
        <f t="shared" si="3"/>
        <v>10</v>
      </c>
      <c r="O20" s="76"/>
      <c r="P20" s="66" t="s">
        <v>461</v>
      </c>
      <c r="Q20" s="49"/>
      <c r="R20" s="73" t="s">
        <v>462</v>
      </c>
      <c r="S20" s="59" t="s">
        <v>218</v>
      </c>
      <c r="T20" s="60" t="s">
        <v>463</v>
      </c>
      <c r="U20" s="60" t="s">
        <v>218</v>
      </c>
      <c r="V20" s="61"/>
      <c r="W20" s="61"/>
      <c r="X20" s="61"/>
      <c r="Y20" s="61"/>
      <c r="Z20" s="61"/>
      <c r="AA20" s="61"/>
    </row>
    <row r="21" ht="25.5" outlineLevel="1" spans="1:27">
      <c r="A21" s="61"/>
      <c r="B21" s="61"/>
      <c r="C21" s="101" t="s">
        <v>464</v>
      </c>
      <c r="D21" s="102" t="s">
        <v>465</v>
      </c>
      <c r="E21" s="63" t="str">
        <f t="shared" si="10"/>
        <v>35-38</v>
      </c>
      <c r="F21" s="64">
        <f t="shared" si="2"/>
        <v>272</v>
      </c>
      <c r="G21" s="103">
        <v>32</v>
      </c>
      <c r="H21" s="103">
        <v>1</v>
      </c>
      <c r="I21" s="103">
        <v>0</v>
      </c>
      <c r="J21" s="103">
        <v>0</v>
      </c>
      <c r="K21" s="104">
        <f t="shared" si="11"/>
        <v>4294967295</v>
      </c>
      <c r="L21" s="103">
        <v>0</v>
      </c>
      <c r="M21" s="66" t="s">
        <v>455</v>
      </c>
      <c r="N21" s="55">
        <f t="shared" si="3"/>
        <v>10</v>
      </c>
      <c r="O21" s="101"/>
      <c r="P21" s="103"/>
      <c r="Q21" s="105"/>
      <c r="R21" s="73" t="s">
        <v>466</v>
      </c>
      <c r="S21" s="59" t="s">
        <v>218</v>
      </c>
      <c r="T21" s="60"/>
      <c r="U21" s="60" t="s">
        <v>218</v>
      </c>
      <c r="V21" s="61"/>
      <c r="W21" s="61"/>
      <c r="X21" s="106"/>
      <c r="Y21" s="61"/>
      <c r="Z21" s="61"/>
      <c r="AA21" s="61"/>
    </row>
    <row r="22" ht="76.5" outlineLevel="1" spans="1:27">
      <c r="A22" s="49"/>
      <c r="B22" s="49"/>
      <c r="C22" s="70" t="s">
        <v>467</v>
      </c>
      <c r="D22" s="70" t="s">
        <v>468</v>
      </c>
      <c r="E22" s="63">
        <f t="shared" si="10"/>
        <v>39</v>
      </c>
      <c r="F22" s="64">
        <f t="shared" si="2"/>
        <v>304</v>
      </c>
      <c r="G22" s="65">
        <v>8</v>
      </c>
      <c r="H22" s="65">
        <v>1</v>
      </c>
      <c r="I22" s="65">
        <v>0</v>
      </c>
      <c r="J22" s="65">
        <v>0</v>
      </c>
      <c r="K22" s="65">
        <f t="shared" si="11"/>
        <v>255</v>
      </c>
      <c r="L22" s="65">
        <v>0</v>
      </c>
      <c r="M22" s="66" t="s">
        <v>218</v>
      </c>
      <c r="N22" s="55">
        <f t="shared" si="3"/>
        <v>3</v>
      </c>
      <c r="O22" s="107" t="s">
        <v>469</v>
      </c>
      <c r="P22" s="66" t="s">
        <v>470</v>
      </c>
      <c r="Q22" s="49"/>
      <c r="R22" s="73" t="s">
        <v>471</v>
      </c>
      <c r="S22" s="59" t="s">
        <v>218</v>
      </c>
      <c r="T22" s="60"/>
      <c r="U22" s="60" t="s">
        <v>218</v>
      </c>
      <c r="V22" s="61"/>
      <c r="W22" s="61"/>
      <c r="X22" s="61"/>
      <c r="Y22" s="61"/>
      <c r="Z22" s="61"/>
      <c r="AA22" s="61"/>
    </row>
    <row r="23" ht="38.25" outlineLevel="1" spans="1:27">
      <c r="A23" s="49"/>
      <c r="B23" s="49"/>
      <c r="C23" s="74" t="s">
        <v>472</v>
      </c>
      <c r="D23" s="74" t="s">
        <v>473</v>
      </c>
      <c r="E23" s="63" t="str">
        <f t="shared" si="10"/>
        <v>40-41</v>
      </c>
      <c r="F23" s="64">
        <f t="shared" si="2"/>
        <v>312</v>
      </c>
      <c r="G23" s="65">
        <v>16</v>
      </c>
      <c r="H23" s="65">
        <v>1</v>
      </c>
      <c r="I23" s="65">
        <v>0</v>
      </c>
      <c r="J23" s="65">
        <v>0</v>
      </c>
      <c r="K23" s="65">
        <f t="shared" si="11"/>
        <v>65535</v>
      </c>
      <c r="L23" s="65">
        <v>0</v>
      </c>
      <c r="M23" s="66" t="s">
        <v>421</v>
      </c>
      <c r="N23" s="55">
        <f t="shared" si="3"/>
        <v>5</v>
      </c>
      <c r="O23" s="107"/>
      <c r="P23" s="65"/>
      <c r="Q23" s="49"/>
      <c r="R23" s="49" t="s">
        <v>474</v>
      </c>
      <c r="S23" s="59" t="s">
        <v>218</v>
      </c>
      <c r="T23" s="60" t="s">
        <v>475</v>
      </c>
      <c r="U23" s="60" t="s">
        <v>218</v>
      </c>
      <c r="V23" s="61"/>
      <c r="W23" s="61"/>
      <c r="X23" s="61"/>
      <c r="Y23" s="61"/>
      <c r="Z23" s="61"/>
      <c r="AA23" s="61"/>
    </row>
    <row r="24" ht="38.25" outlineLevel="1" spans="1:27">
      <c r="A24" s="49"/>
      <c r="B24" s="49"/>
      <c r="C24" s="74" t="s">
        <v>476</v>
      </c>
      <c r="D24" s="74" t="s">
        <v>477</v>
      </c>
      <c r="E24" s="63" t="str">
        <f t="shared" si="10"/>
        <v>42-43</v>
      </c>
      <c r="F24" s="64">
        <f t="shared" si="2"/>
        <v>328</v>
      </c>
      <c r="G24" s="65">
        <v>16</v>
      </c>
      <c r="H24" s="65">
        <v>1</v>
      </c>
      <c r="I24" s="65">
        <v>0</v>
      </c>
      <c r="J24" s="65">
        <v>0</v>
      </c>
      <c r="K24" s="65">
        <f t="shared" si="11"/>
        <v>65535</v>
      </c>
      <c r="L24" s="65">
        <v>0</v>
      </c>
      <c r="M24" s="66" t="s">
        <v>421</v>
      </c>
      <c r="N24" s="55">
        <f t="shared" si="3"/>
        <v>5</v>
      </c>
      <c r="O24" s="107"/>
      <c r="P24" s="65"/>
      <c r="Q24" s="49"/>
      <c r="R24" s="49" t="s">
        <v>478</v>
      </c>
      <c r="S24" s="59" t="s">
        <v>218</v>
      </c>
      <c r="T24" s="60" t="s">
        <v>479</v>
      </c>
      <c r="U24" s="60" t="s">
        <v>218</v>
      </c>
      <c r="V24" s="61"/>
      <c r="W24" s="61"/>
      <c r="X24" s="61"/>
      <c r="Y24" s="61"/>
      <c r="Z24" s="61"/>
      <c r="AA24" s="61"/>
    </row>
    <row r="25" ht="38.25" outlineLevel="1" spans="1:27">
      <c r="A25" s="49"/>
      <c r="B25" s="49"/>
      <c r="C25" s="74" t="s">
        <v>480</v>
      </c>
      <c r="D25" s="70" t="s">
        <v>481</v>
      </c>
      <c r="E25" s="63">
        <f t="shared" si="10"/>
        <v>44</v>
      </c>
      <c r="F25" s="64">
        <f t="shared" si="2"/>
        <v>344</v>
      </c>
      <c r="G25" s="65">
        <v>8</v>
      </c>
      <c r="H25" s="65">
        <v>1</v>
      </c>
      <c r="I25" s="65">
        <v>0</v>
      </c>
      <c r="J25" s="65">
        <v>0</v>
      </c>
      <c r="K25" s="82">
        <v>1</v>
      </c>
      <c r="L25" s="65">
        <v>0</v>
      </c>
      <c r="M25" s="66" t="s">
        <v>482</v>
      </c>
      <c r="N25" s="55">
        <f t="shared" si="3"/>
        <v>1</v>
      </c>
      <c r="O25" s="107" t="s">
        <v>483</v>
      </c>
      <c r="P25" s="65"/>
      <c r="Q25" s="49"/>
      <c r="R25" s="73" t="s">
        <v>484</v>
      </c>
      <c r="S25" s="59" t="s">
        <v>218</v>
      </c>
      <c r="T25" s="60" t="s">
        <v>485</v>
      </c>
      <c r="U25" s="60" t="s">
        <v>218</v>
      </c>
      <c r="V25" s="61"/>
      <c r="W25" s="61"/>
      <c r="X25" s="61"/>
      <c r="Y25" s="61"/>
      <c r="Z25" s="61"/>
      <c r="AA25" s="61"/>
    </row>
    <row r="26" ht="153" outlineLevel="1" spans="1:27">
      <c r="A26" s="49"/>
      <c r="B26" s="49"/>
      <c r="C26" s="74" t="s">
        <v>486</v>
      </c>
      <c r="D26" s="70" t="s">
        <v>487</v>
      </c>
      <c r="E26" s="63">
        <f t="shared" si="10"/>
        <v>45</v>
      </c>
      <c r="F26" s="64">
        <f t="shared" si="2"/>
        <v>352</v>
      </c>
      <c r="G26" s="65">
        <v>8</v>
      </c>
      <c r="H26" s="65">
        <v>1</v>
      </c>
      <c r="I26" s="65">
        <v>0</v>
      </c>
      <c r="J26" s="65">
        <v>0</v>
      </c>
      <c r="K26" s="65">
        <f t="shared" si="11"/>
        <v>255</v>
      </c>
      <c r="L26" s="65">
        <v>0</v>
      </c>
      <c r="M26" s="66" t="s">
        <v>218</v>
      </c>
      <c r="N26" s="55">
        <f t="shared" si="3"/>
        <v>3</v>
      </c>
      <c r="O26" s="107" t="s">
        <v>488</v>
      </c>
      <c r="P26" s="65"/>
      <c r="Q26" s="49" t="s">
        <v>489</v>
      </c>
      <c r="R26" s="73" t="s">
        <v>490</v>
      </c>
      <c r="S26" s="59" t="s">
        <v>218</v>
      </c>
      <c r="T26" s="60" t="s">
        <v>491</v>
      </c>
      <c r="U26" s="60" t="s">
        <v>218</v>
      </c>
      <c r="V26" s="61"/>
      <c r="W26" s="61"/>
      <c r="X26" s="61"/>
      <c r="Y26" s="61"/>
      <c r="Z26" s="61"/>
      <c r="AA26" s="61"/>
    </row>
    <row r="27" ht="76.5" outlineLevel="1" spans="1:27">
      <c r="A27" s="49"/>
      <c r="B27" s="49"/>
      <c r="C27" s="74" t="s">
        <v>492</v>
      </c>
      <c r="D27" s="70" t="s">
        <v>493</v>
      </c>
      <c r="E27" s="63">
        <f t="shared" si="10"/>
        <v>46</v>
      </c>
      <c r="F27" s="64">
        <f t="shared" si="2"/>
        <v>360</v>
      </c>
      <c r="G27" s="65">
        <v>8</v>
      </c>
      <c r="H27" s="65">
        <v>1</v>
      </c>
      <c r="I27" s="65">
        <v>0</v>
      </c>
      <c r="J27" s="65">
        <v>0</v>
      </c>
      <c r="K27" s="65">
        <f t="shared" si="11"/>
        <v>255</v>
      </c>
      <c r="L27" s="65">
        <v>0</v>
      </c>
      <c r="M27" s="66" t="s">
        <v>218</v>
      </c>
      <c r="N27" s="55">
        <f t="shared" si="3"/>
        <v>3</v>
      </c>
      <c r="O27" s="107" t="s">
        <v>494</v>
      </c>
      <c r="P27" s="66" t="s">
        <v>495</v>
      </c>
      <c r="Q27" s="49"/>
      <c r="R27" s="73" t="s">
        <v>496</v>
      </c>
      <c r="S27" s="59" t="s">
        <v>218</v>
      </c>
      <c r="T27" s="60" t="s">
        <v>497</v>
      </c>
      <c r="U27" s="60" t="s">
        <v>218</v>
      </c>
      <c r="V27" s="61"/>
      <c r="W27" s="61"/>
      <c r="X27" s="61"/>
      <c r="Y27" s="61"/>
      <c r="Z27" s="61"/>
      <c r="AA27" s="61"/>
    </row>
    <row r="28" ht="25.5" outlineLevel="1" spans="1:27">
      <c r="A28" s="49"/>
      <c r="B28" s="49"/>
      <c r="C28" s="74" t="s">
        <v>498</v>
      </c>
      <c r="D28" s="70" t="s">
        <v>499</v>
      </c>
      <c r="E28" s="108" t="s">
        <v>500</v>
      </c>
      <c r="F28" s="64">
        <f t="shared" si="2"/>
        <v>368</v>
      </c>
      <c r="G28" s="65">
        <v>8</v>
      </c>
      <c r="H28" s="65">
        <v>1</v>
      </c>
      <c r="I28" s="65">
        <v>0</v>
      </c>
      <c r="J28" s="65">
        <v>0</v>
      </c>
      <c r="K28" s="65">
        <f t="shared" si="11"/>
        <v>255</v>
      </c>
      <c r="L28" s="65">
        <v>0</v>
      </c>
      <c r="M28" s="66" t="s">
        <v>218</v>
      </c>
      <c r="N28" s="94">
        <f>1*9+2*(64-9)</f>
        <v>119</v>
      </c>
      <c r="O28" s="19"/>
      <c r="P28" s="66" t="s">
        <v>501</v>
      </c>
      <c r="Q28" s="74" t="s">
        <v>502</v>
      </c>
      <c r="R28" s="70" t="s">
        <v>503</v>
      </c>
      <c r="S28" s="59" t="s">
        <v>218</v>
      </c>
      <c r="T28" s="59" t="s">
        <v>218</v>
      </c>
      <c r="U28" s="60" t="s">
        <v>218</v>
      </c>
      <c r="V28" s="61"/>
      <c r="W28" s="61"/>
      <c r="X28" s="61"/>
      <c r="Y28" s="61"/>
      <c r="Z28" s="61"/>
      <c r="AA28" s="61"/>
    </row>
    <row r="29" ht="25.5" outlineLevel="1" spans="1:27">
      <c r="A29" s="49"/>
      <c r="B29" s="49"/>
      <c r="C29" s="74" t="s">
        <v>504</v>
      </c>
      <c r="D29" s="74" t="s">
        <v>505</v>
      </c>
      <c r="E29" s="63">
        <f t="shared" si="10"/>
        <v>111</v>
      </c>
      <c r="F29" s="109">
        <v>880</v>
      </c>
      <c r="G29" s="65">
        <v>8</v>
      </c>
      <c r="H29" s="65">
        <v>0.5</v>
      </c>
      <c r="I29" s="65">
        <v>0</v>
      </c>
      <c r="J29" s="66">
        <v>0</v>
      </c>
      <c r="K29" s="66">
        <f t="shared" si="11"/>
        <v>127.5</v>
      </c>
      <c r="L29" s="65">
        <v>0</v>
      </c>
      <c r="M29" s="66" t="s">
        <v>506</v>
      </c>
      <c r="N29" s="55">
        <f t="shared" si="3"/>
        <v>5</v>
      </c>
      <c r="O29" s="76"/>
      <c r="P29" s="66" t="s">
        <v>507</v>
      </c>
      <c r="Q29" s="74" t="s">
        <v>508</v>
      </c>
      <c r="R29" s="74" t="s">
        <v>509</v>
      </c>
      <c r="S29" s="59" t="s">
        <v>218</v>
      </c>
      <c r="T29" s="59" t="s">
        <v>510</v>
      </c>
      <c r="U29" s="60" t="s">
        <v>218</v>
      </c>
      <c r="V29" s="61"/>
      <c r="W29" s="61"/>
      <c r="X29" s="61"/>
      <c r="Y29" s="61"/>
      <c r="Z29" s="61"/>
      <c r="AA29" s="61"/>
    </row>
    <row r="30" ht="25.5" outlineLevel="1" spans="1:27">
      <c r="A30" s="49"/>
      <c r="B30" s="49"/>
      <c r="C30" s="74" t="s">
        <v>511</v>
      </c>
      <c r="D30" s="74" t="s">
        <v>512</v>
      </c>
      <c r="E30" s="63">
        <f t="shared" si="10"/>
        <v>112</v>
      </c>
      <c r="F30" s="64">
        <f t="shared" si="2"/>
        <v>888</v>
      </c>
      <c r="G30" s="65">
        <v>8</v>
      </c>
      <c r="H30" s="65">
        <v>1</v>
      </c>
      <c r="I30" s="65">
        <v>0</v>
      </c>
      <c r="J30" s="66">
        <v>0</v>
      </c>
      <c r="K30" s="66">
        <f t="shared" si="11"/>
        <v>255</v>
      </c>
      <c r="L30" s="65">
        <v>100</v>
      </c>
      <c r="M30" s="66" t="s">
        <v>506</v>
      </c>
      <c r="N30" s="55">
        <f t="shared" si="3"/>
        <v>3</v>
      </c>
      <c r="O30" s="76"/>
      <c r="P30" s="66" t="s">
        <v>513</v>
      </c>
      <c r="Q30" s="49" t="s">
        <v>514</v>
      </c>
      <c r="R30" s="49" t="s">
        <v>515</v>
      </c>
      <c r="S30" s="59" t="s">
        <v>218</v>
      </c>
      <c r="T30" s="60" t="s">
        <v>516</v>
      </c>
      <c r="U30" s="60" t="s">
        <v>218</v>
      </c>
      <c r="V30" s="61"/>
      <c r="W30" s="61"/>
      <c r="X30" s="61"/>
      <c r="Y30" s="61"/>
      <c r="Z30" s="61"/>
      <c r="AA30" s="61"/>
    </row>
    <row r="31" ht="25.5" outlineLevel="1" spans="1:27">
      <c r="A31" s="49"/>
      <c r="B31" s="49"/>
      <c r="C31" s="74" t="s">
        <v>517</v>
      </c>
      <c r="D31" s="74" t="s">
        <v>518</v>
      </c>
      <c r="E31" s="63" t="str">
        <f t="shared" si="10"/>
        <v>113-114</v>
      </c>
      <c r="F31" s="64">
        <f t="shared" si="2"/>
        <v>896</v>
      </c>
      <c r="G31" s="65">
        <v>16</v>
      </c>
      <c r="H31" s="65">
        <v>0.125</v>
      </c>
      <c r="I31" s="65">
        <v>0</v>
      </c>
      <c r="J31" s="66">
        <v>0</v>
      </c>
      <c r="K31" s="66">
        <f t="shared" si="11"/>
        <v>8191.875</v>
      </c>
      <c r="L31" s="65">
        <v>0</v>
      </c>
      <c r="M31" s="66" t="s">
        <v>519</v>
      </c>
      <c r="N31" s="55">
        <f t="shared" si="3"/>
        <v>8</v>
      </c>
      <c r="O31" s="76"/>
      <c r="P31" s="66" t="s">
        <v>520</v>
      </c>
      <c r="Q31" s="49"/>
      <c r="R31" s="49" t="s">
        <v>521</v>
      </c>
      <c r="S31" s="59" t="s">
        <v>218</v>
      </c>
      <c r="T31" s="60" t="s">
        <v>522</v>
      </c>
      <c r="U31" s="60" t="s">
        <v>218</v>
      </c>
      <c r="V31" s="61"/>
      <c r="W31" s="61"/>
      <c r="X31" s="61"/>
      <c r="Y31" s="61"/>
      <c r="Z31" s="61"/>
      <c r="AA31" s="61"/>
    </row>
    <row r="32" ht="25.5" outlineLevel="1" spans="1:27">
      <c r="A32" s="49"/>
      <c r="B32" s="49"/>
      <c r="C32" s="74" t="s">
        <v>523</v>
      </c>
      <c r="D32" s="74" t="s">
        <v>524</v>
      </c>
      <c r="E32" s="63" t="str">
        <f t="shared" si="10"/>
        <v>115-116</v>
      </c>
      <c r="F32" s="64">
        <f t="shared" si="2"/>
        <v>912</v>
      </c>
      <c r="G32" s="65">
        <v>16</v>
      </c>
      <c r="H32" s="65">
        <v>0.125</v>
      </c>
      <c r="I32" s="65">
        <v>0</v>
      </c>
      <c r="J32" s="66">
        <v>0</v>
      </c>
      <c r="K32" s="66">
        <f t="shared" si="11"/>
        <v>8191.875</v>
      </c>
      <c r="L32" s="65">
        <v>0</v>
      </c>
      <c r="M32" s="66" t="s">
        <v>519</v>
      </c>
      <c r="N32" s="55">
        <f t="shared" si="3"/>
        <v>8</v>
      </c>
      <c r="O32" s="76"/>
      <c r="P32" s="66" t="s">
        <v>525</v>
      </c>
      <c r="Q32" s="49"/>
      <c r="R32" s="49" t="s">
        <v>526</v>
      </c>
      <c r="S32" s="59" t="s">
        <v>218</v>
      </c>
      <c r="T32" s="60" t="s">
        <v>527</v>
      </c>
      <c r="U32" s="60" t="s">
        <v>218</v>
      </c>
      <c r="V32" s="61"/>
      <c r="W32" s="61"/>
      <c r="X32" s="61"/>
      <c r="Y32" s="61"/>
      <c r="Z32" s="61"/>
      <c r="AA32" s="61"/>
    </row>
    <row r="33" ht="25.5" outlineLevel="1" spans="1:27">
      <c r="A33" s="49"/>
      <c r="B33" s="49"/>
      <c r="C33" s="74" t="s">
        <v>528</v>
      </c>
      <c r="D33" s="74" t="s">
        <v>529</v>
      </c>
      <c r="E33" s="63" t="str">
        <f t="shared" si="10"/>
        <v>117-118</v>
      </c>
      <c r="F33" s="64">
        <f t="shared" si="2"/>
        <v>928</v>
      </c>
      <c r="G33" s="65">
        <v>16</v>
      </c>
      <c r="H33" s="65">
        <v>0.125</v>
      </c>
      <c r="I33" s="65">
        <v>0</v>
      </c>
      <c r="J33" s="66">
        <v>0</v>
      </c>
      <c r="K33" s="66">
        <f t="shared" si="11"/>
        <v>8191.875</v>
      </c>
      <c r="L33" s="65">
        <v>0</v>
      </c>
      <c r="M33" s="66" t="s">
        <v>416</v>
      </c>
      <c r="N33" s="55">
        <f t="shared" si="3"/>
        <v>8</v>
      </c>
      <c r="O33" s="76"/>
      <c r="P33" s="66"/>
      <c r="Q33" s="49"/>
      <c r="R33" s="49" t="s">
        <v>530</v>
      </c>
      <c r="S33" s="59" t="s">
        <v>218</v>
      </c>
      <c r="T33" s="60" t="s">
        <v>531</v>
      </c>
      <c r="U33" s="60" t="s">
        <v>218</v>
      </c>
      <c r="V33" s="61"/>
      <c r="W33" s="61"/>
      <c r="X33" s="61"/>
      <c r="Y33" s="61"/>
      <c r="Z33" s="61"/>
      <c r="AA33" s="61"/>
    </row>
    <row r="34" ht="25.5" outlineLevel="1" spans="1:27">
      <c r="A34" s="49"/>
      <c r="B34" s="49"/>
      <c r="C34" s="74" t="s">
        <v>532</v>
      </c>
      <c r="D34" s="74" t="s">
        <v>533</v>
      </c>
      <c r="E34" s="63" t="str">
        <f t="shared" si="10"/>
        <v>119-120</v>
      </c>
      <c r="F34" s="64">
        <f t="shared" si="2"/>
        <v>944</v>
      </c>
      <c r="G34" s="65">
        <v>16</v>
      </c>
      <c r="H34" s="65">
        <v>0.125</v>
      </c>
      <c r="I34" s="65">
        <v>0</v>
      </c>
      <c r="J34" s="66">
        <v>0</v>
      </c>
      <c r="K34" s="66">
        <f t="shared" si="11"/>
        <v>8191.875</v>
      </c>
      <c r="L34" s="65">
        <v>0</v>
      </c>
      <c r="M34" s="66" t="s">
        <v>416</v>
      </c>
      <c r="N34" s="55">
        <f t="shared" si="3"/>
        <v>8</v>
      </c>
      <c r="O34" s="76"/>
      <c r="P34" s="66"/>
      <c r="Q34" s="49"/>
      <c r="R34" s="49" t="s">
        <v>534</v>
      </c>
      <c r="S34" s="59" t="s">
        <v>218</v>
      </c>
      <c r="T34" s="60" t="s">
        <v>535</v>
      </c>
      <c r="U34" s="60" t="s">
        <v>218</v>
      </c>
      <c r="V34" s="61"/>
      <c r="W34" s="61"/>
      <c r="X34" s="61"/>
      <c r="Y34" s="61"/>
      <c r="Z34" s="61"/>
      <c r="AA34" s="61"/>
    </row>
    <row r="35" ht="25.5" outlineLevel="1" spans="1:27">
      <c r="A35" s="49"/>
      <c r="B35" s="49"/>
      <c r="C35" s="74" t="s">
        <v>536</v>
      </c>
      <c r="D35" s="74" t="s">
        <v>537</v>
      </c>
      <c r="E35" s="63" t="str">
        <f t="shared" si="10"/>
        <v>121-122</v>
      </c>
      <c r="F35" s="64">
        <f t="shared" si="2"/>
        <v>960</v>
      </c>
      <c r="G35" s="65">
        <v>16</v>
      </c>
      <c r="H35" s="65">
        <v>0.125</v>
      </c>
      <c r="I35" s="65">
        <v>0</v>
      </c>
      <c r="J35" s="66">
        <v>0</v>
      </c>
      <c r="K35" s="66">
        <f t="shared" si="11"/>
        <v>8191.875</v>
      </c>
      <c r="L35" s="65">
        <v>0</v>
      </c>
      <c r="M35" s="66" t="s">
        <v>538</v>
      </c>
      <c r="N35" s="55">
        <f t="shared" si="3"/>
        <v>8</v>
      </c>
      <c r="O35" s="76"/>
      <c r="P35" s="66"/>
      <c r="Q35" s="49"/>
      <c r="R35" s="49" t="s">
        <v>539</v>
      </c>
      <c r="S35" s="59" t="s">
        <v>218</v>
      </c>
      <c r="T35" s="60" t="s">
        <v>540</v>
      </c>
      <c r="U35" s="60" t="s">
        <v>218</v>
      </c>
      <c r="V35" s="61"/>
      <c r="W35" s="61"/>
      <c r="X35" s="61"/>
      <c r="Y35" s="61"/>
      <c r="Z35" s="61"/>
      <c r="AA35" s="61"/>
    </row>
    <row r="36" ht="25.5" outlineLevel="1" spans="1:27">
      <c r="A36" s="49"/>
      <c r="B36" s="49"/>
      <c r="C36" s="74" t="s">
        <v>541</v>
      </c>
      <c r="D36" s="74" t="s">
        <v>542</v>
      </c>
      <c r="E36" s="63" t="str">
        <f t="shared" si="10"/>
        <v>123-124</v>
      </c>
      <c r="F36" s="64">
        <f t="shared" si="2"/>
        <v>976</v>
      </c>
      <c r="G36" s="65">
        <v>16</v>
      </c>
      <c r="H36" s="65">
        <v>0.125</v>
      </c>
      <c r="I36" s="65">
        <v>0</v>
      </c>
      <c r="J36" s="66">
        <v>0</v>
      </c>
      <c r="K36" s="66">
        <f t="shared" si="11"/>
        <v>8191.875</v>
      </c>
      <c r="L36" s="65">
        <v>0</v>
      </c>
      <c r="M36" s="66" t="s">
        <v>538</v>
      </c>
      <c r="N36" s="55">
        <f t="shared" si="3"/>
        <v>8</v>
      </c>
      <c r="O36" s="76"/>
      <c r="P36" s="66"/>
      <c r="Q36" s="49"/>
      <c r="R36" s="49" t="s">
        <v>543</v>
      </c>
      <c r="S36" s="59" t="s">
        <v>218</v>
      </c>
      <c r="T36" s="60" t="s">
        <v>544</v>
      </c>
      <c r="U36" s="60" t="s">
        <v>218</v>
      </c>
      <c r="V36" s="61"/>
      <c r="W36" s="61"/>
      <c r="X36" s="61"/>
      <c r="Y36" s="61"/>
      <c r="Z36" s="61"/>
      <c r="AA36" s="61"/>
    </row>
    <row r="37" ht="25.5" outlineLevel="1" spans="1:27">
      <c r="A37" s="49"/>
      <c r="B37" s="49"/>
      <c r="C37" s="74" t="s">
        <v>545</v>
      </c>
      <c r="D37" s="74" t="s">
        <v>546</v>
      </c>
      <c r="E37" s="63" t="str">
        <f t="shared" si="10"/>
        <v>125-126</v>
      </c>
      <c r="F37" s="64">
        <f t="shared" si="2"/>
        <v>992</v>
      </c>
      <c r="G37" s="65">
        <v>16</v>
      </c>
      <c r="H37" s="65">
        <v>0.125</v>
      </c>
      <c r="I37" s="65">
        <v>0</v>
      </c>
      <c r="J37" s="66">
        <v>0</v>
      </c>
      <c r="K37" s="66">
        <f t="shared" si="11"/>
        <v>8191.875</v>
      </c>
      <c r="L37" s="65">
        <v>0</v>
      </c>
      <c r="M37" s="66" t="s">
        <v>416</v>
      </c>
      <c r="N37" s="55">
        <f t="shared" si="3"/>
        <v>8</v>
      </c>
      <c r="O37" s="76"/>
      <c r="P37" s="66" t="s">
        <v>547</v>
      </c>
      <c r="Q37" s="49"/>
      <c r="R37" s="49" t="s">
        <v>548</v>
      </c>
      <c r="S37" s="59" t="s">
        <v>218</v>
      </c>
      <c r="T37" s="60" t="s">
        <v>549</v>
      </c>
      <c r="U37" s="60" t="s">
        <v>218</v>
      </c>
      <c r="V37" s="61"/>
      <c r="W37" s="61"/>
      <c r="X37" s="61"/>
      <c r="Y37" s="61"/>
      <c r="Z37" s="61"/>
      <c r="AA37" s="61"/>
    </row>
    <row r="38" ht="25.5" outlineLevel="1" spans="1:27">
      <c r="A38" s="49"/>
      <c r="B38" s="49"/>
      <c r="C38" s="74" t="s">
        <v>550</v>
      </c>
      <c r="D38" s="74" t="s">
        <v>551</v>
      </c>
      <c r="E38" s="63" t="str">
        <f t="shared" si="10"/>
        <v>127-128</v>
      </c>
      <c r="F38" s="64">
        <f t="shared" si="2"/>
        <v>1008</v>
      </c>
      <c r="G38" s="65">
        <v>16</v>
      </c>
      <c r="H38" s="65">
        <v>0.125</v>
      </c>
      <c r="I38" s="65">
        <v>0</v>
      </c>
      <c r="J38" s="66">
        <v>0</v>
      </c>
      <c r="K38" s="66">
        <f t="shared" si="11"/>
        <v>8191.875</v>
      </c>
      <c r="L38" s="65">
        <v>0</v>
      </c>
      <c r="M38" s="66" t="s">
        <v>416</v>
      </c>
      <c r="N38" s="55">
        <f t="shared" si="3"/>
        <v>8</v>
      </c>
      <c r="O38" s="76"/>
      <c r="P38" s="66" t="s">
        <v>552</v>
      </c>
      <c r="Q38" s="49"/>
      <c r="R38" s="49" t="s">
        <v>553</v>
      </c>
      <c r="S38" s="59" t="s">
        <v>218</v>
      </c>
      <c r="T38" s="60" t="s">
        <v>554</v>
      </c>
      <c r="U38" s="60" t="s">
        <v>218</v>
      </c>
      <c r="V38" s="61"/>
      <c r="W38" s="61"/>
      <c r="X38" s="61"/>
      <c r="Y38" s="61"/>
      <c r="Z38" s="61"/>
      <c r="AA38" s="61"/>
    </row>
    <row r="39" ht="25.5" outlineLevel="1" spans="1:27">
      <c r="A39" s="49"/>
      <c r="B39" s="49"/>
      <c r="C39" s="74" t="s">
        <v>555</v>
      </c>
      <c r="D39" s="74" t="s">
        <v>556</v>
      </c>
      <c r="E39" s="63" t="str">
        <f t="shared" si="10"/>
        <v>129-130</v>
      </c>
      <c r="F39" s="64">
        <f t="shared" si="2"/>
        <v>1024</v>
      </c>
      <c r="G39" s="65">
        <v>16</v>
      </c>
      <c r="H39" s="65">
        <v>0.125</v>
      </c>
      <c r="I39" s="65">
        <v>0</v>
      </c>
      <c r="J39" s="66">
        <v>0</v>
      </c>
      <c r="K39" s="66">
        <f t="shared" si="11"/>
        <v>8191.875</v>
      </c>
      <c r="L39" s="65">
        <v>0</v>
      </c>
      <c r="M39" s="66" t="s">
        <v>538</v>
      </c>
      <c r="N39" s="55">
        <f t="shared" si="3"/>
        <v>8</v>
      </c>
      <c r="O39" s="76"/>
      <c r="P39" s="66"/>
      <c r="Q39" s="49"/>
      <c r="R39" s="49" t="s">
        <v>557</v>
      </c>
      <c r="S39" s="59" t="s">
        <v>218</v>
      </c>
      <c r="T39" s="60" t="s">
        <v>558</v>
      </c>
      <c r="U39" s="60" t="s">
        <v>218</v>
      </c>
      <c r="V39" s="61"/>
      <c r="W39" s="61"/>
      <c r="X39" s="61"/>
      <c r="Y39" s="61"/>
      <c r="Z39" s="61"/>
      <c r="AA39" s="61"/>
    </row>
    <row r="40" ht="25.5" outlineLevel="1" spans="1:27">
      <c r="A40" s="49"/>
      <c r="B40" s="49"/>
      <c r="C40" s="74" t="s">
        <v>559</v>
      </c>
      <c r="D40" s="74" t="s">
        <v>560</v>
      </c>
      <c r="E40" s="63" t="str">
        <f t="shared" si="10"/>
        <v>131-132</v>
      </c>
      <c r="F40" s="64">
        <f t="shared" si="2"/>
        <v>1040</v>
      </c>
      <c r="G40" s="65">
        <v>16</v>
      </c>
      <c r="H40" s="65">
        <v>0.125</v>
      </c>
      <c r="I40" s="65">
        <v>0</v>
      </c>
      <c r="J40" s="66">
        <v>0</v>
      </c>
      <c r="K40" s="75">
        <f t="shared" si="11"/>
        <v>8191.875</v>
      </c>
      <c r="L40" s="65">
        <v>0</v>
      </c>
      <c r="M40" s="66" t="s">
        <v>538</v>
      </c>
      <c r="N40" s="55">
        <f t="shared" si="3"/>
        <v>8</v>
      </c>
      <c r="O40" s="107"/>
      <c r="P40" s="65"/>
      <c r="Q40" s="49"/>
      <c r="R40" s="49" t="s">
        <v>561</v>
      </c>
      <c r="S40" s="59" t="s">
        <v>218</v>
      </c>
      <c r="T40" s="60" t="s">
        <v>562</v>
      </c>
      <c r="U40" s="60" t="s">
        <v>218</v>
      </c>
      <c r="V40" s="61"/>
      <c r="W40" s="61"/>
      <c r="X40" s="61"/>
      <c r="Y40" s="61"/>
      <c r="Z40" s="61"/>
      <c r="AA40" s="61"/>
    </row>
    <row r="41" ht="25.5" outlineLevel="1" spans="1:27">
      <c r="A41" s="49"/>
      <c r="B41" s="49"/>
      <c r="C41" s="74" t="s">
        <v>563</v>
      </c>
      <c r="D41" s="74" t="s">
        <v>564</v>
      </c>
      <c r="E41" s="63" t="str">
        <f t="shared" si="10"/>
        <v>133-134</v>
      </c>
      <c r="F41" s="64">
        <f t="shared" si="2"/>
        <v>1056</v>
      </c>
      <c r="G41" s="65">
        <v>14</v>
      </c>
      <c r="H41" s="65">
        <v>1</v>
      </c>
      <c r="I41" s="65">
        <v>0</v>
      </c>
      <c r="J41" s="66">
        <v>0</v>
      </c>
      <c r="K41" s="84">
        <v>5000</v>
      </c>
      <c r="L41" s="65">
        <v>0</v>
      </c>
      <c r="M41" s="66" t="s">
        <v>440</v>
      </c>
      <c r="N41" s="55">
        <f t="shared" si="3"/>
        <v>4</v>
      </c>
      <c r="O41" s="76"/>
      <c r="P41" s="66" t="s">
        <v>565</v>
      </c>
      <c r="Q41" s="49"/>
      <c r="R41" s="74" t="s">
        <v>566</v>
      </c>
      <c r="S41" s="59" t="s">
        <v>218</v>
      </c>
      <c r="T41" s="60" t="s">
        <v>567</v>
      </c>
      <c r="U41" s="60" t="s">
        <v>218</v>
      </c>
      <c r="V41" s="61"/>
      <c r="W41" s="61"/>
      <c r="X41" s="61"/>
      <c r="Y41" s="61"/>
      <c r="Z41" s="61"/>
      <c r="AA41" s="61"/>
    </row>
    <row r="42" s="19" customFormat="1" ht="25.5" outlineLevel="1" spans="1:27">
      <c r="A42" s="74"/>
      <c r="B42" s="74"/>
      <c r="C42" s="74" t="s">
        <v>568</v>
      </c>
      <c r="D42" s="74" t="s">
        <v>569</v>
      </c>
      <c r="E42" s="63" t="str">
        <f t="shared" si="10"/>
        <v>134-136</v>
      </c>
      <c r="F42" s="64">
        <f t="shared" si="2"/>
        <v>1070</v>
      </c>
      <c r="G42" s="65">
        <v>11</v>
      </c>
      <c r="H42" s="65">
        <v>1</v>
      </c>
      <c r="I42" s="65">
        <v>0</v>
      </c>
      <c r="J42" s="66">
        <v>0</v>
      </c>
      <c r="K42" s="75">
        <f>(POWER(2,G42)-1)*H42+I42</f>
        <v>2047</v>
      </c>
      <c r="L42" s="65">
        <v>0</v>
      </c>
      <c r="M42" s="66" t="s">
        <v>218</v>
      </c>
      <c r="N42" s="55">
        <f t="shared" si="3"/>
        <v>4</v>
      </c>
      <c r="O42" s="76"/>
      <c r="P42" s="66" t="s">
        <v>570</v>
      </c>
      <c r="Q42" s="74"/>
      <c r="R42" s="74" t="s">
        <v>571</v>
      </c>
      <c r="S42" s="59" t="s">
        <v>218</v>
      </c>
      <c r="T42" s="59" t="s">
        <v>572</v>
      </c>
      <c r="U42" s="59" t="s">
        <v>218</v>
      </c>
      <c r="V42" s="77"/>
      <c r="W42" s="77"/>
      <c r="X42" s="77"/>
      <c r="Y42" s="77"/>
      <c r="Z42" s="77"/>
      <c r="AA42" s="77"/>
    </row>
    <row r="43" ht="25.5" outlineLevel="1" spans="1:27">
      <c r="A43" s="49"/>
      <c r="B43" s="74"/>
      <c r="C43" s="74" t="s">
        <v>573</v>
      </c>
      <c r="D43" s="74" t="s">
        <v>574</v>
      </c>
      <c r="E43" s="63" t="str">
        <f t="shared" si="10"/>
        <v>136-137</v>
      </c>
      <c r="F43" s="64">
        <f t="shared" si="2"/>
        <v>1081</v>
      </c>
      <c r="G43" s="65">
        <v>14</v>
      </c>
      <c r="H43" s="65">
        <v>1</v>
      </c>
      <c r="I43" s="65">
        <v>0</v>
      </c>
      <c r="J43" s="66">
        <v>0</v>
      </c>
      <c r="K43" s="84">
        <v>5000</v>
      </c>
      <c r="L43" s="65">
        <v>0</v>
      </c>
      <c r="M43" s="66" t="s">
        <v>440</v>
      </c>
      <c r="N43" s="55">
        <f t="shared" si="3"/>
        <v>4</v>
      </c>
      <c r="O43" s="76"/>
      <c r="P43" s="66" t="s">
        <v>575</v>
      </c>
      <c r="Q43" s="49"/>
      <c r="R43" s="74" t="s">
        <v>576</v>
      </c>
      <c r="S43" s="59" t="s">
        <v>218</v>
      </c>
      <c r="T43" s="60" t="s">
        <v>577</v>
      </c>
      <c r="U43" s="60" t="s">
        <v>218</v>
      </c>
      <c r="V43" s="61"/>
      <c r="W43" s="61"/>
      <c r="X43" s="61"/>
      <c r="Y43" s="61"/>
      <c r="Z43" s="61"/>
      <c r="AA43" s="61"/>
    </row>
    <row r="44" s="19" customFormat="1" ht="25.5" outlineLevel="1" spans="1:27">
      <c r="A44" s="74"/>
      <c r="B44" s="74"/>
      <c r="C44" s="74" t="s">
        <v>578</v>
      </c>
      <c r="D44" s="74" t="s">
        <v>579</v>
      </c>
      <c r="E44" s="63" t="str">
        <f t="shared" si="10"/>
        <v>137-139</v>
      </c>
      <c r="F44" s="64">
        <f t="shared" si="2"/>
        <v>1095</v>
      </c>
      <c r="G44" s="65">
        <v>11</v>
      </c>
      <c r="H44" s="65">
        <v>1</v>
      </c>
      <c r="I44" s="65">
        <v>0</v>
      </c>
      <c r="J44" s="66">
        <v>0</v>
      </c>
      <c r="K44" s="75">
        <f>(POWER(2,G44)-1)*H44+I44</f>
        <v>2047</v>
      </c>
      <c r="L44" s="65">
        <v>0</v>
      </c>
      <c r="M44" s="66" t="s">
        <v>218</v>
      </c>
      <c r="N44" s="55">
        <f t="shared" si="3"/>
        <v>4</v>
      </c>
      <c r="O44" s="76"/>
      <c r="P44" s="66" t="s">
        <v>580</v>
      </c>
      <c r="Q44" s="74"/>
      <c r="R44" s="74" t="s">
        <v>581</v>
      </c>
      <c r="S44" s="59" t="s">
        <v>218</v>
      </c>
      <c r="T44" s="59" t="s">
        <v>582</v>
      </c>
      <c r="U44" s="59" t="s">
        <v>218</v>
      </c>
      <c r="V44" s="77"/>
      <c r="W44" s="77"/>
      <c r="X44" s="77"/>
      <c r="Y44" s="77"/>
      <c r="Z44" s="77"/>
      <c r="AA44" s="77"/>
    </row>
    <row r="45" ht="25.5" outlineLevel="1" spans="1:27">
      <c r="A45" s="49"/>
      <c r="B45" s="74"/>
      <c r="C45" s="74" t="s">
        <v>583</v>
      </c>
      <c r="D45" s="74" t="s">
        <v>584</v>
      </c>
      <c r="E45" s="63" t="str">
        <f t="shared" si="10"/>
        <v>139-140</v>
      </c>
      <c r="F45" s="64">
        <f t="shared" si="2"/>
        <v>1106</v>
      </c>
      <c r="G45" s="65">
        <v>14</v>
      </c>
      <c r="H45" s="65">
        <v>1</v>
      </c>
      <c r="I45" s="65">
        <v>0</v>
      </c>
      <c r="J45" s="66">
        <v>0</v>
      </c>
      <c r="K45" s="84">
        <v>5000</v>
      </c>
      <c r="L45" s="65">
        <v>0</v>
      </c>
      <c r="M45" s="66" t="s">
        <v>440</v>
      </c>
      <c r="N45" s="55">
        <f t="shared" si="3"/>
        <v>4</v>
      </c>
      <c r="O45" s="76"/>
      <c r="P45" s="66" t="s">
        <v>585</v>
      </c>
      <c r="Q45" s="74"/>
      <c r="R45" s="74" t="s">
        <v>586</v>
      </c>
      <c r="S45" s="59" t="s">
        <v>218</v>
      </c>
      <c r="T45" s="59" t="s">
        <v>587</v>
      </c>
      <c r="U45" s="60" t="s">
        <v>218</v>
      </c>
      <c r="V45" s="61"/>
      <c r="W45" s="61"/>
      <c r="X45" s="61"/>
      <c r="Y45" s="61"/>
      <c r="Z45" s="61"/>
      <c r="AA45" s="61"/>
    </row>
    <row r="46" ht="25.5" outlineLevel="1" spans="1:27">
      <c r="A46" s="49"/>
      <c r="B46" s="74"/>
      <c r="C46" s="74" t="s">
        <v>588</v>
      </c>
      <c r="D46" s="74" t="s">
        <v>589</v>
      </c>
      <c r="E46" s="63" t="str">
        <f t="shared" si="10"/>
        <v>141-142</v>
      </c>
      <c r="F46" s="64">
        <f t="shared" si="2"/>
        <v>1120</v>
      </c>
      <c r="G46" s="65">
        <v>16</v>
      </c>
      <c r="H46" s="65">
        <v>0.1</v>
      </c>
      <c r="I46" s="65">
        <v>-40</v>
      </c>
      <c r="J46" s="66">
        <v>-40</v>
      </c>
      <c r="K46" s="84">
        <v>125.1</v>
      </c>
      <c r="L46" s="65">
        <v>0</v>
      </c>
      <c r="M46" s="66" t="s">
        <v>427</v>
      </c>
      <c r="N46" s="55">
        <f t="shared" si="3"/>
        <v>5</v>
      </c>
      <c r="O46" s="76"/>
      <c r="P46" s="66" t="s">
        <v>590</v>
      </c>
      <c r="Q46" s="74"/>
      <c r="R46" s="74" t="s">
        <v>591</v>
      </c>
      <c r="S46" s="59" t="s">
        <v>218</v>
      </c>
      <c r="T46" s="59" t="s">
        <v>592</v>
      </c>
      <c r="U46" s="60" t="s">
        <v>218</v>
      </c>
      <c r="V46" s="61"/>
      <c r="W46" s="61"/>
      <c r="X46" s="61"/>
      <c r="Y46" s="61"/>
      <c r="Z46" s="61"/>
      <c r="AA46" s="61"/>
    </row>
    <row r="47" s="20" customFormat="1" ht="26" customHeight="1" outlineLevel="1" spans="1:27">
      <c r="A47" s="78"/>
      <c r="B47" s="78"/>
      <c r="C47" s="78" t="s">
        <v>593</v>
      </c>
      <c r="D47" s="79" t="s">
        <v>594</v>
      </c>
      <c r="E47" s="80">
        <f t="shared" si="10"/>
        <v>143</v>
      </c>
      <c r="F47" s="81">
        <f t="shared" si="2"/>
        <v>1136</v>
      </c>
      <c r="G47" s="82">
        <v>8</v>
      </c>
      <c r="H47" s="82">
        <v>1</v>
      </c>
      <c r="I47" s="82">
        <v>0</v>
      </c>
      <c r="J47" s="82">
        <v>0</v>
      </c>
      <c r="K47" s="82">
        <f t="shared" ref="K47" si="12">(POWER(2,G47)-1)*H47+I47</f>
        <v>255</v>
      </c>
      <c r="L47" s="82">
        <v>0</v>
      </c>
      <c r="M47" s="83" t="s">
        <v>218</v>
      </c>
      <c r="N47" s="110">
        <v>0</v>
      </c>
      <c r="O47" s="27"/>
      <c r="P47" s="111"/>
      <c r="Q47" s="78"/>
      <c r="R47" s="79" t="s">
        <v>218</v>
      </c>
      <c r="S47" s="85" t="s">
        <v>218</v>
      </c>
      <c r="T47" s="85" t="s">
        <v>218</v>
      </c>
      <c r="U47" s="85" t="s">
        <v>218</v>
      </c>
      <c r="V47" s="86"/>
      <c r="W47" s="86"/>
      <c r="X47" s="86"/>
      <c r="Y47" s="86"/>
      <c r="Z47" s="86"/>
      <c r="AA47" s="86"/>
    </row>
    <row r="48" ht="25.5" outlineLevel="1" spans="1:27">
      <c r="A48" s="49"/>
      <c r="B48" s="74"/>
      <c r="C48" s="74" t="s">
        <v>595</v>
      </c>
      <c r="D48" s="74" t="s">
        <v>596</v>
      </c>
      <c r="E48" s="63" t="str">
        <f t="shared" ref="E48:E73" si="13">IF(INT((F48+G48-1)/8)+1=INT(F48/8)+1,INT(F48/8)+1,INT(F48/8)+1&amp;"-"&amp;INT((F48+G48-1)/8)+1)</f>
        <v>144-145</v>
      </c>
      <c r="F48" s="64">
        <f t="shared" si="2"/>
        <v>1144</v>
      </c>
      <c r="G48" s="65">
        <v>16</v>
      </c>
      <c r="H48" s="65">
        <v>0.1</v>
      </c>
      <c r="I48" s="65">
        <v>-40</v>
      </c>
      <c r="J48" s="66">
        <v>-40</v>
      </c>
      <c r="K48" s="84">
        <v>125.1</v>
      </c>
      <c r="L48" s="65">
        <v>0</v>
      </c>
      <c r="M48" s="66" t="s">
        <v>427</v>
      </c>
      <c r="N48" s="55">
        <f t="shared" si="3"/>
        <v>5</v>
      </c>
      <c r="O48" s="76"/>
      <c r="P48" s="66" t="s">
        <v>597</v>
      </c>
      <c r="Q48" s="74"/>
      <c r="R48" s="74" t="s">
        <v>598</v>
      </c>
      <c r="S48" s="59" t="s">
        <v>218</v>
      </c>
      <c r="T48" s="59" t="s">
        <v>599</v>
      </c>
      <c r="U48" s="60" t="s">
        <v>218</v>
      </c>
      <c r="V48" s="61"/>
      <c r="W48" s="61"/>
      <c r="X48" s="61"/>
      <c r="Y48" s="61"/>
      <c r="Z48" s="61"/>
      <c r="AA48" s="61"/>
    </row>
    <row r="49" s="19" customFormat="1" ht="409.5" customHeight="1" outlineLevel="1" spans="1:27">
      <c r="A49" s="74"/>
      <c r="B49" s="74"/>
      <c r="C49" s="74" t="s">
        <v>600</v>
      </c>
      <c r="D49" s="70" t="s">
        <v>601</v>
      </c>
      <c r="E49" s="63">
        <f t="shared" ref="E49" si="14">IF(INT((F49+G49-1)/8)+1=INT(F49/8)+1,INT(F49/8)+1,INT(F49/8)+1&amp;"-"&amp;INT((F49+G49-1)/8)+1)</f>
        <v>146</v>
      </c>
      <c r="F49" s="64">
        <f t="shared" si="2"/>
        <v>1160</v>
      </c>
      <c r="G49" s="65">
        <v>8</v>
      </c>
      <c r="H49" s="65">
        <v>1</v>
      </c>
      <c r="I49" s="65">
        <v>0</v>
      </c>
      <c r="J49" s="65">
        <v>0</v>
      </c>
      <c r="K49" s="65">
        <f t="shared" ref="K49" si="15">(POWER(2,G49)-1)*H49+I49</f>
        <v>255</v>
      </c>
      <c r="L49" s="65">
        <v>0</v>
      </c>
      <c r="M49" s="66" t="s">
        <v>602</v>
      </c>
      <c r="N49" s="112">
        <f t="shared" si="3"/>
        <v>3</v>
      </c>
      <c r="O49" s="74" t="s">
        <v>603</v>
      </c>
      <c r="P49" s="113"/>
      <c r="Q49" s="74"/>
      <c r="R49" s="70" t="s">
        <v>604</v>
      </c>
      <c r="S49" s="59" t="s">
        <v>218</v>
      </c>
      <c r="T49" s="59" t="s">
        <v>218</v>
      </c>
      <c r="U49" s="59" t="s">
        <v>218</v>
      </c>
      <c r="V49" s="77"/>
      <c r="W49" s="77"/>
      <c r="X49" s="77"/>
      <c r="Y49" s="77"/>
      <c r="Z49" s="77"/>
      <c r="AA49" s="77"/>
    </row>
    <row r="50" ht="25.5" outlineLevel="1" spans="1:27">
      <c r="A50" s="49"/>
      <c r="B50" s="74"/>
      <c r="C50" s="74" t="s">
        <v>605</v>
      </c>
      <c r="D50" s="74" t="s">
        <v>606</v>
      </c>
      <c r="E50" s="63" t="str">
        <f t="shared" si="13"/>
        <v>147-148</v>
      </c>
      <c r="F50" s="64">
        <f t="shared" si="2"/>
        <v>1168</v>
      </c>
      <c r="G50" s="65">
        <v>16</v>
      </c>
      <c r="H50" s="65">
        <v>0.1</v>
      </c>
      <c r="I50" s="65">
        <v>-40</v>
      </c>
      <c r="J50" s="66">
        <v>-40</v>
      </c>
      <c r="K50" s="84">
        <v>125.1</v>
      </c>
      <c r="L50" s="65">
        <v>0</v>
      </c>
      <c r="M50" s="66" t="s">
        <v>427</v>
      </c>
      <c r="N50" s="55">
        <f t="shared" si="3"/>
        <v>5</v>
      </c>
      <c r="O50" s="76"/>
      <c r="P50" s="66" t="s">
        <v>607</v>
      </c>
      <c r="Q50" s="74"/>
      <c r="R50" s="74" t="s">
        <v>608</v>
      </c>
      <c r="S50" s="59" t="s">
        <v>218</v>
      </c>
      <c r="T50" s="59" t="s">
        <v>609</v>
      </c>
      <c r="U50" s="60" t="s">
        <v>218</v>
      </c>
      <c r="V50" s="61"/>
      <c r="W50" s="61"/>
      <c r="X50" s="61"/>
      <c r="Y50" s="61"/>
      <c r="Z50" s="61"/>
      <c r="AA50" s="61"/>
    </row>
    <row r="51" ht="25.5" outlineLevel="1" spans="1:27">
      <c r="A51" s="49"/>
      <c r="B51" s="74"/>
      <c r="C51" s="70" t="s">
        <v>610</v>
      </c>
      <c r="D51" s="70" t="s">
        <v>611</v>
      </c>
      <c r="E51" s="63" t="str">
        <f t="shared" si="13"/>
        <v>149-150</v>
      </c>
      <c r="F51" s="64">
        <f t="shared" si="2"/>
        <v>1184</v>
      </c>
      <c r="G51" s="75">
        <v>16</v>
      </c>
      <c r="H51" s="65">
        <v>0.1</v>
      </c>
      <c r="I51" s="75">
        <v>-40</v>
      </c>
      <c r="J51" s="75">
        <v>-40</v>
      </c>
      <c r="K51" s="84">
        <v>125.1</v>
      </c>
      <c r="L51" s="66">
        <v>0</v>
      </c>
      <c r="M51" s="66" t="s">
        <v>427</v>
      </c>
      <c r="N51" s="55">
        <f t="shared" si="3"/>
        <v>5</v>
      </c>
      <c r="O51" s="74"/>
      <c r="P51" s="66" t="s">
        <v>612</v>
      </c>
      <c r="Q51" s="74"/>
      <c r="R51" s="74" t="s">
        <v>613</v>
      </c>
      <c r="S51" s="59" t="s">
        <v>218</v>
      </c>
      <c r="T51" s="59" t="s">
        <v>614</v>
      </c>
      <c r="U51" s="60" t="s">
        <v>218</v>
      </c>
      <c r="V51" s="61"/>
      <c r="W51" s="61"/>
      <c r="X51" s="61"/>
      <c r="Y51" s="61"/>
      <c r="Z51" s="61"/>
      <c r="AA51" s="61"/>
    </row>
    <row r="52" s="19" customFormat="1" ht="25.5" outlineLevel="1" spans="1:27">
      <c r="A52" s="74"/>
      <c r="B52" s="74"/>
      <c r="C52" s="70" t="s">
        <v>615</v>
      </c>
      <c r="D52" s="70" t="s">
        <v>616</v>
      </c>
      <c r="E52" s="63">
        <f t="shared" si="13"/>
        <v>151</v>
      </c>
      <c r="F52" s="64">
        <f t="shared" si="2"/>
        <v>1200</v>
      </c>
      <c r="G52" s="66">
        <v>8</v>
      </c>
      <c r="H52" s="66">
        <v>1</v>
      </c>
      <c r="I52" s="66">
        <v>0</v>
      </c>
      <c r="J52" s="66">
        <v>0</v>
      </c>
      <c r="K52" s="66">
        <f t="shared" ref="K52:K73" si="16">(POWER(2,G52)-1)*H52+I52</f>
        <v>255</v>
      </c>
      <c r="L52" s="66">
        <v>0</v>
      </c>
      <c r="M52" s="66" t="s">
        <v>218</v>
      </c>
      <c r="N52" s="75">
        <f t="shared" si="3"/>
        <v>3</v>
      </c>
      <c r="O52" s="74"/>
      <c r="P52" s="66" t="s">
        <v>617</v>
      </c>
      <c r="Q52" s="74"/>
      <c r="R52" s="74" t="s">
        <v>618</v>
      </c>
      <c r="S52" s="59" t="s">
        <v>218</v>
      </c>
      <c r="T52" s="59"/>
      <c r="U52" s="59" t="s">
        <v>218</v>
      </c>
      <c r="V52" s="77"/>
      <c r="W52" s="77"/>
      <c r="X52" s="77"/>
      <c r="Y52" s="77"/>
      <c r="Z52" s="77"/>
      <c r="AA52" s="77"/>
    </row>
    <row r="53" s="19" customFormat="1" ht="25.5" outlineLevel="1" spans="1:27">
      <c r="A53" s="74"/>
      <c r="B53" s="74"/>
      <c r="C53" s="70" t="s">
        <v>619</v>
      </c>
      <c r="D53" s="70" t="s">
        <v>620</v>
      </c>
      <c r="E53" s="63" t="str">
        <f t="shared" si="13"/>
        <v>152-153</v>
      </c>
      <c r="F53" s="64">
        <f t="shared" si="2"/>
        <v>1208</v>
      </c>
      <c r="G53" s="75">
        <v>16</v>
      </c>
      <c r="H53" s="65">
        <v>0.1</v>
      </c>
      <c r="I53" s="75">
        <v>-40</v>
      </c>
      <c r="J53" s="75">
        <v>-40</v>
      </c>
      <c r="K53" s="75">
        <v>125.1</v>
      </c>
      <c r="L53" s="66">
        <v>0</v>
      </c>
      <c r="M53" s="66" t="s">
        <v>427</v>
      </c>
      <c r="N53" s="75">
        <f t="shared" si="3"/>
        <v>5</v>
      </c>
      <c r="O53" s="74"/>
      <c r="P53" s="66" t="s">
        <v>621</v>
      </c>
      <c r="Q53" s="74"/>
      <c r="R53" s="74" t="s">
        <v>622</v>
      </c>
      <c r="S53" s="59" t="s">
        <v>218</v>
      </c>
      <c r="T53" s="59" t="s">
        <v>623</v>
      </c>
      <c r="U53" s="59" t="s">
        <v>218</v>
      </c>
      <c r="V53" s="77"/>
      <c r="W53" s="77"/>
      <c r="X53" s="77"/>
      <c r="Y53" s="77"/>
      <c r="Z53" s="77"/>
      <c r="AA53" s="77"/>
    </row>
    <row r="54" s="19" customFormat="1" ht="25.5" outlineLevel="1" spans="1:27">
      <c r="A54" s="74"/>
      <c r="B54" s="74"/>
      <c r="C54" s="70" t="s">
        <v>624</v>
      </c>
      <c r="D54" s="70" t="s">
        <v>625</v>
      </c>
      <c r="E54" s="63">
        <f t="shared" si="13"/>
        <v>154</v>
      </c>
      <c r="F54" s="64">
        <f t="shared" si="2"/>
        <v>1224</v>
      </c>
      <c r="G54" s="66">
        <v>8</v>
      </c>
      <c r="H54" s="66">
        <v>1</v>
      </c>
      <c r="I54" s="66">
        <v>0</v>
      </c>
      <c r="J54" s="66">
        <v>0</v>
      </c>
      <c r="K54" s="66">
        <f t="shared" si="16"/>
        <v>255</v>
      </c>
      <c r="L54" s="66">
        <v>0</v>
      </c>
      <c r="M54" s="66" t="s">
        <v>218</v>
      </c>
      <c r="N54" s="75">
        <f t="shared" si="3"/>
        <v>3</v>
      </c>
      <c r="O54" s="74"/>
      <c r="P54" s="66" t="s">
        <v>626</v>
      </c>
      <c r="Q54" s="74"/>
      <c r="R54" s="74" t="s">
        <v>627</v>
      </c>
      <c r="S54" s="59" t="s">
        <v>218</v>
      </c>
      <c r="T54" s="59"/>
      <c r="U54" s="59" t="s">
        <v>218</v>
      </c>
      <c r="V54" s="77"/>
      <c r="W54" s="77"/>
      <c r="X54" s="77"/>
      <c r="Y54" s="77"/>
      <c r="Z54" s="77"/>
      <c r="AA54" s="77"/>
    </row>
    <row r="55" s="19" customFormat="1" ht="25.5" outlineLevel="1" spans="1:27">
      <c r="A55" s="74"/>
      <c r="B55" s="74"/>
      <c r="C55" s="70" t="s">
        <v>628</v>
      </c>
      <c r="D55" s="70" t="s">
        <v>629</v>
      </c>
      <c r="E55" s="63">
        <f t="shared" si="13"/>
        <v>155</v>
      </c>
      <c r="F55" s="64">
        <f t="shared" si="2"/>
        <v>1232</v>
      </c>
      <c r="G55" s="66">
        <v>8</v>
      </c>
      <c r="H55" s="66">
        <v>1</v>
      </c>
      <c r="I55" s="66">
        <v>0</v>
      </c>
      <c r="J55" s="66">
        <v>0</v>
      </c>
      <c r="K55" s="66">
        <f t="shared" si="16"/>
        <v>255</v>
      </c>
      <c r="L55" s="66">
        <v>0</v>
      </c>
      <c r="M55" s="66" t="s">
        <v>218</v>
      </c>
      <c r="N55" s="75">
        <f t="shared" si="3"/>
        <v>3</v>
      </c>
      <c r="O55" s="74"/>
      <c r="P55" s="66"/>
      <c r="Q55" s="74"/>
      <c r="R55" s="74" t="s">
        <v>630</v>
      </c>
      <c r="S55" s="59" t="s">
        <v>218</v>
      </c>
      <c r="T55" s="59" t="s">
        <v>631</v>
      </c>
      <c r="U55" s="59" t="s">
        <v>218</v>
      </c>
      <c r="V55" s="77"/>
      <c r="W55" s="77"/>
      <c r="X55" s="77"/>
      <c r="Y55" s="77"/>
      <c r="Z55" s="77"/>
      <c r="AA55" s="77"/>
    </row>
    <row r="56" s="19" customFormat="1" ht="25.5" outlineLevel="1" spans="1:27">
      <c r="A56" s="74"/>
      <c r="B56" s="74"/>
      <c r="C56" s="70" t="s">
        <v>632</v>
      </c>
      <c r="D56" s="70" t="s">
        <v>633</v>
      </c>
      <c r="E56" s="63">
        <f t="shared" si="13"/>
        <v>156</v>
      </c>
      <c r="F56" s="64">
        <f t="shared" si="2"/>
        <v>1240</v>
      </c>
      <c r="G56" s="66">
        <v>8</v>
      </c>
      <c r="H56" s="66">
        <v>1</v>
      </c>
      <c r="I56" s="66">
        <v>0</v>
      </c>
      <c r="J56" s="66">
        <v>0</v>
      </c>
      <c r="K56" s="66">
        <f t="shared" si="16"/>
        <v>255</v>
      </c>
      <c r="L56" s="66">
        <v>0</v>
      </c>
      <c r="M56" s="66" t="s">
        <v>218</v>
      </c>
      <c r="N56" s="75">
        <f t="shared" si="3"/>
        <v>3</v>
      </c>
      <c r="O56" s="74"/>
      <c r="P56" s="66"/>
      <c r="Q56" s="74"/>
      <c r="R56" s="74" t="s">
        <v>634</v>
      </c>
      <c r="S56" s="59" t="s">
        <v>218</v>
      </c>
      <c r="T56" s="59" t="s">
        <v>635</v>
      </c>
      <c r="U56" s="59" t="s">
        <v>218</v>
      </c>
      <c r="V56" s="77"/>
      <c r="W56" s="77"/>
      <c r="X56" s="77"/>
      <c r="Y56" s="77"/>
      <c r="Z56" s="77"/>
      <c r="AA56" s="77"/>
    </row>
    <row r="57" s="19" customFormat="1" ht="25.5" outlineLevel="1" spans="1:27">
      <c r="A57" s="74"/>
      <c r="B57" s="74"/>
      <c r="C57" s="70" t="s">
        <v>636</v>
      </c>
      <c r="D57" s="70" t="s">
        <v>637</v>
      </c>
      <c r="E57" s="63" t="str">
        <f t="shared" si="13"/>
        <v>157-158</v>
      </c>
      <c r="F57" s="64">
        <f t="shared" si="2"/>
        <v>1248</v>
      </c>
      <c r="G57" s="75">
        <v>16</v>
      </c>
      <c r="H57" s="65">
        <v>0.1</v>
      </c>
      <c r="I57" s="75">
        <v>-40</v>
      </c>
      <c r="J57" s="75">
        <v>-40</v>
      </c>
      <c r="K57" s="75">
        <v>125.1</v>
      </c>
      <c r="L57" s="66">
        <v>0</v>
      </c>
      <c r="M57" s="66" t="s">
        <v>427</v>
      </c>
      <c r="N57" s="75">
        <f t="shared" si="3"/>
        <v>5</v>
      </c>
      <c r="O57" s="114"/>
      <c r="P57" s="66" t="s">
        <v>638</v>
      </c>
      <c r="Q57" s="74"/>
      <c r="R57" s="74" t="s">
        <v>639</v>
      </c>
      <c r="S57" s="59" t="s">
        <v>218</v>
      </c>
      <c r="T57" s="59" t="s">
        <v>218</v>
      </c>
      <c r="U57" s="59" t="s">
        <v>218</v>
      </c>
      <c r="V57" s="77"/>
      <c r="W57" s="77"/>
      <c r="X57" s="77"/>
      <c r="Y57" s="77"/>
      <c r="Z57" s="77"/>
      <c r="AA57" s="77"/>
    </row>
    <row r="58" s="19" customFormat="1" ht="39.5" customHeight="1" outlineLevel="1" spans="1:27">
      <c r="A58" s="74"/>
      <c r="B58" s="74"/>
      <c r="C58" s="74" t="s">
        <v>640</v>
      </c>
      <c r="D58" s="70" t="s">
        <v>641</v>
      </c>
      <c r="E58" s="63">
        <f t="shared" si="13"/>
        <v>159</v>
      </c>
      <c r="F58" s="64">
        <f t="shared" si="2"/>
        <v>1264</v>
      </c>
      <c r="G58" s="65">
        <v>8</v>
      </c>
      <c r="H58" s="65">
        <v>1</v>
      </c>
      <c r="I58" s="65">
        <v>0</v>
      </c>
      <c r="J58" s="65">
        <v>0</v>
      </c>
      <c r="K58" s="65">
        <f t="shared" ref="K58" si="17">(POWER(2,G58)-1)*H58+I58</f>
        <v>255</v>
      </c>
      <c r="L58" s="65">
        <v>0</v>
      </c>
      <c r="M58" s="66" t="s">
        <v>602</v>
      </c>
      <c r="N58" s="112">
        <f t="shared" si="3"/>
        <v>3</v>
      </c>
      <c r="O58" s="74" t="s">
        <v>642</v>
      </c>
      <c r="P58" s="113"/>
      <c r="Q58" s="74"/>
      <c r="R58" s="70" t="s">
        <v>643</v>
      </c>
      <c r="S58" s="59" t="s">
        <v>218</v>
      </c>
      <c r="T58" s="59" t="s">
        <v>218</v>
      </c>
      <c r="U58" s="59" t="s">
        <v>218</v>
      </c>
      <c r="V58" s="77"/>
      <c r="W58" s="77"/>
      <c r="X58" s="77"/>
      <c r="Y58" s="77"/>
      <c r="Z58" s="77"/>
      <c r="AA58" s="77"/>
    </row>
    <row r="59" s="19" customFormat="1" ht="25.5" outlineLevel="1" spans="1:27">
      <c r="A59" s="74"/>
      <c r="B59" s="74"/>
      <c r="C59" s="74" t="s">
        <v>644</v>
      </c>
      <c r="D59" s="74" t="s">
        <v>645</v>
      </c>
      <c r="E59" s="63" t="str">
        <f t="shared" si="13"/>
        <v>160-161</v>
      </c>
      <c r="F59" s="64">
        <f t="shared" si="2"/>
        <v>1272</v>
      </c>
      <c r="G59" s="65">
        <v>16</v>
      </c>
      <c r="H59" s="65">
        <v>1</v>
      </c>
      <c r="I59" s="65">
        <v>0</v>
      </c>
      <c r="J59" s="66">
        <v>0</v>
      </c>
      <c r="K59" s="66">
        <f t="shared" si="16"/>
        <v>65535</v>
      </c>
      <c r="L59" s="65">
        <v>0</v>
      </c>
      <c r="M59" s="66" t="s">
        <v>218</v>
      </c>
      <c r="N59" s="75">
        <f t="shared" si="3"/>
        <v>5</v>
      </c>
      <c r="P59" s="66" t="s">
        <v>646</v>
      </c>
      <c r="Q59" s="74" t="s">
        <v>647</v>
      </c>
      <c r="R59" s="74" t="s">
        <v>648</v>
      </c>
      <c r="S59" s="59" t="s">
        <v>649</v>
      </c>
      <c r="T59" s="59" t="s">
        <v>649</v>
      </c>
      <c r="U59" s="59" t="s">
        <v>218</v>
      </c>
      <c r="V59" s="77"/>
      <c r="W59" s="77"/>
      <c r="X59" s="77"/>
      <c r="Y59" s="77"/>
      <c r="Z59" s="77"/>
      <c r="AA59" s="77"/>
    </row>
    <row r="60" s="19" customFormat="1" ht="25.5" outlineLevel="1" spans="1:27">
      <c r="A60" s="77"/>
      <c r="B60" s="77"/>
      <c r="C60" s="74" t="s">
        <v>650</v>
      </c>
      <c r="D60" s="74" t="s">
        <v>651</v>
      </c>
      <c r="E60" s="63" t="str">
        <f t="shared" si="13"/>
        <v>162-163</v>
      </c>
      <c r="F60" s="64">
        <f t="shared" si="2"/>
        <v>1288</v>
      </c>
      <c r="G60" s="65">
        <v>16</v>
      </c>
      <c r="H60" s="65">
        <v>1</v>
      </c>
      <c r="I60" s="65">
        <v>0</v>
      </c>
      <c r="J60" s="65">
        <v>0</v>
      </c>
      <c r="K60" s="65">
        <f t="shared" si="16"/>
        <v>65535</v>
      </c>
      <c r="L60" s="65">
        <v>0</v>
      </c>
      <c r="M60" s="66" t="s">
        <v>652</v>
      </c>
      <c r="N60" s="75">
        <f t="shared" si="3"/>
        <v>5</v>
      </c>
      <c r="O60" s="74"/>
      <c r="P60" s="66" t="s">
        <v>653</v>
      </c>
      <c r="Q60" s="77"/>
      <c r="R60" s="74" t="s">
        <v>654</v>
      </c>
      <c r="S60" s="59" t="s">
        <v>218</v>
      </c>
      <c r="T60" s="59" t="s">
        <v>655</v>
      </c>
      <c r="U60" s="59" t="s">
        <v>218</v>
      </c>
      <c r="V60" s="77"/>
      <c r="W60" s="77"/>
      <c r="X60" s="77"/>
      <c r="Y60" s="77"/>
      <c r="Z60" s="77"/>
      <c r="AA60" s="77"/>
    </row>
    <row r="61" s="19" customFormat="1" ht="25.5" outlineLevel="1" spans="1:27">
      <c r="A61" s="77"/>
      <c r="B61" s="77"/>
      <c r="C61" s="74" t="s">
        <v>656</v>
      </c>
      <c r="D61" s="74" t="s">
        <v>657</v>
      </c>
      <c r="E61" s="63" t="str">
        <f t="shared" si="13"/>
        <v>164-165</v>
      </c>
      <c r="F61" s="64">
        <f t="shared" si="2"/>
        <v>1304</v>
      </c>
      <c r="G61" s="65">
        <v>16</v>
      </c>
      <c r="H61" s="65">
        <v>1</v>
      </c>
      <c r="I61" s="65">
        <v>0</v>
      </c>
      <c r="J61" s="65">
        <v>0</v>
      </c>
      <c r="K61" s="65">
        <f t="shared" si="16"/>
        <v>65535</v>
      </c>
      <c r="L61" s="65">
        <v>0</v>
      </c>
      <c r="M61" s="66" t="s">
        <v>652</v>
      </c>
      <c r="N61" s="75">
        <f t="shared" si="3"/>
        <v>5</v>
      </c>
      <c r="O61" s="74"/>
      <c r="P61" s="66" t="s">
        <v>658</v>
      </c>
      <c r="Q61" s="77"/>
      <c r="R61" s="74" t="s">
        <v>659</v>
      </c>
      <c r="S61" s="59" t="s">
        <v>218</v>
      </c>
      <c r="T61" s="59" t="s">
        <v>660</v>
      </c>
      <c r="U61" s="59" t="s">
        <v>218</v>
      </c>
      <c r="V61" s="77"/>
      <c r="W61" s="77"/>
      <c r="X61" s="77"/>
      <c r="Y61" s="77"/>
      <c r="Z61" s="77"/>
      <c r="AA61" s="77"/>
    </row>
    <row r="62" s="19" customFormat="1" ht="25.5" outlineLevel="1" spans="1:27">
      <c r="A62" s="77"/>
      <c r="B62" s="77"/>
      <c r="C62" s="74" t="s">
        <v>661</v>
      </c>
      <c r="D62" s="74" t="s">
        <v>662</v>
      </c>
      <c r="E62" s="63" t="str">
        <f t="shared" si="13"/>
        <v>166-167</v>
      </c>
      <c r="F62" s="64">
        <f t="shared" si="2"/>
        <v>1320</v>
      </c>
      <c r="G62" s="65">
        <v>16</v>
      </c>
      <c r="H62" s="65">
        <v>1</v>
      </c>
      <c r="I62" s="65">
        <v>0</v>
      </c>
      <c r="J62" s="65">
        <v>0</v>
      </c>
      <c r="K62" s="65">
        <f t="shared" si="16"/>
        <v>65535</v>
      </c>
      <c r="L62" s="65">
        <v>0</v>
      </c>
      <c r="M62" s="66" t="s">
        <v>652</v>
      </c>
      <c r="N62" s="75">
        <f t="shared" si="3"/>
        <v>5</v>
      </c>
      <c r="O62" s="77"/>
      <c r="P62" s="63"/>
      <c r="Q62" s="77"/>
      <c r="R62" s="74" t="s">
        <v>663</v>
      </c>
      <c r="S62" s="59" t="s">
        <v>218</v>
      </c>
      <c r="T62" s="59" t="s">
        <v>664</v>
      </c>
      <c r="U62" s="59" t="s">
        <v>218</v>
      </c>
      <c r="V62" s="77"/>
      <c r="W62" s="77"/>
      <c r="X62" s="77"/>
      <c r="Y62" s="77"/>
      <c r="Z62" s="77"/>
      <c r="AA62" s="77"/>
    </row>
    <row r="63" s="19" customFormat="1" ht="25.5" outlineLevel="1" spans="1:27">
      <c r="A63" s="77"/>
      <c r="B63" s="77"/>
      <c r="C63" s="74" t="s">
        <v>665</v>
      </c>
      <c r="D63" s="74" t="s">
        <v>666</v>
      </c>
      <c r="E63" s="63" t="str">
        <f t="shared" si="13"/>
        <v>168-169</v>
      </c>
      <c r="F63" s="64">
        <f t="shared" si="2"/>
        <v>1336</v>
      </c>
      <c r="G63" s="65">
        <v>16</v>
      </c>
      <c r="H63" s="65">
        <v>1</v>
      </c>
      <c r="I63" s="65">
        <v>0</v>
      </c>
      <c r="J63" s="65">
        <v>0</v>
      </c>
      <c r="K63" s="65">
        <f t="shared" si="16"/>
        <v>65535</v>
      </c>
      <c r="L63" s="65">
        <v>0</v>
      </c>
      <c r="M63" s="66" t="s">
        <v>652</v>
      </c>
      <c r="N63" s="75">
        <f t="shared" si="3"/>
        <v>5</v>
      </c>
      <c r="O63" s="74"/>
      <c r="P63" s="66"/>
      <c r="Q63" s="77"/>
      <c r="R63" s="74" t="s">
        <v>667</v>
      </c>
      <c r="S63" s="59" t="s">
        <v>218</v>
      </c>
      <c r="T63" s="59" t="s">
        <v>668</v>
      </c>
      <c r="U63" s="59" t="s">
        <v>218</v>
      </c>
      <c r="V63" s="77"/>
      <c r="W63" s="77"/>
      <c r="X63" s="77"/>
      <c r="Y63" s="77"/>
      <c r="Z63" s="77"/>
      <c r="AA63" s="77"/>
    </row>
    <row r="64" s="19" customFormat="1" ht="25.5" outlineLevel="1" spans="1:27">
      <c r="A64" s="77"/>
      <c r="B64" s="77"/>
      <c r="C64" s="74" t="s">
        <v>669</v>
      </c>
      <c r="D64" s="74" t="s">
        <v>670</v>
      </c>
      <c r="E64" s="63" t="str">
        <f t="shared" si="13"/>
        <v>170-171</v>
      </c>
      <c r="F64" s="64">
        <f t="shared" si="2"/>
        <v>1352</v>
      </c>
      <c r="G64" s="65">
        <v>16</v>
      </c>
      <c r="H64" s="65">
        <v>1</v>
      </c>
      <c r="I64" s="65">
        <v>0</v>
      </c>
      <c r="J64" s="65">
        <v>0</v>
      </c>
      <c r="K64" s="65">
        <f t="shared" si="16"/>
        <v>65535</v>
      </c>
      <c r="L64" s="65">
        <v>0</v>
      </c>
      <c r="M64" s="66" t="s">
        <v>218</v>
      </c>
      <c r="N64" s="75">
        <f t="shared" si="3"/>
        <v>5</v>
      </c>
      <c r="O64" s="74"/>
      <c r="P64" s="66" t="s">
        <v>671</v>
      </c>
      <c r="Q64" s="77"/>
      <c r="R64" s="74" t="s">
        <v>672</v>
      </c>
      <c r="S64" s="59" t="s">
        <v>218</v>
      </c>
      <c r="T64" s="59" t="s">
        <v>673</v>
      </c>
      <c r="U64" s="59" t="s">
        <v>218</v>
      </c>
      <c r="V64" s="77"/>
      <c r="W64" s="77"/>
      <c r="X64" s="77"/>
      <c r="Y64" s="77"/>
      <c r="Z64" s="77"/>
      <c r="AA64" s="77"/>
    </row>
    <row r="65" s="19" customFormat="1" ht="25.5" outlineLevel="1" spans="1:27">
      <c r="A65" s="77"/>
      <c r="B65" s="77"/>
      <c r="C65" s="74" t="s">
        <v>674</v>
      </c>
      <c r="D65" s="74" t="s">
        <v>675</v>
      </c>
      <c r="E65" s="63">
        <f t="shared" si="13"/>
        <v>172</v>
      </c>
      <c r="F65" s="64">
        <f t="shared" ref="F65:F114" si="18">F64+G64</f>
        <v>1368</v>
      </c>
      <c r="G65" s="65">
        <v>8</v>
      </c>
      <c r="H65" s="65">
        <v>1</v>
      </c>
      <c r="I65" s="65">
        <v>0</v>
      </c>
      <c r="J65" s="65">
        <v>0</v>
      </c>
      <c r="K65" s="65">
        <f t="shared" si="16"/>
        <v>255</v>
      </c>
      <c r="L65" s="65">
        <v>0</v>
      </c>
      <c r="M65" s="66" t="s">
        <v>218</v>
      </c>
      <c r="N65" s="75">
        <v>0</v>
      </c>
      <c r="O65" s="74"/>
      <c r="P65" s="66"/>
      <c r="Q65" s="77"/>
      <c r="R65" s="74" t="s">
        <v>676</v>
      </c>
      <c r="S65" s="59" t="s">
        <v>218</v>
      </c>
      <c r="T65" s="59" t="s">
        <v>677</v>
      </c>
      <c r="U65" s="59" t="s">
        <v>218</v>
      </c>
      <c r="V65" s="77"/>
      <c r="W65" s="77"/>
      <c r="X65" s="115"/>
      <c r="Y65" s="77"/>
      <c r="Z65" s="77"/>
      <c r="AA65" s="77"/>
    </row>
    <row r="66" s="19" customFormat="1" ht="25.5" outlineLevel="1" spans="1:27">
      <c r="A66" s="77"/>
      <c r="B66" s="77"/>
      <c r="C66" s="74" t="s">
        <v>678</v>
      </c>
      <c r="D66" s="74" t="s">
        <v>679</v>
      </c>
      <c r="E66" s="63">
        <f t="shared" si="13"/>
        <v>173</v>
      </c>
      <c r="F66" s="64">
        <f t="shared" si="18"/>
        <v>1376</v>
      </c>
      <c r="G66" s="65">
        <v>8</v>
      </c>
      <c r="H66" s="65">
        <v>1</v>
      </c>
      <c r="I66" s="65">
        <v>0</v>
      </c>
      <c r="J66" s="65">
        <v>0</v>
      </c>
      <c r="K66" s="65">
        <f t="shared" si="16"/>
        <v>255</v>
      </c>
      <c r="L66" s="65">
        <v>0</v>
      </c>
      <c r="M66" s="66" t="s">
        <v>218</v>
      </c>
      <c r="N66" s="75">
        <v>0</v>
      </c>
      <c r="O66" s="74"/>
      <c r="P66" s="66"/>
      <c r="Q66" s="77"/>
      <c r="R66" s="74" t="s">
        <v>680</v>
      </c>
      <c r="S66" s="59" t="s">
        <v>218</v>
      </c>
      <c r="T66" s="59" t="s">
        <v>681</v>
      </c>
      <c r="U66" s="59" t="s">
        <v>218</v>
      </c>
      <c r="V66" s="77"/>
      <c r="W66" s="77"/>
      <c r="X66" s="115"/>
      <c r="Y66" s="77"/>
      <c r="Z66" s="77"/>
      <c r="AA66" s="77"/>
    </row>
    <row r="67" s="19" customFormat="1" ht="25.5" outlineLevel="1" spans="1:27">
      <c r="A67" s="77"/>
      <c r="B67" s="77"/>
      <c r="C67" s="74" t="s">
        <v>682</v>
      </c>
      <c r="D67" s="74" t="s">
        <v>683</v>
      </c>
      <c r="E67" s="63">
        <f t="shared" si="13"/>
        <v>174</v>
      </c>
      <c r="F67" s="64">
        <f t="shared" si="18"/>
        <v>1384</v>
      </c>
      <c r="G67" s="65">
        <v>8</v>
      </c>
      <c r="H67" s="65">
        <v>1</v>
      </c>
      <c r="I67" s="65">
        <v>-40</v>
      </c>
      <c r="J67" s="65">
        <v>-40</v>
      </c>
      <c r="K67" s="65">
        <f t="shared" si="16"/>
        <v>215</v>
      </c>
      <c r="L67" s="65">
        <v>0</v>
      </c>
      <c r="M67" s="66" t="s">
        <v>427</v>
      </c>
      <c r="N67" s="75">
        <f t="shared" ref="N67:N114" si="19">LEN(K67)</f>
        <v>3</v>
      </c>
      <c r="O67" s="74"/>
      <c r="P67" s="66" t="s">
        <v>684</v>
      </c>
      <c r="Q67" s="77"/>
      <c r="R67" s="74" t="s">
        <v>685</v>
      </c>
      <c r="S67" s="59" t="s">
        <v>218</v>
      </c>
      <c r="T67" s="59"/>
      <c r="U67" s="59" t="s">
        <v>218</v>
      </c>
      <c r="V67" s="77"/>
      <c r="W67" s="77"/>
      <c r="X67" s="115"/>
      <c r="Y67" s="77"/>
      <c r="Z67" s="77"/>
      <c r="AA67" s="77"/>
    </row>
    <row r="68" s="19" customFormat="1" ht="25.5" outlineLevel="1" spans="1:27">
      <c r="A68" s="77"/>
      <c r="B68" s="77"/>
      <c r="C68" s="74" t="s">
        <v>686</v>
      </c>
      <c r="D68" s="74" t="s">
        <v>687</v>
      </c>
      <c r="E68" s="63">
        <f t="shared" si="13"/>
        <v>175</v>
      </c>
      <c r="F68" s="64">
        <f t="shared" si="18"/>
        <v>1392</v>
      </c>
      <c r="G68" s="65">
        <v>8</v>
      </c>
      <c r="H68" s="65">
        <v>1</v>
      </c>
      <c r="I68" s="65">
        <v>-40</v>
      </c>
      <c r="J68" s="65">
        <v>-40</v>
      </c>
      <c r="K68" s="65">
        <f t="shared" si="16"/>
        <v>215</v>
      </c>
      <c r="L68" s="65">
        <v>0</v>
      </c>
      <c r="M68" s="66" t="s">
        <v>427</v>
      </c>
      <c r="N68" s="75">
        <f t="shared" si="19"/>
        <v>3</v>
      </c>
      <c r="O68" s="74"/>
      <c r="P68" s="66"/>
      <c r="Q68" s="77"/>
      <c r="R68" s="74" t="s">
        <v>688</v>
      </c>
      <c r="S68" s="59" t="s">
        <v>218</v>
      </c>
      <c r="T68" s="59"/>
      <c r="U68" s="59" t="s">
        <v>218</v>
      </c>
      <c r="V68" s="77"/>
      <c r="W68" s="77"/>
      <c r="X68" s="115"/>
      <c r="Y68" s="77"/>
      <c r="Z68" s="77"/>
      <c r="AA68" s="77"/>
    </row>
    <row r="69" s="19" customFormat="1" ht="97.5" customHeight="1" outlineLevel="1" spans="1:27">
      <c r="A69" s="77"/>
      <c r="B69" s="77"/>
      <c r="C69" s="74" t="s">
        <v>689</v>
      </c>
      <c r="D69" s="74" t="s">
        <v>690</v>
      </c>
      <c r="E69" s="63" t="str">
        <f t="shared" si="13"/>
        <v>176-177</v>
      </c>
      <c r="F69" s="64">
        <f t="shared" si="18"/>
        <v>1400</v>
      </c>
      <c r="G69" s="65">
        <v>16</v>
      </c>
      <c r="H69" s="65">
        <v>1</v>
      </c>
      <c r="I69" s="65">
        <v>0</v>
      </c>
      <c r="J69" s="65">
        <v>0</v>
      </c>
      <c r="K69" s="65">
        <f t="shared" si="16"/>
        <v>65535</v>
      </c>
      <c r="L69" s="65">
        <v>0</v>
      </c>
      <c r="M69" s="66" t="s">
        <v>218</v>
      </c>
      <c r="N69" s="75">
        <f t="shared" si="19"/>
        <v>5</v>
      </c>
      <c r="O69" s="74" t="s">
        <v>691</v>
      </c>
      <c r="P69" s="66"/>
      <c r="Q69" s="77"/>
      <c r="R69" s="74" t="s">
        <v>692</v>
      </c>
      <c r="S69" s="59" t="s">
        <v>218</v>
      </c>
      <c r="T69" s="59" t="s">
        <v>693</v>
      </c>
      <c r="U69" s="59" t="s">
        <v>218</v>
      </c>
      <c r="V69" s="77"/>
      <c r="W69" s="77"/>
      <c r="X69" s="115"/>
      <c r="Y69" s="77"/>
      <c r="Z69" s="77"/>
      <c r="AA69" s="77"/>
    </row>
    <row r="70" s="19" customFormat="1" ht="371.5" customHeight="1" outlineLevel="1" spans="1:27">
      <c r="A70" s="77"/>
      <c r="B70" s="77"/>
      <c r="C70" s="74" t="s">
        <v>694</v>
      </c>
      <c r="D70" s="74" t="s">
        <v>695</v>
      </c>
      <c r="E70" s="63" t="str">
        <f t="shared" si="13"/>
        <v>178-179</v>
      </c>
      <c r="F70" s="64">
        <f t="shared" si="18"/>
        <v>1416</v>
      </c>
      <c r="G70" s="65">
        <v>16</v>
      </c>
      <c r="H70" s="65">
        <v>1</v>
      </c>
      <c r="I70" s="65">
        <v>0</v>
      </c>
      <c r="J70" s="65">
        <v>0</v>
      </c>
      <c r="K70" s="65">
        <f t="shared" si="16"/>
        <v>65535</v>
      </c>
      <c r="L70" s="65">
        <v>0</v>
      </c>
      <c r="M70" s="66" t="s">
        <v>218</v>
      </c>
      <c r="N70" s="75">
        <f t="shared" si="19"/>
        <v>5</v>
      </c>
      <c r="O70" s="116" t="s">
        <v>696</v>
      </c>
      <c r="P70" s="66" t="s">
        <v>697</v>
      </c>
      <c r="Q70" s="77"/>
      <c r="R70" s="74" t="s">
        <v>698</v>
      </c>
      <c r="S70" s="59" t="s">
        <v>218</v>
      </c>
      <c r="T70" s="59" t="s">
        <v>699</v>
      </c>
      <c r="U70" s="59" t="s">
        <v>218</v>
      </c>
      <c r="V70" s="77"/>
      <c r="W70" s="77"/>
      <c r="X70" s="115"/>
      <c r="Y70" s="77"/>
      <c r="Z70" s="77"/>
      <c r="AA70" s="77"/>
    </row>
    <row r="71" ht="25.5" outlineLevel="1" spans="1:27">
      <c r="A71" s="61"/>
      <c r="B71" s="61"/>
      <c r="C71" s="74" t="s">
        <v>700</v>
      </c>
      <c r="D71" s="74" t="s">
        <v>701</v>
      </c>
      <c r="E71" s="63" t="str">
        <f t="shared" si="13"/>
        <v>180-181</v>
      </c>
      <c r="F71" s="64">
        <f t="shared" si="18"/>
        <v>1432</v>
      </c>
      <c r="G71" s="65">
        <v>16</v>
      </c>
      <c r="H71" s="65">
        <v>1</v>
      </c>
      <c r="I71" s="65">
        <v>0</v>
      </c>
      <c r="J71" s="65">
        <v>0</v>
      </c>
      <c r="K71" s="65">
        <f t="shared" si="16"/>
        <v>65535</v>
      </c>
      <c r="L71" s="65">
        <v>0</v>
      </c>
      <c r="M71" s="66" t="s">
        <v>405</v>
      </c>
      <c r="N71" s="75">
        <f t="shared" si="19"/>
        <v>5</v>
      </c>
      <c r="O71" s="74"/>
      <c r="P71" s="66"/>
      <c r="Q71" s="61"/>
      <c r="R71" s="49" t="s">
        <v>702</v>
      </c>
      <c r="S71" s="59" t="s">
        <v>218</v>
      </c>
      <c r="T71" s="59" t="s">
        <v>703</v>
      </c>
      <c r="U71" s="60" t="s">
        <v>218</v>
      </c>
      <c r="V71" s="61"/>
      <c r="W71" s="61"/>
      <c r="X71" s="106"/>
      <c r="Y71" s="61"/>
      <c r="Z71" s="61"/>
      <c r="AA71" s="61"/>
    </row>
    <row r="72" ht="25.5" outlineLevel="1" spans="1:27">
      <c r="A72" s="61"/>
      <c r="B72" s="61"/>
      <c r="C72" s="74" t="s">
        <v>704</v>
      </c>
      <c r="D72" s="74" t="s">
        <v>705</v>
      </c>
      <c r="E72" s="63" t="str">
        <f t="shared" si="13"/>
        <v>182-183</v>
      </c>
      <c r="F72" s="64">
        <f t="shared" si="18"/>
        <v>1448</v>
      </c>
      <c r="G72" s="65">
        <v>16</v>
      </c>
      <c r="H72" s="65">
        <v>1</v>
      </c>
      <c r="I72" s="65">
        <v>0</v>
      </c>
      <c r="J72" s="65">
        <v>0</v>
      </c>
      <c r="K72" s="65">
        <f t="shared" si="16"/>
        <v>65535</v>
      </c>
      <c r="L72" s="65">
        <v>0</v>
      </c>
      <c r="M72" s="66" t="s">
        <v>405</v>
      </c>
      <c r="N72" s="75">
        <f t="shared" si="19"/>
        <v>5</v>
      </c>
      <c r="O72" s="74"/>
      <c r="P72" s="66"/>
      <c r="Q72" s="61"/>
      <c r="R72" s="49" t="s">
        <v>706</v>
      </c>
      <c r="S72" s="59" t="s">
        <v>218</v>
      </c>
      <c r="T72" s="59" t="s">
        <v>707</v>
      </c>
      <c r="U72" s="60" t="s">
        <v>218</v>
      </c>
      <c r="V72" s="61"/>
      <c r="W72" s="61"/>
      <c r="X72" s="106"/>
      <c r="Y72" s="61"/>
      <c r="Z72" s="61"/>
      <c r="AA72" s="61"/>
    </row>
    <row r="73" ht="25.5" outlineLevel="1" spans="1:27">
      <c r="A73" s="61"/>
      <c r="B73" s="61"/>
      <c r="C73" s="74" t="s">
        <v>708</v>
      </c>
      <c r="D73" s="74" t="s">
        <v>709</v>
      </c>
      <c r="E73" s="63" t="str">
        <f t="shared" si="13"/>
        <v>184-185</v>
      </c>
      <c r="F73" s="64">
        <f t="shared" si="18"/>
        <v>1464</v>
      </c>
      <c r="G73" s="65">
        <v>16</v>
      </c>
      <c r="H73" s="65">
        <v>1</v>
      </c>
      <c r="I73" s="65">
        <v>0</v>
      </c>
      <c r="J73" s="65">
        <v>0</v>
      </c>
      <c r="K73" s="65">
        <f t="shared" si="16"/>
        <v>65535</v>
      </c>
      <c r="L73" s="65">
        <v>0</v>
      </c>
      <c r="M73" s="66" t="s">
        <v>405</v>
      </c>
      <c r="N73" s="75">
        <f t="shared" si="19"/>
        <v>5</v>
      </c>
      <c r="O73" s="74"/>
      <c r="P73" s="66"/>
      <c r="Q73" s="61"/>
      <c r="R73" s="49" t="s">
        <v>710</v>
      </c>
      <c r="S73" s="59" t="s">
        <v>218</v>
      </c>
      <c r="T73" s="59" t="s">
        <v>711</v>
      </c>
      <c r="U73" s="60" t="s">
        <v>218</v>
      </c>
      <c r="V73" s="61"/>
      <c r="W73" s="61"/>
      <c r="X73" s="106"/>
      <c r="Y73" s="61"/>
      <c r="Z73" s="61"/>
      <c r="AA73" s="61"/>
    </row>
    <row r="74" ht="63.75" outlineLevel="1" spans="1:27">
      <c r="A74" s="61"/>
      <c r="B74" s="61"/>
      <c r="C74" s="74" t="s">
        <v>712</v>
      </c>
      <c r="D74" s="74" t="s">
        <v>713</v>
      </c>
      <c r="E74" s="63" t="str">
        <f t="shared" ref="E74:E93" si="20">IF(INT((F74+G74-1)/8)+1=INT(F74/8)+1,INT(F74/8)+1,INT(F74/8)+1&amp;"-"&amp;INT((F74+G74-1)/8)+1)</f>
        <v>186-187</v>
      </c>
      <c r="F74" s="64">
        <f t="shared" si="18"/>
        <v>1480</v>
      </c>
      <c r="G74" s="65">
        <v>16</v>
      </c>
      <c r="H74" s="65">
        <v>1</v>
      </c>
      <c r="I74" s="65">
        <v>0</v>
      </c>
      <c r="J74" s="65">
        <v>0</v>
      </c>
      <c r="K74" s="65">
        <f t="shared" ref="K74:K83" si="21">(POWER(2,G74)-1)*H74+I74</f>
        <v>65535</v>
      </c>
      <c r="L74" s="65">
        <v>0</v>
      </c>
      <c r="M74" s="66" t="s">
        <v>218</v>
      </c>
      <c r="N74" s="75">
        <f t="shared" si="19"/>
        <v>5</v>
      </c>
      <c r="O74" s="107" t="s">
        <v>714</v>
      </c>
      <c r="P74" s="66" t="s">
        <v>715</v>
      </c>
      <c r="Q74" s="77"/>
      <c r="R74" s="74" t="s">
        <v>716</v>
      </c>
      <c r="S74" s="59" t="s">
        <v>218</v>
      </c>
      <c r="T74" s="59" t="s">
        <v>717</v>
      </c>
      <c r="U74" s="60" t="s">
        <v>218</v>
      </c>
      <c r="V74" s="61"/>
      <c r="W74" s="61"/>
      <c r="X74" s="106"/>
      <c r="Y74" s="61"/>
      <c r="Z74" s="61"/>
      <c r="AA74" s="61"/>
    </row>
    <row r="75" ht="25.5" outlineLevel="1" spans="1:27">
      <c r="A75" s="61"/>
      <c r="B75" s="61"/>
      <c r="C75" s="74" t="s">
        <v>718</v>
      </c>
      <c r="D75" s="74" t="s">
        <v>719</v>
      </c>
      <c r="E75" s="63" t="str">
        <f t="shared" si="20"/>
        <v>188-189</v>
      </c>
      <c r="F75" s="64">
        <f t="shared" si="18"/>
        <v>1496</v>
      </c>
      <c r="G75" s="65">
        <v>16</v>
      </c>
      <c r="H75" s="65">
        <v>0.1</v>
      </c>
      <c r="I75" s="65">
        <v>0</v>
      </c>
      <c r="J75" s="65">
        <v>0</v>
      </c>
      <c r="K75" s="65">
        <f t="shared" si="21"/>
        <v>6553.5</v>
      </c>
      <c r="L75" s="65">
        <v>0</v>
      </c>
      <c r="M75" s="66" t="s">
        <v>519</v>
      </c>
      <c r="N75" s="75">
        <f t="shared" si="19"/>
        <v>6</v>
      </c>
      <c r="O75" s="74"/>
      <c r="P75" s="66" t="s">
        <v>720</v>
      </c>
      <c r="Q75" s="77"/>
      <c r="R75" s="74" t="s">
        <v>721</v>
      </c>
      <c r="S75" s="59" t="s">
        <v>218</v>
      </c>
      <c r="T75" s="59" t="s">
        <v>722</v>
      </c>
      <c r="U75" s="60" t="s">
        <v>218</v>
      </c>
      <c r="V75" s="61"/>
      <c r="W75" s="61"/>
      <c r="X75" s="106"/>
      <c r="Y75" s="61"/>
      <c r="Z75" s="61"/>
      <c r="AA75" s="61"/>
    </row>
    <row r="76" ht="25.5" outlineLevel="1" spans="1:27">
      <c r="A76" s="61"/>
      <c r="B76" s="61"/>
      <c r="C76" s="74" t="s">
        <v>723</v>
      </c>
      <c r="D76" s="74" t="s">
        <v>724</v>
      </c>
      <c r="E76" s="63" t="str">
        <f t="shared" si="20"/>
        <v>190-191</v>
      </c>
      <c r="F76" s="64">
        <f t="shared" si="18"/>
        <v>1512</v>
      </c>
      <c r="G76" s="65">
        <v>16</v>
      </c>
      <c r="H76" s="65">
        <v>0.1</v>
      </c>
      <c r="I76" s="65">
        <v>0</v>
      </c>
      <c r="J76" s="65">
        <v>0</v>
      </c>
      <c r="K76" s="65">
        <f t="shared" si="21"/>
        <v>6553.5</v>
      </c>
      <c r="L76" s="65">
        <v>0</v>
      </c>
      <c r="M76" s="66" t="s">
        <v>519</v>
      </c>
      <c r="N76" s="75">
        <f t="shared" si="19"/>
        <v>6</v>
      </c>
      <c r="O76" s="76"/>
      <c r="P76" s="66" t="s">
        <v>725</v>
      </c>
      <c r="Q76" s="77"/>
      <c r="R76" s="74" t="s">
        <v>726</v>
      </c>
      <c r="S76" s="59" t="s">
        <v>218</v>
      </c>
      <c r="T76" s="59" t="s">
        <v>727</v>
      </c>
      <c r="U76" s="60" t="s">
        <v>218</v>
      </c>
      <c r="V76" s="61"/>
      <c r="W76" s="61"/>
      <c r="X76" s="106"/>
      <c r="Y76" s="61"/>
      <c r="Z76" s="61"/>
      <c r="AA76" s="61"/>
    </row>
    <row r="77" s="19" customFormat="1" ht="25.5" outlineLevel="1" spans="1:27">
      <c r="A77" s="77"/>
      <c r="B77" s="77"/>
      <c r="C77" s="74" t="s">
        <v>728</v>
      </c>
      <c r="D77" s="74" t="s">
        <v>729</v>
      </c>
      <c r="E77" s="63" t="str">
        <f t="shared" si="20"/>
        <v>192-193</v>
      </c>
      <c r="F77" s="64">
        <f t="shared" si="18"/>
        <v>1528</v>
      </c>
      <c r="G77" s="65">
        <v>16</v>
      </c>
      <c r="H77" s="65">
        <v>0.1</v>
      </c>
      <c r="I77" s="65">
        <v>-40</v>
      </c>
      <c r="J77" s="65">
        <v>-40</v>
      </c>
      <c r="K77" s="65">
        <f t="shared" si="21"/>
        <v>6513.5</v>
      </c>
      <c r="L77" s="65">
        <v>0</v>
      </c>
      <c r="M77" s="66" t="s">
        <v>427</v>
      </c>
      <c r="N77" s="75">
        <f t="shared" si="19"/>
        <v>6</v>
      </c>
      <c r="O77" s="74"/>
      <c r="P77" s="66" t="s">
        <v>730</v>
      </c>
      <c r="Q77" s="77"/>
      <c r="R77" s="74" t="s">
        <v>731</v>
      </c>
      <c r="S77" s="59" t="s">
        <v>218</v>
      </c>
      <c r="T77" s="59" t="s">
        <v>218</v>
      </c>
      <c r="U77" s="59" t="s">
        <v>218</v>
      </c>
      <c r="V77" s="77"/>
      <c r="W77" s="77"/>
      <c r="X77" s="115"/>
      <c r="Y77" s="77"/>
      <c r="Z77" s="77"/>
      <c r="AA77" s="77"/>
    </row>
    <row r="78" s="19" customFormat="1" ht="25.5" outlineLevel="1" spans="1:27">
      <c r="A78" s="77"/>
      <c r="B78" s="77"/>
      <c r="C78" s="74" t="s">
        <v>732</v>
      </c>
      <c r="D78" s="74" t="s">
        <v>733</v>
      </c>
      <c r="E78" s="63" t="str">
        <f t="shared" ref="E78" si="22">IF(INT((F78+G78-1)/8)+1=INT(F78/8)+1,INT(F78/8)+1,INT(F78/8)+1&amp;"-"&amp;INT((F78+G78-1)/8)+1)</f>
        <v>194-195</v>
      </c>
      <c r="F78" s="64">
        <f t="shared" ref="F78" si="23">F77+G77</f>
        <v>1544</v>
      </c>
      <c r="G78" s="65">
        <v>16</v>
      </c>
      <c r="H78" s="65">
        <v>1</v>
      </c>
      <c r="I78" s="65">
        <v>0</v>
      </c>
      <c r="J78" s="65">
        <v>0</v>
      </c>
      <c r="K78" s="65">
        <f t="shared" si="21"/>
        <v>65535</v>
      </c>
      <c r="L78" s="65">
        <v>0</v>
      </c>
      <c r="M78" s="66" t="s">
        <v>455</v>
      </c>
      <c r="N78" s="75">
        <f t="shared" si="19"/>
        <v>5</v>
      </c>
      <c r="O78" s="74"/>
      <c r="P78" s="66" t="s">
        <v>734</v>
      </c>
      <c r="Q78" s="77"/>
      <c r="R78" s="74" t="s">
        <v>735</v>
      </c>
      <c r="S78" s="59" t="s">
        <v>218</v>
      </c>
      <c r="T78" s="59"/>
      <c r="U78" s="59" t="s">
        <v>218</v>
      </c>
      <c r="V78" s="77"/>
      <c r="W78" s="77"/>
      <c r="X78" s="115"/>
      <c r="Y78" s="77"/>
      <c r="Z78" s="77"/>
      <c r="AA78" s="77"/>
    </row>
    <row r="79" s="19" customFormat="1" ht="25.5" outlineLevel="1" spans="1:27">
      <c r="A79" s="77"/>
      <c r="B79" s="77"/>
      <c r="C79" s="69" t="s">
        <v>736</v>
      </c>
      <c r="D79" s="69" t="s">
        <v>737</v>
      </c>
      <c r="E79" s="117" t="str">
        <f t="shared" si="20"/>
        <v>196-197</v>
      </c>
      <c r="F79" s="118">
        <f t="shared" si="18"/>
        <v>1560</v>
      </c>
      <c r="G79" s="68">
        <v>16</v>
      </c>
      <c r="H79" s="65">
        <v>0.01</v>
      </c>
      <c r="I79" s="65">
        <v>0</v>
      </c>
      <c r="J79" s="65">
        <v>0</v>
      </c>
      <c r="K79" s="65">
        <f t="shared" si="21"/>
        <v>655.35</v>
      </c>
      <c r="L79" s="65">
        <v>0</v>
      </c>
      <c r="M79" s="66" t="s">
        <v>506</v>
      </c>
      <c r="N79" s="75">
        <f t="shared" si="19"/>
        <v>6</v>
      </c>
      <c r="O79" s="74"/>
      <c r="P79" s="66"/>
      <c r="Q79" s="77"/>
      <c r="R79" s="74" t="s">
        <v>738</v>
      </c>
      <c r="S79" s="59" t="s">
        <v>218</v>
      </c>
      <c r="T79" s="59" t="s">
        <v>218</v>
      </c>
      <c r="U79" s="59" t="s">
        <v>218</v>
      </c>
      <c r="V79" s="77"/>
      <c r="W79" s="77"/>
      <c r="X79" s="115"/>
      <c r="Y79" s="77"/>
      <c r="Z79" s="77"/>
      <c r="AA79" s="77"/>
    </row>
    <row r="80" s="19" customFormat="1" ht="32" customHeight="1" outlineLevel="1" spans="1:27">
      <c r="A80" s="77"/>
      <c r="B80" s="77"/>
      <c r="C80" s="69" t="s">
        <v>739</v>
      </c>
      <c r="D80" s="69" t="s">
        <v>740</v>
      </c>
      <c r="E80" s="117" t="str">
        <f t="shared" si="20"/>
        <v>198-199</v>
      </c>
      <c r="F80" s="118">
        <f t="shared" si="18"/>
        <v>1576</v>
      </c>
      <c r="G80" s="68">
        <v>16</v>
      </c>
      <c r="H80" s="65">
        <v>0.1</v>
      </c>
      <c r="I80" s="65">
        <v>0</v>
      </c>
      <c r="J80" s="65">
        <v>0</v>
      </c>
      <c r="K80" s="65">
        <f t="shared" si="21"/>
        <v>6553.5</v>
      </c>
      <c r="L80" s="65">
        <v>0</v>
      </c>
      <c r="M80" s="119" t="s">
        <v>652</v>
      </c>
      <c r="N80" s="75">
        <f t="shared" si="19"/>
        <v>6</v>
      </c>
      <c r="O80" s="120"/>
      <c r="P80" s="66" t="s">
        <v>741</v>
      </c>
      <c r="Q80" s="59" t="s">
        <v>742</v>
      </c>
      <c r="R80" s="121" t="s">
        <v>743</v>
      </c>
      <c r="S80" s="59" t="s">
        <v>218</v>
      </c>
      <c r="T80" s="59" t="s">
        <v>218</v>
      </c>
      <c r="U80" s="59" t="s">
        <v>218</v>
      </c>
      <c r="V80" s="77"/>
      <c r="W80" s="77"/>
      <c r="X80" s="122"/>
      <c r="Y80" s="77"/>
      <c r="Z80" s="77"/>
      <c r="AA80" s="77"/>
    </row>
    <row r="81" s="19" customFormat="1" ht="32" customHeight="1" outlineLevel="1" spans="1:27">
      <c r="A81" s="77"/>
      <c r="B81" s="77"/>
      <c r="C81" s="69" t="s">
        <v>744</v>
      </c>
      <c r="D81" s="69" t="s">
        <v>745</v>
      </c>
      <c r="E81" s="117" t="str">
        <f t="shared" si="20"/>
        <v>200-201</v>
      </c>
      <c r="F81" s="118">
        <f t="shared" si="18"/>
        <v>1592</v>
      </c>
      <c r="G81" s="68">
        <v>16</v>
      </c>
      <c r="H81" s="65">
        <v>0.1</v>
      </c>
      <c r="I81" s="65">
        <v>0</v>
      </c>
      <c r="J81" s="65">
        <v>0</v>
      </c>
      <c r="K81" s="65">
        <f t="shared" si="21"/>
        <v>6553.5</v>
      </c>
      <c r="L81" s="65">
        <v>0</v>
      </c>
      <c r="M81" s="119" t="s">
        <v>652</v>
      </c>
      <c r="N81" s="75">
        <f t="shared" si="19"/>
        <v>6</v>
      </c>
      <c r="O81" s="120"/>
      <c r="P81" s="123"/>
      <c r="Q81" s="59" t="s">
        <v>746</v>
      </c>
      <c r="R81" s="121" t="s">
        <v>743</v>
      </c>
      <c r="S81" s="59" t="s">
        <v>218</v>
      </c>
      <c r="T81" s="59" t="s">
        <v>218</v>
      </c>
      <c r="U81" s="59" t="s">
        <v>218</v>
      </c>
      <c r="V81" s="77"/>
      <c r="W81" s="77"/>
      <c r="X81" s="122"/>
      <c r="Y81" s="77"/>
      <c r="Z81" s="77"/>
      <c r="AA81" s="77"/>
    </row>
    <row r="82" s="19" customFormat="1" ht="25.5" outlineLevel="1" spans="1:27">
      <c r="A82" s="77"/>
      <c r="B82" s="77"/>
      <c r="C82" s="69" t="s">
        <v>747</v>
      </c>
      <c r="D82" s="69" t="s">
        <v>748</v>
      </c>
      <c r="E82" s="117" t="str">
        <f t="shared" si="20"/>
        <v>202-203</v>
      </c>
      <c r="F82" s="118">
        <f t="shared" si="18"/>
        <v>1608</v>
      </c>
      <c r="G82" s="68">
        <v>16</v>
      </c>
      <c r="H82" s="65">
        <v>0.01</v>
      </c>
      <c r="I82" s="65">
        <v>0</v>
      </c>
      <c r="J82" s="65">
        <v>0</v>
      </c>
      <c r="K82" s="65">
        <f t="shared" si="21"/>
        <v>655.35</v>
      </c>
      <c r="L82" s="65">
        <v>0</v>
      </c>
      <c r="M82" s="66" t="s">
        <v>506</v>
      </c>
      <c r="N82" s="75">
        <f t="shared" si="19"/>
        <v>6</v>
      </c>
      <c r="O82" s="74"/>
      <c r="P82" s="66"/>
      <c r="Q82" s="77"/>
      <c r="R82" s="74" t="s">
        <v>749</v>
      </c>
      <c r="S82" s="59" t="s">
        <v>218</v>
      </c>
      <c r="T82" s="59" t="s">
        <v>218</v>
      </c>
      <c r="U82" s="59" t="s">
        <v>218</v>
      </c>
      <c r="V82" s="77"/>
      <c r="W82" s="77"/>
      <c r="X82" s="115"/>
      <c r="Y82" s="77"/>
      <c r="Z82" s="77"/>
      <c r="AA82" s="77"/>
    </row>
    <row r="83" s="19" customFormat="1" ht="25.5" outlineLevel="1" spans="1:27">
      <c r="A83" s="77"/>
      <c r="B83" s="77"/>
      <c r="C83" s="69" t="s">
        <v>750</v>
      </c>
      <c r="D83" s="69" t="s">
        <v>751</v>
      </c>
      <c r="E83" s="117" t="str">
        <f t="shared" si="20"/>
        <v>204-205</v>
      </c>
      <c r="F83" s="118">
        <f t="shared" si="18"/>
        <v>1624</v>
      </c>
      <c r="G83" s="68">
        <v>16</v>
      </c>
      <c r="H83" s="65">
        <v>0.01</v>
      </c>
      <c r="I83" s="65">
        <v>0</v>
      </c>
      <c r="J83" s="65">
        <v>0</v>
      </c>
      <c r="K83" s="65">
        <f t="shared" si="21"/>
        <v>655.35</v>
      </c>
      <c r="L83" s="65">
        <v>0</v>
      </c>
      <c r="M83" s="66" t="s">
        <v>506</v>
      </c>
      <c r="N83" s="75">
        <f t="shared" si="19"/>
        <v>6</v>
      </c>
      <c r="O83" s="74"/>
      <c r="P83" s="66"/>
      <c r="Q83" s="77"/>
      <c r="R83" s="74" t="s">
        <v>752</v>
      </c>
      <c r="S83" s="59" t="s">
        <v>218</v>
      </c>
      <c r="T83" s="59" t="s">
        <v>218</v>
      </c>
      <c r="U83" s="59" t="s">
        <v>218</v>
      </c>
      <c r="V83" s="77"/>
      <c r="W83" s="77"/>
      <c r="X83" s="115"/>
      <c r="Y83" s="77"/>
      <c r="Z83" s="77"/>
      <c r="AA83" s="77"/>
    </row>
    <row r="84" s="19" customFormat="1" ht="25.5" outlineLevel="1" spans="1:27">
      <c r="A84" s="77"/>
      <c r="B84" s="77"/>
      <c r="C84" s="124" t="s">
        <v>753</v>
      </c>
      <c r="D84" s="125" t="s">
        <v>754</v>
      </c>
      <c r="E84" s="117" t="str">
        <f t="shared" si="20"/>
        <v>206-209</v>
      </c>
      <c r="F84" s="118">
        <f t="shared" si="18"/>
        <v>1640</v>
      </c>
      <c r="G84" s="117">
        <v>32</v>
      </c>
      <c r="H84" s="103">
        <v>0.01</v>
      </c>
      <c r="I84" s="103">
        <v>0</v>
      </c>
      <c r="J84" s="103">
        <v>0</v>
      </c>
      <c r="K84" s="103">
        <v>100</v>
      </c>
      <c r="L84" s="103">
        <v>0</v>
      </c>
      <c r="M84" s="103" t="s">
        <v>506</v>
      </c>
      <c r="N84" s="75">
        <f t="shared" si="19"/>
        <v>3</v>
      </c>
      <c r="O84" s="101"/>
      <c r="P84" s="103"/>
      <c r="Q84" s="105"/>
      <c r="R84" s="101" t="s">
        <v>755</v>
      </c>
      <c r="S84" s="59" t="s">
        <v>218</v>
      </c>
      <c r="T84" s="59" t="s">
        <v>218</v>
      </c>
      <c r="U84" s="59" t="s">
        <v>218</v>
      </c>
      <c r="V84" s="77"/>
      <c r="W84" s="77"/>
      <c r="X84" s="115"/>
      <c r="Y84" s="77"/>
      <c r="Z84" s="77"/>
      <c r="AA84" s="77"/>
    </row>
    <row r="85" s="19" customFormat="1" ht="25.5" outlineLevel="1" spans="1:27">
      <c r="A85" s="77"/>
      <c r="B85" s="77"/>
      <c r="C85" s="124" t="s">
        <v>756</v>
      </c>
      <c r="D85" s="125" t="s">
        <v>757</v>
      </c>
      <c r="E85" s="117" t="str">
        <f t="shared" si="20"/>
        <v>210-213</v>
      </c>
      <c r="F85" s="118">
        <f t="shared" si="18"/>
        <v>1672</v>
      </c>
      <c r="G85" s="117">
        <v>32</v>
      </c>
      <c r="H85" s="117">
        <v>0.0625</v>
      </c>
      <c r="I85" s="63">
        <v>0</v>
      </c>
      <c r="J85" s="63">
        <v>0</v>
      </c>
      <c r="K85" s="63">
        <f>(POWER(2,G85)-1)*H85+I85</f>
        <v>268435455.9375</v>
      </c>
      <c r="L85" s="63">
        <v>0</v>
      </c>
      <c r="M85" s="63" t="s">
        <v>652</v>
      </c>
      <c r="N85" s="75">
        <f t="shared" si="19"/>
        <v>14</v>
      </c>
      <c r="O85" s="77"/>
      <c r="P85" s="66" t="s">
        <v>758</v>
      </c>
      <c r="Q85" s="74" t="s">
        <v>759</v>
      </c>
      <c r="R85" s="59" t="s">
        <v>760</v>
      </c>
      <c r="S85" s="59" t="s">
        <v>218</v>
      </c>
      <c r="T85" s="59" t="s">
        <v>218</v>
      </c>
      <c r="U85" s="59" t="s">
        <v>218</v>
      </c>
      <c r="V85" s="77"/>
      <c r="W85" s="77"/>
      <c r="X85" s="115"/>
      <c r="Y85" s="77"/>
      <c r="Z85" s="77"/>
      <c r="AA85" s="77"/>
    </row>
    <row r="86" s="19" customFormat="1" ht="25.5" outlineLevel="1" spans="1:27">
      <c r="A86" s="77"/>
      <c r="B86" s="77"/>
      <c r="C86" s="124" t="s">
        <v>761</v>
      </c>
      <c r="D86" s="125" t="s">
        <v>762</v>
      </c>
      <c r="E86" s="117" t="str">
        <f t="shared" si="20"/>
        <v>214-217</v>
      </c>
      <c r="F86" s="118">
        <f t="shared" si="18"/>
        <v>1704</v>
      </c>
      <c r="G86" s="117">
        <v>32</v>
      </c>
      <c r="H86" s="117">
        <v>0.0625</v>
      </c>
      <c r="I86" s="63">
        <v>0</v>
      </c>
      <c r="J86" s="63">
        <v>0</v>
      </c>
      <c r="K86" s="63">
        <f>(POWER(2,G86)-1)*H86+I86</f>
        <v>268435455.9375</v>
      </c>
      <c r="L86" s="63">
        <v>0</v>
      </c>
      <c r="M86" s="63" t="s">
        <v>519</v>
      </c>
      <c r="N86" s="75">
        <f t="shared" si="19"/>
        <v>14</v>
      </c>
      <c r="O86" s="77"/>
      <c r="P86" s="66" t="s">
        <v>763</v>
      </c>
      <c r="Q86" s="74" t="s">
        <v>764</v>
      </c>
      <c r="R86" s="59" t="s">
        <v>765</v>
      </c>
      <c r="S86" s="59" t="s">
        <v>218</v>
      </c>
      <c r="T86" s="59" t="s">
        <v>218</v>
      </c>
      <c r="U86" s="59" t="s">
        <v>218</v>
      </c>
      <c r="V86" s="77"/>
      <c r="W86" s="77"/>
      <c r="X86" s="115"/>
      <c r="Y86" s="77"/>
      <c r="Z86" s="77"/>
      <c r="AA86" s="77"/>
    </row>
    <row r="87" s="19" customFormat="1" ht="25.5" outlineLevel="1" spans="1:27">
      <c r="A87" s="77"/>
      <c r="B87" s="77"/>
      <c r="C87" s="124" t="s">
        <v>766</v>
      </c>
      <c r="D87" s="125" t="s">
        <v>767</v>
      </c>
      <c r="E87" s="117" t="str">
        <f t="shared" si="20"/>
        <v>218-221</v>
      </c>
      <c r="F87" s="118">
        <f t="shared" si="18"/>
        <v>1736</v>
      </c>
      <c r="G87" s="117">
        <v>32</v>
      </c>
      <c r="H87" s="117">
        <v>0.0625</v>
      </c>
      <c r="I87" s="63">
        <v>0</v>
      </c>
      <c r="J87" s="63">
        <v>0</v>
      </c>
      <c r="K87" s="63">
        <f>(POWER(2,G87)-1)*H87+I87</f>
        <v>268435455.9375</v>
      </c>
      <c r="L87" s="63">
        <v>0</v>
      </c>
      <c r="M87" s="63" t="s">
        <v>652</v>
      </c>
      <c r="N87" s="75">
        <f t="shared" si="19"/>
        <v>14</v>
      </c>
      <c r="O87" s="77"/>
      <c r="P87" s="66" t="s">
        <v>768</v>
      </c>
      <c r="Q87" s="74" t="s">
        <v>759</v>
      </c>
      <c r="R87" s="59" t="s">
        <v>769</v>
      </c>
      <c r="S87" s="59" t="s">
        <v>218</v>
      </c>
      <c r="T87" s="59" t="s">
        <v>218</v>
      </c>
      <c r="U87" s="59" t="s">
        <v>218</v>
      </c>
      <c r="V87" s="77"/>
      <c r="W87" s="77"/>
      <c r="X87" s="115"/>
      <c r="Y87" s="77"/>
      <c r="Z87" s="77"/>
      <c r="AA87" s="77"/>
    </row>
    <row r="88" s="19" customFormat="1" ht="25.5" outlineLevel="1" spans="1:27">
      <c r="A88" s="77"/>
      <c r="B88" s="77"/>
      <c r="C88" s="124" t="s">
        <v>770</v>
      </c>
      <c r="D88" s="125" t="s">
        <v>771</v>
      </c>
      <c r="E88" s="117" t="str">
        <f t="shared" si="20"/>
        <v>222-225</v>
      </c>
      <c r="F88" s="118">
        <f t="shared" si="18"/>
        <v>1768</v>
      </c>
      <c r="G88" s="117">
        <v>32</v>
      </c>
      <c r="H88" s="117">
        <v>0.0625</v>
      </c>
      <c r="I88" s="63">
        <v>0</v>
      </c>
      <c r="J88" s="63">
        <v>0</v>
      </c>
      <c r="K88" s="63">
        <f>(POWER(2,G88)-1)*H88+I88</f>
        <v>268435455.9375</v>
      </c>
      <c r="L88" s="63">
        <v>0</v>
      </c>
      <c r="M88" s="63" t="s">
        <v>519</v>
      </c>
      <c r="N88" s="75">
        <f t="shared" si="19"/>
        <v>14</v>
      </c>
      <c r="O88" s="77"/>
      <c r="P88" s="66" t="s">
        <v>772</v>
      </c>
      <c r="Q88" s="74" t="s">
        <v>764</v>
      </c>
      <c r="R88" s="59" t="s">
        <v>773</v>
      </c>
      <c r="S88" s="59" t="s">
        <v>218</v>
      </c>
      <c r="T88" s="59" t="s">
        <v>218</v>
      </c>
      <c r="U88" s="59" t="s">
        <v>218</v>
      </c>
      <c r="V88" s="77"/>
      <c r="W88" s="77"/>
      <c r="X88" s="115"/>
      <c r="Y88" s="77"/>
      <c r="Z88" s="77"/>
      <c r="AA88" s="77"/>
    </row>
    <row r="89" s="19" customFormat="1" ht="63.75" outlineLevel="1" spans="1:27">
      <c r="A89" s="74"/>
      <c r="B89" s="74"/>
      <c r="C89" s="69" t="s">
        <v>774</v>
      </c>
      <c r="D89" s="125" t="s">
        <v>775</v>
      </c>
      <c r="E89" s="117">
        <f t="shared" si="20"/>
        <v>226</v>
      </c>
      <c r="F89" s="118">
        <f t="shared" si="18"/>
        <v>1800</v>
      </c>
      <c r="G89" s="68">
        <v>8</v>
      </c>
      <c r="H89" s="68">
        <v>1</v>
      </c>
      <c r="I89" s="65">
        <v>0</v>
      </c>
      <c r="J89" s="65">
        <v>0</v>
      </c>
      <c r="K89" s="65">
        <f>(POWER(2,G89)-1)*H89+I89</f>
        <v>255</v>
      </c>
      <c r="L89" s="65">
        <v>0</v>
      </c>
      <c r="M89" s="66" t="s">
        <v>218</v>
      </c>
      <c r="N89" s="75">
        <f t="shared" si="19"/>
        <v>3</v>
      </c>
      <c r="O89" s="74" t="s">
        <v>776</v>
      </c>
      <c r="P89" s="66" t="s">
        <v>777</v>
      </c>
      <c r="Q89" s="74"/>
      <c r="R89" s="70" t="s">
        <v>778</v>
      </c>
      <c r="S89" s="59" t="s">
        <v>218</v>
      </c>
      <c r="T89" s="59" t="s">
        <v>779</v>
      </c>
      <c r="U89" s="59" t="s">
        <v>218</v>
      </c>
      <c r="V89" s="77"/>
      <c r="W89" s="77"/>
      <c r="X89" s="122"/>
      <c r="Y89" s="77"/>
      <c r="Z89" s="77"/>
      <c r="AA89" s="77"/>
    </row>
    <row r="90" s="19" customFormat="1" ht="34.25" customHeight="1" outlineLevel="1" spans="1:27">
      <c r="A90" s="77"/>
      <c r="B90" s="77"/>
      <c r="C90" s="124" t="s">
        <v>780</v>
      </c>
      <c r="D90" s="125" t="s">
        <v>781</v>
      </c>
      <c r="E90" s="117" t="str">
        <f t="shared" si="20"/>
        <v>227-228</v>
      </c>
      <c r="F90" s="118">
        <f t="shared" si="18"/>
        <v>1808</v>
      </c>
      <c r="G90" s="117">
        <v>16</v>
      </c>
      <c r="H90" s="65">
        <v>0.1</v>
      </c>
      <c r="I90" s="63">
        <v>-40</v>
      </c>
      <c r="J90" s="63">
        <v>-40</v>
      </c>
      <c r="K90" s="75">
        <v>125.1</v>
      </c>
      <c r="L90" s="126">
        <v>0</v>
      </c>
      <c r="M90" s="66" t="s">
        <v>427</v>
      </c>
      <c r="N90" s="75">
        <f t="shared" si="19"/>
        <v>5</v>
      </c>
      <c r="O90" s="77"/>
      <c r="P90" s="127"/>
      <c r="Q90" s="128" t="s">
        <v>782</v>
      </c>
      <c r="R90" s="129" t="s">
        <v>783</v>
      </c>
      <c r="S90" s="59" t="s">
        <v>218</v>
      </c>
      <c r="T90" s="59" t="s">
        <v>218</v>
      </c>
      <c r="U90" s="59" t="s">
        <v>218</v>
      </c>
      <c r="V90" s="77"/>
      <c r="W90" s="77"/>
      <c r="X90" s="122"/>
      <c r="Y90" s="77"/>
      <c r="Z90" s="77"/>
      <c r="AA90" s="77"/>
    </row>
    <row r="91" s="19" customFormat="1" ht="34.25" customHeight="1" outlineLevel="1" spans="1:27">
      <c r="A91" s="77"/>
      <c r="B91" s="77"/>
      <c r="C91" s="124" t="s">
        <v>784</v>
      </c>
      <c r="D91" s="125" t="s">
        <v>785</v>
      </c>
      <c r="E91" s="117" t="str">
        <f t="shared" si="20"/>
        <v>229-230</v>
      </c>
      <c r="F91" s="118">
        <f t="shared" si="18"/>
        <v>1824</v>
      </c>
      <c r="G91" s="117">
        <v>16</v>
      </c>
      <c r="H91" s="65">
        <v>0.1</v>
      </c>
      <c r="I91" s="63">
        <v>-40</v>
      </c>
      <c r="J91" s="63">
        <v>-40</v>
      </c>
      <c r="K91" s="75">
        <v>125.1</v>
      </c>
      <c r="L91" s="126">
        <v>0</v>
      </c>
      <c r="M91" s="66" t="s">
        <v>427</v>
      </c>
      <c r="N91" s="75">
        <f t="shared" si="19"/>
        <v>5</v>
      </c>
      <c r="O91" s="77"/>
      <c r="P91" s="127"/>
      <c r="Q91" s="128" t="s">
        <v>782</v>
      </c>
      <c r="R91" s="129" t="s">
        <v>786</v>
      </c>
      <c r="S91" s="59" t="s">
        <v>218</v>
      </c>
      <c r="T91" s="59" t="s">
        <v>218</v>
      </c>
      <c r="U91" s="59" t="s">
        <v>218</v>
      </c>
      <c r="V91" s="77"/>
      <c r="W91" s="77"/>
      <c r="X91" s="122"/>
      <c r="Y91" s="77"/>
      <c r="Z91" s="77"/>
      <c r="AA91" s="77"/>
    </row>
    <row r="92" s="19" customFormat="1" ht="38.5" customHeight="1" outlineLevel="1" spans="1:27">
      <c r="A92" s="77"/>
      <c r="B92" s="77"/>
      <c r="C92" s="124" t="s">
        <v>787</v>
      </c>
      <c r="D92" s="125" t="s">
        <v>788</v>
      </c>
      <c r="E92" s="117">
        <f t="shared" si="20"/>
        <v>231</v>
      </c>
      <c r="F92" s="118">
        <f t="shared" si="18"/>
        <v>1840</v>
      </c>
      <c r="G92" s="117">
        <v>8</v>
      </c>
      <c r="H92" s="63">
        <v>1</v>
      </c>
      <c r="I92" s="63">
        <v>0</v>
      </c>
      <c r="J92" s="63">
        <v>0</v>
      </c>
      <c r="K92" s="65">
        <f t="shared" ref="K92:K95" si="24">(POWER(2,G92)-1)*H92+I92</f>
        <v>255</v>
      </c>
      <c r="L92" s="126">
        <v>0</v>
      </c>
      <c r="M92" s="130" t="s">
        <v>482</v>
      </c>
      <c r="N92" s="75">
        <f t="shared" si="19"/>
        <v>3</v>
      </c>
      <c r="O92" s="107" t="s">
        <v>789</v>
      </c>
      <c r="P92" s="127"/>
      <c r="Q92" s="128" t="s">
        <v>782</v>
      </c>
      <c r="R92" s="129" t="s">
        <v>790</v>
      </c>
      <c r="S92" s="59" t="s">
        <v>218</v>
      </c>
      <c r="T92" s="59" t="s">
        <v>218</v>
      </c>
      <c r="U92" s="59" t="s">
        <v>218</v>
      </c>
      <c r="V92" s="77"/>
      <c r="W92" s="77"/>
      <c r="X92" s="122"/>
      <c r="Y92" s="77"/>
      <c r="Z92" s="77"/>
      <c r="AA92" s="77"/>
    </row>
    <row r="93" s="19" customFormat="1" ht="39.5" customHeight="1" outlineLevel="1" spans="1:27">
      <c r="A93" s="77"/>
      <c r="B93" s="77"/>
      <c r="C93" s="124" t="s">
        <v>791</v>
      </c>
      <c r="D93" s="125" t="s">
        <v>792</v>
      </c>
      <c r="E93" s="117">
        <f t="shared" si="20"/>
        <v>232</v>
      </c>
      <c r="F93" s="118">
        <f t="shared" si="18"/>
        <v>1848</v>
      </c>
      <c r="G93" s="117">
        <v>8</v>
      </c>
      <c r="H93" s="63">
        <v>1</v>
      </c>
      <c r="I93" s="63">
        <v>0</v>
      </c>
      <c r="J93" s="63">
        <v>0</v>
      </c>
      <c r="K93" s="65">
        <f t="shared" si="24"/>
        <v>255</v>
      </c>
      <c r="L93" s="126">
        <v>0</v>
      </c>
      <c r="M93" s="130" t="s">
        <v>482</v>
      </c>
      <c r="N93" s="75">
        <f t="shared" si="19"/>
        <v>3</v>
      </c>
      <c r="O93" s="107" t="s">
        <v>789</v>
      </c>
      <c r="P93" s="127"/>
      <c r="Q93" s="128" t="s">
        <v>782</v>
      </c>
      <c r="R93" s="129" t="s">
        <v>793</v>
      </c>
      <c r="S93" s="59" t="s">
        <v>218</v>
      </c>
      <c r="T93" s="59" t="s">
        <v>218</v>
      </c>
      <c r="U93" s="59" t="s">
        <v>218</v>
      </c>
      <c r="V93" s="77"/>
      <c r="W93" s="77"/>
      <c r="X93" s="122"/>
      <c r="Y93" s="77"/>
      <c r="Z93" s="77"/>
      <c r="AA93" s="77"/>
    </row>
    <row r="94" s="19" customFormat="1" ht="25.5" outlineLevel="1" spans="1:27">
      <c r="A94" s="77"/>
      <c r="B94" s="77"/>
      <c r="C94" s="131" t="s">
        <v>794</v>
      </c>
      <c r="D94" s="132" t="s">
        <v>795</v>
      </c>
      <c r="E94" s="133" t="str">
        <f t="shared" ref="E94:E102" si="25">IF(INT((F94+G94-1)/8)+1=INT(F94/8)+1,INT(F94/8)+1,INT(F94/8)+1&amp;"-"&amp;INT((F94+G94-1)/8)+1)</f>
        <v>233-234</v>
      </c>
      <c r="F94" s="118">
        <f t="shared" si="18"/>
        <v>1856</v>
      </c>
      <c r="G94" s="117">
        <v>16</v>
      </c>
      <c r="H94" s="63">
        <v>0.125</v>
      </c>
      <c r="I94" s="63">
        <v>-2000</v>
      </c>
      <c r="J94" s="63">
        <v>-2000</v>
      </c>
      <c r="K94" s="65">
        <f t="shared" si="24"/>
        <v>6191.875</v>
      </c>
      <c r="L94" s="63">
        <v>0</v>
      </c>
      <c r="M94" s="63" t="s">
        <v>416</v>
      </c>
      <c r="N94" s="75">
        <f t="shared" si="19"/>
        <v>8</v>
      </c>
      <c r="O94" s="77"/>
      <c r="P94" s="66" t="s">
        <v>796</v>
      </c>
      <c r="Q94" s="128"/>
      <c r="R94" s="134" t="s">
        <v>797</v>
      </c>
      <c r="S94" s="59" t="s">
        <v>218</v>
      </c>
      <c r="T94" s="59" t="s">
        <v>798</v>
      </c>
      <c r="U94" s="59" t="s">
        <v>218</v>
      </c>
      <c r="V94" s="77"/>
      <c r="W94" s="77"/>
      <c r="X94" s="122"/>
      <c r="Y94" s="77"/>
      <c r="Z94" s="77"/>
      <c r="AA94" s="77"/>
    </row>
    <row r="95" s="19" customFormat="1" ht="26" customHeight="1" outlineLevel="1" spans="1:27">
      <c r="A95" s="74"/>
      <c r="B95" s="74"/>
      <c r="C95" s="74" t="s">
        <v>799</v>
      </c>
      <c r="D95" s="70" t="s">
        <v>800</v>
      </c>
      <c r="E95" s="63" t="str">
        <f t="shared" si="25"/>
        <v>235-236</v>
      </c>
      <c r="F95" s="64">
        <f t="shared" si="18"/>
        <v>1872</v>
      </c>
      <c r="G95" s="65">
        <v>16</v>
      </c>
      <c r="H95" s="65">
        <v>0.125</v>
      </c>
      <c r="I95" s="65">
        <v>-2000</v>
      </c>
      <c r="J95" s="65">
        <v>-2000</v>
      </c>
      <c r="K95" s="65">
        <f t="shared" si="24"/>
        <v>6191.875</v>
      </c>
      <c r="L95" s="65">
        <v>0</v>
      </c>
      <c r="M95" s="66" t="s">
        <v>416</v>
      </c>
      <c r="N95" s="75">
        <f t="shared" si="19"/>
        <v>8</v>
      </c>
      <c r="O95" s="24"/>
      <c r="P95" s="66" t="s">
        <v>801</v>
      </c>
      <c r="Q95" s="74"/>
      <c r="R95" s="70" t="s">
        <v>802</v>
      </c>
      <c r="S95" s="59" t="s">
        <v>218</v>
      </c>
      <c r="T95" s="59" t="s">
        <v>218</v>
      </c>
      <c r="U95" s="59" t="s">
        <v>218</v>
      </c>
      <c r="V95" s="77"/>
      <c r="W95" s="77"/>
      <c r="X95" s="77"/>
      <c r="Y95" s="77"/>
      <c r="Z95" s="77"/>
      <c r="AA95" s="77"/>
    </row>
    <row r="96" s="19" customFormat="1" ht="26" customHeight="1" outlineLevel="1" spans="1:27">
      <c r="A96" s="74"/>
      <c r="B96" s="74"/>
      <c r="C96" s="74" t="s">
        <v>803</v>
      </c>
      <c r="D96" s="70" t="s">
        <v>804</v>
      </c>
      <c r="E96" s="63" t="str">
        <f t="shared" ref="E96:E97" si="26">IF(INT((F96+G96-1)/8)+1=INT(F96/8)+1,INT(F96/8)+1,INT(F96/8)+1&amp;"-"&amp;INT((F96+G96-1)/8)+1)</f>
        <v>237-238</v>
      </c>
      <c r="F96" s="64">
        <f t="shared" si="18"/>
        <v>1888</v>
      </c>
      <c r="G96" s="65">
        <v>16</v>
      </c>
      <c r="H96" s="65">
        <v>0.125</v>
      </c>
      <c r="I96" s="65">
        <v>-2000</v>
      </c>
      <c r="J96" s="65">
        <v>-2000</v>
      </c>
      <c r="K96" s="65">
        <f t="shared" ref="K96:K99" si="27">(POWER(2,G96)-1)*H96+I96</f>
        <v>6191.875</v>
      </c>
      <c r="L96" s="65">
        <v>0</v>
      </c>
      <c r="M96" s="66" t="s">
        <v>416</v>
      </c>
      <c r="N96" s="75">
        <f t="shared" si="19"/>
        <v>8</v>
      </c>
      <c r="O96" s="24"/>
      <c r="P96" s="113" t="s">
        <v>805</v>
      </c>
      <c r="Q96" s="74"/>
      <c r="R96" s="70" t="s">
        <v>806</v>
      </c>
      <c r="S96" s="59" t="s">
        <v>218</v>
      </c>
      <c r="T96" s="59" t="s">
        <v>218</v>
      </c>
      <c r="U96" s="59" t="s">
        <v>218</v>
      </c>
      <c r="V96" s="77"/>
      <c r="W96" s="77"/>
      <c r="X96" s="77"/>
      <c r="Y96" s="77"/>
      <c r="Z96" s="77"/>
      <c r="AA96" s="77"/>
    </row>
    <row r="97" s="19" customFormat="1" ht="25.5" outlineLevel="1" spans="1:27">
      <c r="A97" s="77"/>
      <c r="B97" s="77"/>
      <c r="C97" s="74" t="s">
        <v>807</v>
      </c>
      <c r="D97" s="74" t="s">
        <v>808</v>
      </c>
      <c r="E97" s="63" t="str">
        <f t="shared" si="26"/>
        <v>239-240</v>
      </c>
      <c r="F97" s="64">
        <f t="shared" ref="F97:F98" si="28">F96+G96</f>
        <v>1904</v>
      </c>
      <c r="G97" s="65">
        <v>16</v>
      </c>
      <c r="H97" s="65">
        <v>0.1</v>
      </c>
      <c r="I97" s="65">
        <v>-40</v>
      </c>
      <c r="J97" s="65">
        <v>-40</v>
      </c>
      <c r="K97" s="65">
        <f t="shared" si="27"/>
        <v>6513.5</v>
      </c>
      <c r="L97" s="65">
        <v>0</v>
      </c>
      <c r="M97" s="66" t="s">
        <v>427</v>
      </c>
      <c r="N97" s="75">
        <f t="shared" ref="N97" si="29">LEN(K97)</f>
        <v>6</v>
      </c>
      <c r="O97" s="74"/>
      <c r="P97" s="66"/>
      <c r="Q97" s="77"/>
      <c r="R97" s="74" t="s">
        <v>809</v>
      </c>
      <c r="S97" s="59" t="s">
        <v>218</v>
      </c>
      <c r="T97" s="59" t="s">
        <v>218</v>
      </c>
      <c r="U97" s="59" t="s">
        <v>218</v>
      </c>
      <c r="V97" s="77"/>
      <c r="W97" s="77"/>
      <c r="X97" s="115"/>
      <c r="Y97" s="77"/>
      <c r="Z97" s="77"/>
      <c r="AA97" s="77"/>
    </row>
    <row r="98" s="19" customFormat="1" ht="25.5" outlineLevel="1" spans="1:27">
      <c r="A98" s="77"/>
      <c r="B98" s="77"/>
      <c r="C98" s="129" t="s">
        <v>810</v>
      </c>
      <c r="D98" s="135" t="s">
        <v>811</v>
      </c>
      <c r="E98" s="63">
        <f t="shared" ref="E98" si="30">IF(INT((F98+G98-1)/8)+1=INT(F98/8)+1,INT(F98/8)+1,INT(F98/8)+1&amp;"-"&amp;INT((F98+G98-1)/8)+1)</f>
        <v>241</v>
      </c>
      <c r="F98" s="64">
        <f t="shared" si="28"/>
        <v>1920</v>
      </c>
      <c r="G98" s="63">
        <v>8</v>
      </c>
      <c r="H98" s="63">
        <v>1</v>
      </c>
      <c r="I98" s="63">
        <v>-40</v>
      </c>
      <c r="J98" s="63">
        <v>-40</v>
      </c>
      <c r="K98" s="63">
        <f t="shared" si="27"/>
        <v>215</v>
      </c>
      <c r="L98" s="63">
        <v>0</v>
      </c>
      <c r="M98" s="66" t="s">
        <v>427</v>
      </c>
      <c r="N98" s="75">
        <f t="shared" si="19"/>
        <v>3</v>
      </c>
      <c r="O98" s="77"/>
      <c r="P98" s="127"/>
      <c r="Q98" s="128"/>
      <c r="R98" s="134" t="s">
        <v>812</v>
      </c>
      <c r="S98" s="59" t="s">
        <v>218</v>
      </c>
      <c r="T98" s="59" t="s">
        <v>813</v>
      </c>
      <c r="U98" s="59"/>
      <c r="V98" s="77"/>
      <c r="W98" s="77"/>
      <c r="X98" s="122"/>
      <c r="Y98" s="77"/>
      <c r="Z98" s="77"/>
      <c r="AA98" s="77"/>
    </row>
    <row r="99" ht="365" customHeight="1" outlineLevel="1" spans="1:27">
      <c r="A99" s="77"/>
      <c r="B99" s="77"/>
      <c r="C99" s="129" t="s">
        <v>814</v>
      </c>
      <c r="D99" s="136" t="s">
        <v>815</v>
      </c>
      <c r="E99" s="127">
        <f t="shared" si="25"/>
        <v>242</v>
      </c>
      <c r="F99" s="64">
        <f t="shared" si="18"/>
        <v>1928</v>
      </c>
      <c r="G99" s="63">
        <v>8</v>
      </c>
      <c r="H99" s="63">
        <v>1</v>
      </c>
      <c r="I99" s="63">
        <v>0</v>
      </c>
      <c r="J99" s="63">
        <v>0</v>
      </c>
      <c r="K99" s="63">
        <f t="shared" si="27"/>
        <v>255</v>
      </c>
      <c r="L99" s="63">
        <v>0</v>
      </c>
      <c r="M99" s="66" t="s">
        <v>218</v>
      </c>
      <c r="N99" s="55">
        <f t="shared" si="19"/>
        <v>3</v>
      </c>
      <c r="O99" s="107" t="s">
        <v>816</v>
      </c>
      <c r="P99" s="137"/>
      <c r="Q99" s="128"/>
      <c r="R99" s="134" t="s">
        <v>817</v>
      </c>
      <c r="S99" s="59" t="s">
        <v>218</v>
      </c>
      <c r="T99" s="59"/>
      <c r="U99" s="59" t="s">
        <v>218</v>
      </c>
      <c r="V99" s="61"/>
      <c r="W99" s="61"/>
      <c r="X99" s="138"/>
      <c r="Y99" s="61"/>
      <c r="Z99" s="61"/>
      <c r="AA99" s="61"/>
    </row>
    <row r="100" ht="409.5" outlineLevel="1" spans="1:27">
      <c r="A100" s="77"/>
      <c r="B100" s="77"/>
      <c r="C100" s="129" t="s">
        <v>818</v>
      </c>
      <c r="D100" s="136" t="s">
        <v>819</v>
      </c>
      <c r="E100" s="127" t="str">
        <f t="shared" si="25"/>
        <v>243-246</v>
      </c>
      <c r="F100" s="64">
        <f t="shared" si="18"/>
        <v>1936</v>
      </c>
      <c r="G100" s="63">
        <v>32</v>
      </c>
      <c r="H100" s="63">
        <v>1</v>
      </c>
      <c r="I100" s="63">
        <v>0</v>
      </c>
      <c r="J100" s="63">
        <v>0</v>
      </c>
      <c r="K100" s="63">
        <f t="shared" ref="K100:K102" si="31">(POWER(2,G100)-1)*H100+I100</f>
        <v>4294967295</v>
      </c>
      <c r="L100" s="63">
        <v>0</v>
      </c>
      <c r="M100" s="66" t="s">
        <v>218</v>
      </c>
      <c r="N100" s="55">
        <f t="shared" si="19"/>
        <v>10</v>
      </c>
      <c r="O100" s="70" t="s">
        <v>820</v>
      </c>
      <c r="P100" s="137"/>
      <c r="Q100" s="128"/>
      <c r="R100" s="134" t="s">
        <v>821</v>
      </c>
      <c r="S100" s="59" t="s">
        <v>218</v>
      </c>
      <c r="T100" s="59" t="s">
        <v>822</v>
      </c>
      <c r="U100" s="59" t="s">
        <v>218</v>
      </c>
      <c r="V100" s="61"/>
      <c r="W100" s="61"/>
      <c r="X100" s="138"/>
      <c r="Y100" s="61"/>
      <c r="Z100" s="61"/>
      <c r="AA100" s="61"/>
    </row>
    <row r="101" ht="255" outlineLevel="1" spans="1:27">
      <c r="A101" s="77"/>
      <c r="B101" s="77"/>
      <c r="C101" s="139" t="s">
        <v>823</v>
      </c>
      <c r="D101" s="140" t="s">
        <v>824</v>
      </c>
      <c r="E101" s="127">
        <f t="shared" si="25"/>
        <v>247</v>
      </c>
      <c r="F101" s="64">
        <f t="shared" si="18"/>
        <v>1968</v>
      </c>
      <c r="G101" s="63">
        <v>8</v>
      </c>
      <c r="H101" s="63">
        <v>1</v>
      </c>
      <c r="I101" s="63">
        <v>0</v>
      </c>
      <c r="J101" s="63">
        <v>0</v>
      </c>
      <c r="K101" s="63">
        <f t="shared" si="31"/>
        <v>255</v>
      </c>
      <c r="L101" s="63">
        <v>0</v>
      </c>
      <c r="M101" s="66" t="s">
        <v>218</v>
      </c>
      <c r="N101" s="55">
        <f t="shared" si="19"/>
        <v>3</v>
      </c>
      <c r="O101" s="107" t="s">
        <v>825</v>
      </c>
      <c r="P101" s="137"/>
      <c r="Q101" s="128"/>
      <c r="R101" s="134" t="s">
        <v>826</v>
      </c>
      <c r="S101" s="59" t="s">
        <v>218</v>
      </c>
      <c r="T101" s="59"/>
      <c r="U101" s="59" t="s">
        <v>218</v>
      </c>
      <c r="V101" s="61"/>
      <c r="W101" s="61"/>
      <c r="X101" s="138"/>
      <c r="Y101" s="61"/>
      <c r="Z101" s="61"/>
      <c r="AA101" s="61"/>
    </row>
    <row r="102" s="20" customFormat="1" ht="25.5" outlineLevel="1" spans="1:27">
      <c r="A102" s="86"/>
      <c r="B102" s="86"/>
      <c r="C102" s="78" t="s">
        <v>827</v>
      </c>
      <c r="D102" s="79" t="s">
        <v>828</v>
      </c>
      <c r="E102" s="141">
        <f t="shared" si="25"/>
        <v>248</v>
      </c>
      <c r="F102" s="81">
        <f t="shared" si="18"/>
        <v>1976</v>
      </c>
      <c r="G102" s="80">
        <v>8</v>
      </c>
      <c r="H102" s="80">
        <v>1</v>
      </c>
      <c r="I102" s="80">
        <v>0</v>
      </c>
      <c r="J102" s="80">
        <v>0</v>
      </c>
      <c r="K102" s="80">
        <f t="shared" si="31"/>
        <v>255</v>
      </c>
      <c r="L102" s="80">
        <v>0</v>
      </c>
      <c r="M102" s="83" t="s">
        <v>218</v>
      </c>
      <c r="N102" s="84">
        <v>0</v>
      </c>
      <c r="O102" s="142"/>
      <c r="P102" s="143"/>
      <c r="Q102" s="144"/>
      <c r="R102" s="145" t="s">
        <v>218</v>
      </c>
      <c r="S102" s="85" t="s">
        <v>218</v>
      </c>
      <c r="T102" s="85" t="s">
        <v>218</v>
      </c>
      <c r="U102" s="85" t="s">
        <v>218</v>
      </c>
      <c r="V102" s="86"/>
      <c r="W102" s="86"/>
      <c r="X102" s="146"/>
      <c r="Y102" s="86"/>
      <c r="Z102" s="86"/>
      <c r="AA102" s="86"/>
    </row>
    <row r="103" s="19" customFormat="1" ht="25.5" outlineLevel="1" spans="1:27">
      <c r="A103" s="77"/>
      <c r="B103" s="77"/>
      <c r="C103" s="74" t="s">
        <v>829</v>
      </c>
      <c r="D103" s="74" t="s">
        <v>830</v>
      </c>
      <c r="E103" s="63" t="str">
        <f t="shared" ref="E103:E110" si="32">IF(INT((F103+G103-1)/8)+1=INT(F103/8)+1,INT(F103/8)+1,INT(F103/8)+1&amp;"-"&amp;INT((F103+G103-1)/8)+1)</f>
        <v>249-250</v>
      </c>
      <c r="F103" s="64">
        <f t="shared" si="18"/>
        <v>1984</v>
      </c>
      <c r="G103" s="65">
        <v>16</v>
      </c>
      <c r="H103" s="65">
        <v>1</v>
      </c>
      <c r="I103" s="65">
        <v>0</v>
      </c>
      <c r="J103" s="65">
        <v>0</v>
      </c>
      <c r="K103" s="65">
        <f t="shared" ref="K103:K109" si="33">(POWER(2,G103)-1)*H103+I103</f>
        <v>65535</v>
      </c>
      <c r="L103" s="65">
        <v>0</v>
      </c>
      <c r="M103" s="66" t="s">
        <v>602</v>
      </c>
      <c r="N103" s="75">
        <f t="shared" si="19"/>
        <v>5</v>
      </c>
      <c r="O103" s="74"/>
      <c r="P103" s="66"/>
      <c r="Q103" s="77"/>
      <c r="R103" s="74" t="s">
        <v>831</v>
      </c>
      <c r="S103" s="59" t="s">
        <v>218</v>
      </c>
      <c r="T103" s="59" t="s">
        <v>832</v>
      </c>
      <c r="U103" s="59" t="s">
        <v>218</v>
      </c>
      <c r="V103" s="77"/>
      <c r="W103" s="77"/>
      <c r="X103" s="147"/>
      <c r="Y103" s="77"/>
      <c r="Z103" s="77"/>
      <c r="AA103" s="77"/>
    </row>
    <row r="104" s="19" customFormat="1" ht="25.5" outlineLevel="1" spans="1:27">
      <c r="A104" s="77"/>
      <c r="B104" s="77"/>
      <c r="C104" s="74" t="s">
        <v>833</v>
      </c>
      <c r="D104" s="74" t="s">
        <v>834</v>
      </c>
      <c r="E104" s="63" t="str">
        <f t="shared" si="32"/>
        <v>251-252</v>
      </c>
      <c r="F104" s="64">
        <f t="shared" si="18"/>
        <v>2000</v>
      </c>
      <c r="G104" s="65">
        <v>16</v>
      </c>
      <c r="H104" s="65">
        <v>1</v>
      </c>
      <c r="I104" s="65">
        <v>0</v>
      </c>
      <c r="J104" s="65">
        <v>0</v>
      </c>
      <c r="K104" s="65">
        <f t="shared" si="33"/>
        <v>65535</v>
      </c>
      <c r="L104" s="65">
        <v>0</v>
      </c>
      <c r="M104" s="66" t="s">
        <v>602</v>
      </c>
      <c r="N104" s="75">
        <f t="shared" si="19"/>
        <v>5</v>
      </c>
      <c r="O104" s="74"/>
      <c r="P104" s="66"/>
      <c r="Q104" s="77"/>
      <c r="R104" s="74" t="s">
        <v>835</v>
      </c>
      <c r="S104" s="59" t="s">
        <v>218</v>
      </c>
      <c r="T104" s="59" t="s">
        <v>836</v>
      </c>
      <c r="U104" s="59" t="s">
        <v>218</v>
      </c>
      <c r="V104" s="77"/>
      <c r="W104" s="77"/>
      <c r="X104" s="147"/>
      <c r="Y104" s="77"/>
      <c r="Z104" s="77"/>
      <c r="AA104" s="77"/>
    </row>
    <row r="105" s="19" customFormat="1" ht="25.5" outlineLevel="1" spans="1:27">
      <c r="A105" s="77"/>
      <c r="B105" s="77"/>
      <c r="C105" s="74" t="s">
        <v>837</v>
      </c>
      <c r="D105" s="74" t="s">
        <v>838</v>
      </c>
      <c r="E105" s="63" t="str">
        <f t="shared" si="32"/>
        <v>253-254</v>
      </c>
      <c r="F105" s="64">
        <f t="shared" si="18"/>
        <v>2016</v>
      </c>
      <c r="G105" s="65">
        <v>16</v>
      </c>
      <c r="H105" s="65">
        <v>1</v>
      </c>
      <c r="I105" s="65">
        <v>0</v>
      </c>
      <c r="J105" s="65">
        <v>0</v>
      </c>
      <c r="K105" s="65">
        <f t="shared" ref="K105:K106" si="34">(POWER(2,G105)-1)*H105+I105</f>
        <v>65535</v>
      </c>
      <c r="L105" s="65">
        <v>0</v>
      </c>
      <c r="M105" s="66" t="s">
        <v>602</v>
      </c>
      <c r="N105" s="75">
        <f t="shared" si="19"/>
        <v>5</v>
      </c>
      <c r="O105" s="74"/>
      <c r="P105" s="66"/>
      <c r="Q105" s="77"/>
      <c r="R105" s="74" t="s">
        <v>839</v>
      </c>
      <c r="S105" s="59" t="s">
        <v>218</v>
      </c>
      <c r="T105" s="59" t="s">
        <v>840</v>
      </c>
      <c r="U105" s="59" t="s">
        <v>218</v>
      </c>
      <c r="V105" s="77"/>
      <c r="W105" s="77"/>
      <c r="X105" s="147"/>
      <c r="Y105" s="77"/>
      <c r="Z105" s="77"/>
      <c r="AA105" s="77"/>
    </row>
    <row r="106" s="19" customFormat="1" ht="25.5" outlineLevel="1" spans="1:27">
      <c r="A106" s="77"/>
      <c r="B106" s="77"/>
      <c r="C106" s="74" t="s">
        <v>841</v>
      </c>
      <c r="D106" s="74" t="s">
        <v>842</v>
      </c>
      <c r="E106" s="63" t="str">
        <f t="shared" si="32"/>
        <v>255-256</v>
      </c>
      <c r="F106" s="64">
        <f t="shared" si="18"/>
        <v>2032</v>
      </c>
      <c r="G106" s="65">
        <v>16</v>
      </c>
      <c r="H106" s="65">
        <v>1</v>
      </c>
      <c r="I106" s="65">
        <v>0</v>
      </c>
      <c r="J106" s="65">
        <v>0</v>
      </c>
      <c r="K106" s="65">
        <f t="shared" si="34"/>
        <v>65535</v>
      </c>
      <c r="L106" s="65">
        <v>0</v>
      </c>
      <c r="M106" s="66" t="s">
        <v>602</v>
      </c>
      <c r="N106" s="75">
        <f t="shared" si="19"/>
        <v>5</v>
      </c>
      <c r="O106" s="74"/>
      <c r="P106" s="66"/>
      <c r="Q106" s="77"/>
      <c r="R106" s="74" t="s">
        <v>843</v>
      </c>
      <c r="S106" s="59" t="s">
        <v>218</v>
      </c>
      <c r="T106" s="59" t="s">
        <v>844</v>
      </c>
      <c r="U106" s="59" t="s">
        <v>218</v>
      </c>
      <c r="V106" s="77"/>
      <c r="W106" s="77"/>
      <c r="X106" s="147"/>
      <c r="Y106" s="77"/>
      <c r="Z106" s="77"/>
      <c r="AA106" s="77"/>
    </row>
    <row r="107" s="19" customFormat="1" ht="25.5" outlineLevel="1" spans="1:27">
      <c r="A107" s="77"/>
      <c r="B107" s="77"/>
      <c r="C107" s="74" t="s">
        <v>845</v>
      </c>
      <c r="D107" s="74" t="s">
        <v>846</v>
      </c>
      <c r="E107" s="63" t="str">
        <f t="shared" si="32"/>
        <v>257-258</v>
      </c>
      <c r="F107" s="64">
        <f t="shared" si="18"/>
        <v>2048</v>
      </c>
      <c r="G107" s="65">
        <v>16</v>
      </c>
      <c r="H107" s="65">
        <v>1</v>
      </c>
      <c r="I107" s="65">
        <v>0</v>
      </c>
      <c r="J107" s="65">
        <v>0</v>
      </c>
      <c r="K107" s="65">
        <f t="shared" ref="K107" si="35">(POWER(2,G107)-1)*H107+I107</f>
        <v>65535</v>
      </c>
      <c r="L107" s="65">
        <v>0</v>
      </c>
      <c r="M107" s="66" t="s">
        <v>602</v>
      </c>
      <c r="N107" s="75">
        <f t="shared" si="19"/>
        <v>5</v>
      </c>
      <c r="O107" s="74"/>
      <c r="P107" s="66"/>
      <c r="Q107" s="77"/>
      <c r="R107" s="74" t="s">
        <v>847</v>
      </c>
      <c r="S107" s="59" t="s">
        <v>218</v>
      </c>
      <c r="T107" s="59" t="s">
        <v>848</v>
      </c>
      <c r="U107" s="59" t="s">
        <v>218</v>
      </c>
      <c r="V107" s="77"/>
      <c r="W107" s="77"/>
      <c r="X107" s="147"/>
      <c r="Y107" s="77"/>
      <c r="Z107" s="77"/>
      <c r="AA107" s="77"/>
    </row>
    <row r="108" s="19" customFormat="1" ht="25.5" outlineLevel="1" spans="1:27">
      <c r="A108" s="77"/>
      <c r="B108" s="77"/>
      <c r="C108" s="74" t="s">
        <v>849</v>
      </c>
      <c r="D108" s="74" t="s">
        <v>850</v>
      </c>
      <c r="E108" s="63" t="str">
        <f t="shared" si="32"/>
        <v>259-260</v>
      </c>
      <c r="F108" s="64">
        <f t="shared" si="18"/>
        <v>2064</v>
      </c>
      <c r="G108" s="65">
        <v>16</v>
      </c>
      <c r="H108" s="65">
        <v>1</v>
      </c>
      <c r="I108" s="65">
        <v>0</v>
      </c>
      <c r="J108" s="65">
        <v>0</v>
      </c>
      <c r="K108" s="65">
        <f t="shared" ref="K108" si="36">(POWER(2,G108)-1)*H108+I108</f>
        <v>65535</v>
      </c>
      <c r="L108" s="65">
        <v>0</v>
      </c>
      <c r="M108" s="66" t="s">
        <v>602</v>
      </c>
      <c r="N108" s="75">
        <f t="shared" si="19"/>
        <v>5</v>
      </c>
      <c r="O108" s="74"/>
      <c r="P108" s="66"/>
      <c r="Q108" s="77"/>
      <c r="R108" s="74" t="s">
        <v>851</v>
      </c>
      <c r="S108" s="59" t="s">
        <v>218</v>
      </c>
      <c r="T108" s="59" t="s">
        <v>852</v>
      </c>
      <c r="U108" s="59" t="s">
        <v>218</v>
      </c>
      <c r="V108" s="77"/>
      <c r="W108" s="77"/>
      <c r="X108" s="147"/>
      <c r="Y108" s="77"/>
      <c r="Z108" s="77"/>
      <c r="AA108" s="77"/>
    </row>
    <row r="109" s="19" customFormat="1" ht="25.5" outlineLevel="1" spans="1:27">
      <c r="A109" s="77"/>
      <c r="B109" s="77"/>
      <c r="C109" s="74" t="s">
        <v>853</v>
      </c>
      <c r="D109" s="74" t="s">
        <v>854</v>
      </c>
      <c r="E109" s="63" t="str">
        <f t="shared" si="32"/>
        <v>261-262</v>
      </c>
      <c r="F109" s="64">
        <f t="shared" si="18"/>
        <v>2080</v>
      </c>
      <c r="G109" s="65">
        <v>16</v>
      </c>
      <c r="H109" s="65">
        <v>1</v>
      </c>
      <c r="I109" s="65">
        <v>0</v>
      </c>
      <c r="J109" s="65">
        <v>0</v>
      </c>
      <c r="K109" s="65">
        <f t="shared" si="33"/>
        <v>65535</v>
      </c>
      <c r="L109" s="65">
        <v>0</v>
      </c>
      <c r="M109" s="66" t="s">
        <v>602</v>
      </c>
      <c r="N109" s="75">
        <f t="shared" si="19"/>
        <v>5</v>
      </c>
      <c r="O109" s="74"/>
      <c r="P109" s="66"/>
      <c r="Q109" s="77"/>
      <c r="R109" s="74" t="s">
        <v>855</v>
      </c>
      <c r="S109" s="59" t="s">
        <v>218</v>
      </c>
      <c r="T109" s="59" t="s">
        <v>856</v>
      </c>
      <c r="U109" s="59" t="s">
        <v>218</v>
      </c>
      <c r="V109" s="77"/>
      <c r="W109" s="77"/>
      <c r="X109" s="147"/>
      <c r="Y109" s="77"/>
      <c r="Z109" s="77"/>
      <c r="AA109" s="77"/>
    </row>
    <row r="110" s="19" customFormat="1" ht="25.5" outlineLevel="1" spans="1:27">
      <c r="A110" s="77"/>
      <c r="B110" s="77"/>
      <c r="C110" s="74" t="s">
        <v>857</v>
      </c>
      <c r="D110" s="74" t="s">
        <v>858</v>
      </c>
      <c r="E110" s="63" t="str">
        <f t="shared" si="32"/>
        <v>263-264</v>
      </c>
      <c r="F110" s="64">
        <f t="shared" si="18"/>
        <v>2096</v>
      </c>
      <c r="G110" s="65">
        <v>16</v>
      </c>
      <c r="H110" s="65">
        <v>1</v>
      </c>
      <c r="I110" s="65">
        <v>0</v>
      </c>
      <c r="J110" s="65">
        <v>0</v>
      </c>
      <c r="K110" s="65">
        <f t="shared" ref="K110:K118" si="37">(POWER(2,G110)-1)*H110+I110</f>
        <v>65535</v>
      </c>
      <c r="L110" s="65">
        <v>0</v>
      </c>
      <c r="M110" s="66" t="s">
        <v>602</v>
      </c>
      <c r="N110" s="75">
        <f t="shared" si="19"/>
        <v>5</v>
      </c>
      <c r="O110" s="74"/>
      <c r="P110" s="66"/>
      <c r="Q110" s="77"/>
      <c r="R110" s="74" t="s">
        <v>859</v>
      </c>
      <c r="S110" s="59" t="s">
        <v>218</v>
      </c>
      <c r="T110" s="59" t="s">
        <v>860</v>
      </c>
      <c r="U110" s="59" t="s">
        <v>218</v>
      </c>
      <c r="V110" s="77"/>
      <c r="W110" s="77"/>
      <c r="X110" s="147"/>
      <c r="Y110" s="77"/>
      <c r="Z110" s="77"/>
      <c r="AA110" s="77"/>
    </row>
    <row r="111" s="19" customFormat="1" ht="25.5" outlineLevel="1" spans="1:27">
      <c r="A111" s="77"/>
      <c r="B111" s="77"/>
      <c r="C111" s="148" t="s">
        <v>861</v>
      </c>
      <c r="D111" s="148" t="s">
        <v>862</v>
      </c>
      <c r="E111" s="63">
        <f t="shared" ref="E111:E120" si="38">IF(INT((F111+G111-1)/8)+1=INT(F111/8)+1,INT(F111/8)+1,INT(F111/8)+1&amp;"-"&amp;INT((F111+G111-1)/8)+1)</f>
        <v>265</v>
      </c>
      <c r="F111" s="64">
        <f t="shared" si="18"/>
        <v>2112</v>
      </c>
      <c r="G111" s="65">
        <v>8</v>
      </c>
      <c r="H111" s="65">
        <v>1</v>
      </c>
      <c r="I111" s="65">
        <v>0</v>
      </c>
      <c r="J111" s="65">
        <v>0</v>
      </c>
      <c r="K111" s="65">
        <f t="shared" si="37"/>
        <v>255</v>
      </c>
      <c r="L111" s="65">
        <v>0</v>
      </c>
      <c r="M111" s="66" t="s">
        <v>602</v>
      </c>
      <c r="N111" s="75">
        <f t="shared" si="19"/>
        <v>3</v>
      </c>
      <c r="O111" s="74"/>
      <c r="P111" s="66" t="s">
        <v>863</v>
      </c>
      <c r="Q111" s="77"/>
      <c r="R111" s="74" t="s">
        <v>864</v>
      </c>
      <c r="S111" s="59" t="s">
        <v>218</v>
      </c>
      <c r="T111" s="59" t="s">
        <v>218</v>
      </c>
      <c r="U111" s="59" t="s">
        <v>218</v>
      </c>
      <c r="V111" s="77"/>
      <c r="W111" s="77"/>
      <c r="X111" s="147"/>
      <c r="Y111" s="77"/>
      <c r="Z111" s="77"/>
      <c r="AA111" s="77"/>
    </row>
    <row r="112" s="19" customFormat="1" ht="25.5" outlineLevel="1" spans="1:27">
      <c r="A112" s="77"/>
      <c r="B112" s="77"/>
      <c r="C112" s="148" t="s">
        <v>865</v>
      </c>
      <c r="D112" s="148" t="s">
        <v>866</v>
      </c>
      <c r="E112" s="63">
        <f t="shared" si="38"/>
        <v>266</v>
      </c>
      <c r="F112" s="64">
        <f t="shared" si="18"/>
        <v>2120</v>
      </c>
      <c r="G112" s="65">
        <v>8</v>
      </c>
      <c r="H112" s="65">
        <v>1</v>
      </c>
      <c r="I112" s="65">
        <v>0</v>
      </c>
      <c r="J112" s="65">
        <v>0</v>
      </c>
      <c r="K112" s="65">
        <f t="shared" si="37"/>
        <v>255</v>
      </c>
      <c r="L112" s="65">
        <v>0</v>
      </c>
      <c r="M112" s="66" t="s">
        <v>602</v>
      </c>
      <c r="N112" s="75">
        <f t="shared" si="19"/>
        <v>3</v>
      </c>
      <c r="O112" s="74"/>
      <c r="P112" s="66" t="s">
        <v>867</v>
      </c>
      <c r="Q112" s="77"/>
      <c r="R112" s="74" t="s">
        <v>868</v>
      </c>
      <c r="S112" s="59" t="s">
        <v>218</v>
      </c>
      <c r="T112" s="59" t="s">
        <v>218</v>
      </c>
      <c r="U112" s="59" t="s">
        <v>218</v>
      </c>
      <c r="V112" s="77"/>
      <c r="W112" s="77"/>
      <c r="X112" s="147"/>
      <c r="Y112" s="77"/>
      <c r="Z112" s="77"/>
      <c r="AA112" s="77"/>
    </row>
    <row r="113" s="19" customFormat="1" ht="25.5" outlineLevel="1" spans="1:27">
      <c r="A113" s="74"/>
      <c r="B113" s="74"/>
      <c r="C113" s="74" t="s">
        <v>869</v>
      </c>
      <c r="D113" s="74" t="s">
        <v>870</v>
      </c>
      <c r="E113" s="63" t="str">
        <f t="shared" si="38"/>
        <v>267-268</v>
      </c>
      <c r="F113" s="64">
        <f t="shared" si="18"/>
        <v>2128</v>
      </c>
      <c r="G113" s="65">
        <v>16</v>
      </c>
      <c r="H113" s="65">
        <v>1</v>
      </c>
      <c r="I113" s="65">
        <v>0</v>
      </c>
      <c r="J113" s="66">
        <v>0</v>
      </c>
      <c r="K113" s="65">
        <f t="shared" si="37"/>
        <v>65535</v>
      </c>
      <c r="L113" s="65">
        <v>0</v>
      </c>
      <c r="M113" s="66" t="s">
        <v>218</v>
      </c>
      <c r="N113" s="75">
        <f t="shared" si="19"/>
        <v>5</v>
      </c>
      <c r="O113" s="76"/>
      <c r="P113" s="66" t="s">
        <v>871</v>
      </c>
      <c r="Q113" s="74"/>
      <c r="R113" s="74" t="s">
        <v>872</v>
      </c>
      <c r="S113" s="59" t="s">
        <v>218</v>
      </c>
      <c r="T113" s="59" t="s">
        <v>873</v>
      </c>
      <c r="U113" s="59" t="s">
        <v>218</v>
      </c>
      <c r="V113" s="77"/>
      <c r="W113" s="77"/>
      <c r="X113" s="77"/>
      <c r="Y113" s="77"/>
      <c r="Z113" s="77"/>
      <c r="AA113" s="77"/>
    </row>
    <row r="114" s="19" customFormat="1" ht="25.5" outlineLevel="1" spans="1:27">
      <c r="A114" s="74"/>
      <c r="B114" s="74"/>
      <c r="C114" s="74" t="s">
        <v>874</v>
      </c>
      <c r="D114" s="74" t="s">
        <v>875</v>
      </c>
      <c r="E114" s="63" t="str">
        <f t="shared" si="38"/>
        <v>269-270</v>
      </c>
      <c r="F114" s="64">
        <f t="shared" si="18"/>
        <v>2144</v>
      </c>
      <c r="G114" s="65">
        <v>16</v>
      </c>
      <c r="H114" s="65">
        <v>1</v>
      </c>
      <c r="I114" s="65">
        <v>0</v>
      </c>
      <c r="J114" s="66">
        <v>0</v>
      </c>
      <c r="K114" s="65">
        <f t="shared" si="37"/>
        <v>65535</v>
      </c>
      <c r="L114" s="65">
        <v>0</v>
      </c>
      <c r="M114" s="66" t="s">
        <v>218</v>
      </c>
      <c r="N114" s="75">
        <f t="shared" si="19"/>
        <v>5</v>
      </c>
      <c r="O114" s="76"/>
      <c r="P114" s="66" t="s">
        <v>876</v>
      </c>
      <c r="Q114" s="74"/>
      <c r="R114" s="74" t="s">
        <v>877</v>
      </c>
      <c r="S114" s="59" t="s">
        <v>218</v>
      </c>
      <c r="T114" s="59" t="s">
        <v>878</v>
      </c>
      <c r="U114" s="59" t="s">
        <v>218</v>
      </c>
      <c r="V114" s="77"/>
      <c r="W114" s="77"/>
      <c r="X114" s="77"/>
      <c r="Y114" s="77"/>
      <c r="Z114" s="77"/>
      <c r="AA114" s="77"/>
    </row>
    <row r="115" s="19" customFormat="1" ht="25.5" outlineLevel="1" spans="1:27">
      <c r="A115" s="77"/>
      <c r="B115" s="77"/>
      <c r="C115" s="124" t="s">
        <v>879</v>
      </c>
      <c r="D115" s="125" t="s">
        <v>880</v>
      </c>
      <c r="E115" s="117" t="str">
        <f t="shared" si="38"/>
        <v>271-274</v>
      </c>
      <c r="F115" s="118">
        <f t="shared" ref="F115:F120" si="39">F114+G114</f>
        <v>2160</v>
      </c>
      <c r="G115" s="117">
        <v>32</v>
      </c>
      <c r="H115" s="117">
        <v>1</v>
      </c>
      <c r="I115" s="63">
        <v>0</v>
      </c>
      <c r="J115" s="63">
        <v>0</v>
      </c>
      <c r="K115" s="63">
        <f t="shared" si="37"/>
        <v>4294967295</v>
      </c>
      <c r="L115" s="63">
        <v>0</v>
      </c>
      <c r="M115" s="63" t="s">
        <v>652</v>
      </c>
      <c r="N115" s="75">
        <f t="shared" ref="N115:N131" si="40">LEN(K115)</f>
        <v>10</v>
      </c>
      <c r="O115" s="77"/>
      <c r="P115" s="66"/>
      <c r="Q115" s="74"/>
      <c r="R115" s="59" t="s">
        <v>881</v>
      </c>
      <c r="S115" s="59" t="s">
        <v>218</v>
      </c>
      <c r="T115" s="59" t="s">
        <v>882</v>
      </c>
      <c r="U115" s="59" t="s">
        <v>218</v>
      </c>
      <c r="V115" s="77"/>
      <c r="W115" s="77"/>
      <c r="X115" s="115"/>
      <c r="Y115" s="77"/>
      <c r="Z115" s="77"/>
      <c r="AA115" s="77"/>
    </row>
    <row r="116" s="19" customFormat="1" ht="25.5" outlineLevel="1" spans="1:27">
      <c r="A116" s="77"/>
      <c r="B116" s="77"/>
      <c r="C116" s="124" t="s">
        <v>883</v>
      </c>
      <c r="D116" s="125" t="s">
        <v>884</v>
      </c>
      <c r="E116" s="117" t="str">
        <f t="shared" si="38"/>
        <v>275-278</v>
      </c>
      <c r="F116" s="118">
        <f t="shared" si="39"/>
        <v>2192</v>
      </c>
      <c r="G116" s="117">
        <v>32</v>
      </c>
      <c r="H116" s="117">
        <v>1</v>
      </c>
      <c r="I116" s="63">
        <v>0</v>
      </c>
      <c r="J116" s="63">
        <v>0</v>
      </c>
      <c r="K116" s="63">
        <f t="shared" si="37"/>
        <v>4294967295</v>
      </c>
      <c r="L116" s="63">
        <v>0</v>
      </c>
      <c r="M116" s="63" t="s">
        <v>519</v>
      </c>
      <c r="N116" s="75">
        <f t="shared" si="40"/>
        <v>10</v>
      </c>
      <c r="O116" s="77"/>
      <c r="P116" s="66"/>
      <c r="Q116" s="74"/>
      <c r="R116" s="59" t="s">
        <v>885</v>
      </c>
      <c r="S116" s="59" t="s">
        <v>218</v>
      </c>
      <c r="T116" s="59" t="s">
        <v>886</v>
      </c>
      <c r="U116" s="59" t="s">
        <v>218</v>
      </c>
      <c r="V116" s="77"/>
      <c r="W116" s="77"/>
      <c r="X116" s="115"/>
      <c r="Y116" s="77"/>
      <c r="Z116" s="77"/>
      <c r="AA116" s="77"/>
    </row>
    <row r="117" s="19" customFormat="1" ht="25.5" outlineLevel="1" spans="1:27">
      <c r="A117" s="77"/>
      <c r="B117" s="77"/>
      <c r="C117" s="124" t="s">
        <v>887</v>
      </c>
      <c r="D117" s="125" t="s">
        <v>888</v>
      </c>
      <c r="E117" s="117" t="str">
        <f t="shared" si="38"/>
        <v>279-282</v>
      </c>
      <c r="F117" s="118">
        <f t="shared" si="39"/>
        <v>2224</v>
      </c>
      <c r="G117" s="117">
        <v>32</v>
      </c>
      <c r="H117" s="117">
        <v>1</v>
      </c>
      <c r="I117" s="63">
        <v>0</v>
      </c>
      <c r="J117" s="63">
        <v>0</v>
      </c>
      <c r="K117" s="63">
        <f t="shared" si="37"/>
        <v>4294967295</v>
      </c>
      <c r="L117" s="63">
        <v>0</v>
      </c>
      <c r="M117" s="63" t="s">
        <v>652</v>
      </c>
      <c r="N117" s="75">
        <f t="shared" si="40"/>
        <v>10</v>
      </c>
      <c r="O117" s="77"/>
      <c r="P117" s="66"/>
      <c r="Q117" s="74"/>
      <c r="R117" s="59" t="s">
        <v>889</v>
      </c>
      <c r="S117" s="59" t="s">
        <v>218</v>
      </c>
      <c r="T117" s="59" t="s">
        <v>890</v>
      </c>
      <c r="U117" s="59" t="s">
        <v>218</v>
      </c>
      <c r="V117" s="77"/>
      <c r="W117" s="77"/>
      <c r="X117" s="115"/>
      <c r="Y117" s="77"/>
      <c r="Z117" s="77"/>
      <c r="AA117" s="77"/>
    </row>
    <row r="118" s="19" customFormat="1" ht="25.5" outlineLevel="1" spans="1:27">
      <c r="A118" s="77"/>
      <c r="B118" s="77"/>
      <c r="C118" s="124" t="s">
        <v>891</v>
      </c>
      <c r="D118" s="125" t="s">
        <v>892</v>
      </c>
      <c r="E118" s="117" t="str">
        <f t="shared" si="38"/>
        <v>283-286</v>
      </c>
      <c r="F118" s="118">
        <f t="shared" si="39"/>
        <v>2256</v>
      </c>
      <c r="G118" s="117">
        <v>32</v>
      </c>
      <c r="H118" s="117">
        <v>1</v>
      </c>
      <c r="I118" s="63">
        <v>0</v>
      </c>
      <c r="J118" s="63">
        <v>0</v>
      </c>
      <c r="K118" s="63">
        <f t="shared" si="37"/>
        <v>4294967295</v>
      </c>
      <c r="L118" s="63">
        <v>0</v>
      </c>
      <c r="M118" s="63" t="s">
        <v>519</v>
      </c>
      <c r="N118" s="75">
        <f t="shared" si="40"/>
        <v>10</v>
      </c>
      <c r="O118" s="77"/>
      <c r="P118" s="66"/>
      <c r="Q118" s="74"/>
      <c r="R118" s="59" t="s">
        <v>893</v>
      </c>
      <c r="S118" s="59" t="s">
        <v>218</v>
      </c>
      <c r="T118" s="59" t="s">
        <v>894</v>
      </c>
      <c r="U118" s="59" t="s">
        <v>218</v>
      </c>
      <c r="V118" s="77"/>
      <c r="W118" s="77"/>
      <c r="X118" s="115"/>
      <c r="Y118" s="77"/>
      <c r="Z118" s="77"/>
      <c r="AA118" s="77"/>
    </row>
    <row r="119" s="19" customFormat="1" ht="25.5" outlineLevel="1" spans="1:27">
      <c r="A119" s="77"/>
      <c r="B119" s="77"/>
      <c r="C119" s="74" t="s">
        <v>895</v>
      </c>
      <c r="D119" s="74" t="s">
        <v>896</v>
      </c>
      <c r="E119" s="63" t="str">
        <f t="shared" si="38"/>
        <v>287-288</v>
      </c>
      <c r="F119" s="64">
        <f t="shared" si="39"/>
        <v>2288</v>
      </c>
      <c r="G119" s="65">
        <v>16</v>
      </c>
      <c r="H119" s="65">
        <v>0.1</v>
      </c>
      <c r="I119" s="65">
        <v>0</v>
      </c>
      <c r="J119" s="65">
        <v>0</v>
      </c>
      <c r="K119" s="65">
        <f t="shared" ref="K119:K131" si="41">(POWER(2,G119)-1)*H119+I119</f>
        <v>6553.5</v>
      </c>
      <c r="L119" s="65">
        <v>0</v>
      </c>
      <c r="M119" s="66" t="s">
        <v>652</v>
      </c>
      <c r="N119" s="75">
        <f t="shared" si="40"/>
        <v>6</v>
      </c>
      <c r="O119" s="74"/>
      <c r="P119" s="66"/>
      <c r="Q119" s="77"/>
      <c r="R119" s="74" t="s">
        <v>897</v>
      </c>
      <c r="S119" s="59" t="s">
        <v>218</v>
      </c>
      <c r="T119" s="59" t="s">
        <v>898</v>
      </c>
      <c r="U119" s="59" t="s">
        <v>218</v>
      </c>
      <c r="V119" s="77"/>
      <c r="W119" s="77"/>
      <c r="X119" s="115"/>
      <c r="Y119" s="77"/>
      <c r="Z119" s="77"/>
      <c r="AA119" s="77"/>
    </row>
    <row r="120" s="19" customFormat="1" ht="25.5" outlineLevel="1" spans="1:27">
      <c r="A120" s="77"/>
      <c r="B120" s="77"/>
      <c r="C120" s="74" t="s">
        <v>899</v>
      </c>
      <c r="D120" s="74" t="s">
        <v>900</v>
      </c>
      <c r="E120" s="63" t="str">
        <f t="shared" si="38"/>
        <v>289-290</v>
      </c>
      <c r="F120" s="64">
        <f t="shared" si="39"/>
        <v>2304</v>
      </c>
      <c r="G120" s="65">
        <v>16</v>
      </c>
      <c r="H120" s="65">
        <v>0.1</v>
      </c>
      <c r="I120" s="65">
        <v>0</v>
      </c>
      <c r="J120" s="65">
        <v>0</v>
      </c>
      <c r="K120" s="65">
        <f t="shared" si="41"/>
        <v>6553.5</v>
      </c>
      <c r="L120" s="65">
        <v>0</v>
      </c>
      <c r="M120" s="66" t="s">
        <v>652</v>
      </c>
      <c r="N120" s="75">
        <f t="shared" si="40"/>
        <v>6</v>
      </c>
      <c r="O120" s="76"/>
      <c r="P120" s="66"/>
      <c r="Q120" s="77"/>
      <c r="R120" s="74" t="s">
        <v>901</v>
      </c>
      <c r="S120" s="59" t="s">
        <v>218</v>
      </c>
      <c r="T120" s="59" t="s">
        <v>902</v>
      </c>
      <c r="U120" s="59" t="s">
        <v>218</v>
      </c>
      <c r="V120" s="77"/>
      <c r="W120" s="77"/>
      <c r="X120" s="115"/>
      <c r="Y120" s="77"/>
      <c r="Z120" s="77"/>
      <c r="AA120" s="77"/>
    </row>
    <row r="121" s="19" customFormat="1" ht="38.25" outlineLevel="1" spans="1:27">
      <c r="A121" s="77"/>
      <c r="B121" s="77"/>
      <c r="C121" s="74" t="s">
        <v>903</v>
      </c>
      <c r="D121" s="74" t="s">
        <v>904</v>
      </c>
      <c r="E121" s="63">
        <f t="shared" ref="E121:E122" si="42">IF(INT((F121+G121-1)/8)+1=INT(F121/8)+1,INT(F121/8)+1,INT(F121/8)+1&amp;"-"&amp;INT((F121+G121-1)/8)+1)</f>
        <v>291</v>
      </c>
      <c r="F121" s="64">
        <f t="shared" ref="F121:F122" si="43">F120+G120</f>
        <v>2320</v>
      </c>
      <c r="G121" s="65">
        <v>8</v>
      </c>
      <c r="H121" s="65">
        <v>1</v>
      </c>
      <c r="I121" s="65">
        <v>0</v>
      </c>
      <c r="J121" s="65">
        <v>0</v>
      </c>
      <c r="K121" s="65">
        <f t="shared" si="41"/>
        <v>255</v>
      </c>
      <c r="L121" s="65">
        <v>0</v>
      </c>
      <c r="M121" s="66" t="s">
        <v>506</v>
      </c>
      <c r="N121" s="75">
        <f t="shared" si="40"/>
        <v>3</v>
      </c>
      <c r="O121" s="76"/>
      <c r="P121" s="66"/>
      <c r="Q121" s="77"/>
      <c r="R121" s="74" t="s">
        <v>905</v>
      </c>
      <c r="S121" s="59" t="s">
        <v>218</v>
      </c>
      <c r="T121" s="59" t="s">
        <v>906</v>
      </c>
      <c r="U121" s="59" t="s">
        <v>218</v>
      </c>
      <c r="V121" s="77"/>
      <c r="W121" s="77"/>
      <c r="X121" s="115"/>
      <c r="Y121" s="77"/>
      <c r="Z121" s="77"/>
      <c r="AA121" s="77"/>
    </row>
    <row r="122" s="19" customFormat="1" ht="38.25" outlineLevel="1" spans="1:27">
      <c r="A122" s="77"/>
      <c r="B122" s="77"/>
      <c r="C122" s="74" t="s">
        <v>907</v>
      </c>
      <c r="D122" s="74" t="s">
        <v>908</v>
      </c>
      <c r="E122" s="63">
        <f t="shared" si="42"/>
        <v>292</v>
      </c>
      <c r="F122" s="64">
        <f t="shared" si="43"/>
        <v>2328</v>
      </c>
      <c r="G122" s="65">
        <v>8</v>
      </c>
      <c r="H122" s="65">
        <v>1</v>
      </c>
      <c r="I122" s="65">
        <v>0</v>
      </c>
      <c r="J122" s="65">
        <v>0</v>
      </c>
      <c r="K122" s="65">
        <f t="shared" si="41"/>
        <v>255</v>
      </c>
      <c r="L122" s="65">
        <v>0</v>
      </c>
      <c r="M122" s="66" t="s">
        <v>506</v>
      </c>
      <c r="N122" s="75">
        <f t="shared" si="40"/>
        <v>3</v>
      </c>
      <c r="O122" s="76"/>
      <c r="P122" s="66"/>
      <c r="Q122" s="77"/>
      <c r="R122" s="74" t="s">
        <v>909</v>
      </c>
      <c r="S122" s="59" t="s">
        <v>218</v>
      </c>
      <c r="T122" s="59" t="s">
        <v>910</v>
      </c>
      <c r="U122" s="59" t="s">
        <v>218</v>
      </c>
      <c r="V122" s="77"/>
      <c r="W122" s="77"/>
      <c r="X122" s="115"/>
      <c r="Y122" s="77"/>
      <c r="Z122" s="77"/>
      <c r="AA122" s="77"/>
    </row>
    <row r="123" s="19" customFormat="1" ht="25.5" outlineLevel="1" spans="1:27">
      <c r="A123" s="77"/>
      <c r="B123" s="77"/>
      <c r="C123" s="74" t="s">
        <v>911</v>
      </c>
      <c r="D123" s="74" t="s">
        <v>912</v>
      </c>
      <c r="E123" s="63" t="str">
        <f t="shared" ref="E123:E127" si="44">IF(INT((F123+G123-1)/8)+1=INT(F123/8)+1,INT(F123/8)+1,INT(F123/8)+1&amp;"-"&amp;INT((F123+G123-1)/8)+1)</f>
        <v>293-294</v>
      </c>
      <c r="F123" s="64">
        <f t="shared" ref="F123:F127" si="45">F122+G122</f>
        <v>2336</v>
      </c>
      <c r="G123" s="65">
        <v>16</v>
      </c>
      <c r="H123" s="65">
        <v>1</v>
      </c>
      <c r="I123" s="65">
        <v>0</v>
      </c>
      <c r="J123" s="65">
        <v>0</v>
      </c>
      <c r="K123" s="65">
        <f t="shared" si="41"/>
        <v>65535</v>
      </c>
      <c r="L123" s="65">
        <v>0</v>
      </c>
      <c r="M123" s="66" t="s">
        <v>405</v>
      </c>
      <c r="N123" s="75">
        <f t="shared" si="40"/>
        <v>5</v>
      </c>
      <c r="O123" s="76"/>
      <c r="P123" s="66" t="s">
        <v>913</v>
      </c>
      <c r="Q123" s="77"/>
      <c r="R123" s="74" t="s">
        <v>914</v>
      </c>
      <c r="S123" s="59" t="s">
        <v>218</v>
      </c>
      <c r="T123" s="59" t="s">
        <v>218</v>
      </c>
      <c r="U123" s="59" t="s">
        <v>218</v>
      </c>
      <c r="V123" s="77"/>
      <c r="W123" s="77"/>
      <c r="X123" s="115"/>
      <c r="Y123" s="77"/>
      <c r="Z123" s="77"/>
      <c r="AA123" s="77"/>
    </row>
    <row r="124" s="19" customFormat="1" ht="25.5" outlineLevel="1" spans="1:27">
      <c r="A124" s="74"/>
      <c r="B124" s="74"/>
      <c r="C124" s="74" t="s">
        <v>915</v>
      </c>
      <c r="D124" s="74" t="s">
        <v>916</v>
      </c>
      <c r="E124" s="63" t="str">
        <f t="shared" si="44"/>
        <v>295-296</v>
      </c>
      <c r="F124" s="64">
        <f t="shared" si="45"/>
        <v>2352</v>
      </c>
      <c r="G124" s="65">
        <v>16</v>
      </c>
      <c r="H124" s="65">
        <v>0.1</v>
      </c>
      <c r="I124" s="65">
        <v>-40</v>
      </c>
      <c r="J124" s="65">
        <v>-40</v>
      </c>
      <c r="K124" s="65">
        <f t="shared" si="41"/>
        <v>6513.5</v>
      </c>
      <c r="L124" s="65">
        <v>0</v>
      </c>
      <c r="M124" s="66" t="s">
        <v>427</v>
      </c>
      <c r="N124" s="75">
        <f t="shared" si="40"/>
        <v>6</v>
      </c>
      <c r="O124" s="76"/>
      <c r="P124" s="66"/>
      <c r="Q124" s="74"/>
      <c r="R124" s="74" t="s">
        <v>917</v>
      </c>
      <c r="S124" s="59" t="s">
        <v>218</v>
      </c>
      <c r="T124" s="59" t="s">
        <v>218</v>
      </c>
      <c r="U124" s="59" t="s">
        <v>218</v>
      </c>
      <c r="V124" s="77"/>
      <c r="W124" s="77"/>
      <c r="X124" s="77"/>
      <c r="Y124" s="77"/>
      <c r="Z124" s="77"/>
      <c r="AA124" s="77"/>
    </row>
    <row r="125" s="19" customFormat="1" ht="25.5" outlineLevel="1" spans="1:27">
      <c r="A125" s="74"/>
      <c r="B125" s="74"/>
      <c r="C125" s="74" t="s">
        <v>918</v>
      </c>
      <c r="D125" s="74" t="s">
        <v>919</v>
      </c>
      <c r="E125" s="63" t="str">
        <f t="shared" si="44"/>
        <v>297-298</v>
      </c>
      <c r="F125" s="64">
        <f t="shared" si="45"/>
        <v>2368</v>
      </c>
      <c r="G125" s="65">
        <v>16</v>
      </c>
      <c r="H125" s="65">
        <v>0.1</v>
      </c>
      <c r="I125" s="65">
        <v>-40</v>
      </c>
      <c r="J125" s="65">
        <v>-40</v>
      </c>
      <c r="K125" s="65">
        <f t="shared" si="41"/>
        <v>6513.5</v>
      </c>
      <c r="L125" s="65">
        <v>0</v>
      </c>
      <c r="M125" s="66" t="s">
        <v>427</v>
      </c>
      <c r="N125" s="75">
        <f t="shared" si="40"/>
        <v>6</v>
      </c>
      <c r="O125" s="76"/>
      <c r="P125" s="66"/>
      <c r="Q125" s="74"/>
      <c r="R125" s="74" t="s">
        <v>920</v>
      </c>
      <c r="S125" s="59" t="s">
        <v>218</v>
      </c>
      <c r="T125" s="59" t="s">
        <v>218</v>
      </c>
      <c r="U125" s="59" t="s">
        <v>218</v>
      </c>
      <c r="V125" s="77"/>
      <c r="W125" s="77"/>
      <c r="X125" s="77"/>
      <c r="Y125" s="77"/>
      <c r="Z125" s="77"/>
      <c r="AA125" s="77"/>
    </row>
    <row r="126" s="19" customFormat="1" ht="25.5" outlineLevel="1" spans="1:27">
      <c r="A126" s="74"/>
      <c r="B126" s="74"/>
      <c r="C126" s="74" t="s">
        <v>921</v>
      </c>
      <c r="D126" s="74" t="s">
        <v>922</v>
      </c>
      <c r="E126" s="63" t="str">
        <f t="shared" si="44"/>
        <v>299-300</v>
      </c>
      <c r="F126" s="64">
        <f t="shared" si="45"/>
        <v>2384</v>
      </c>
      <c r="G126" s="65">
        <v>16</v>
      </c>
      <c r="H126" s="65">
        <v>0.1</v>
      </c>
      <c r="I126" s="65">
        <v>-40</v>
      </c>
      <c r="J126" s="65">
        <v>-40</v>
      </c>
      <c r="K126" s="65">
        <f t="shared" si="41"/>
        <v>6513.5</v>
      </c>
      <c r="L126" s="65">
        <v>0</v>
      </c>
      <c r="M126" s="66" t="s">
        <v>427</v>
      </c>
      <c r="N126" s="75">
        <f t="shared" si="40"/>
        <v>6</v>
      </c>
      <c r="O126" s="76"/>
      <c r="P126" s="66"/>
      <c r="Q126" s="74"/>
      <c r="R126" s="74" t="s">
        <v>923</v>
      </c>
      <c r="S126" s="59" t="s">
        <v>218</v>
      </c>
      <c r="T126" s="59" t="s">
        <v>218</v>
      </c>
      <c r="U126" s="59" t="s">
        <v>218</v>
      </c>
      <c r="V126" s="77"/>
      <c r="W126" s="77"/>
      <c r="X126" s="77"/>
      <c r="Y126" s="77"/>
      <c r="Z126" s="77"/>
      <c r="AA126" s="77"/>
    </row>
    <row r="127" s="19" customFormat="1" ht="25.5" outlineLevel="1" spans="1:27">
      <c r="A127" s="74"/>
      <c r="B127" s="74"/>
      <c r="C127" s="74" t="s">
        <v>924</v>
      </c>
      <c r="D127" s="74" t="s">
        <v>925</v>
      </c>
      <c r="E127" s="63" t="str">
        <f t="shared" si="44"/>
        <v>301-302</v>
      </c>
      <c r="F127" s="64">
        <f t="shared" si="45"/>
        <v>2400</v>
      </c>
      <c r="G127" s="65">
        <v>16</v>
      </c>
      <c r="H127" s="65">
        <v>0.1</v>
      </c>
      <c r="I127" s="65">
        <v>-40</v>
      </c>
      <c r="J127" s="65">
        <v>-40</v>
      </c>
      <c r="K127" s="65">
        <f t="shared" si="41"/>
        <v>6513.5</v>
      </c>
      <c r="L127" s="65">
        <v>0</v>
      </c>
      <c r="M127" s="66" t="s">
        <v>427</v>
      </c>
      <c r="N127" s="75">
        <f t="shared" si="40"/>
        <v>6</v>
      </c>
      <c r="O127" s="76"/>
      <c r="P127" s="66"/>
      <c r="Q127" s="74"/>
      <c r="R127" s="74" t="s">
        <v>926</v>
      </c>
      <c r="S127" s="59" t="s">
        <v>218</v>
      </c>
      <c r="T127" s="59" t="s">
        <v>218</v>
      </c>
      <c r="U127" s="59" t="s">
        <v>218</v>
      </c>
      <c r="V127" s="77"/>
      <c r="W127" s="77"/>
      <c r="X127" s="77"/>
      <c r="Y127" s="77"/>
      <c r="Z127" s="77"/>
      <c r="AA127" s="77"/>
    </row>
    <row r="128" s="19" customFormat="1" ht="25.5" outlineLevel="1" spans="1:27">
      <c r="A128" s="74"/>
      <c r="B128" s="74"/>
      <c r="C128" s="74" t="s">
        <v>927</v>
      </c>
      <c r="D128" s="74" t="s">
        <v>928</v>
      </c>
      <c r="E128" s="63" t="str">
        <f t="shared" ref="E128:E131" si="46">IF(INT((F128+G128-1)/8)+1=INT(F128/8)+1,INT(F128/8)+1,INT(F128/8)+1&amp;"-"&amp;INT((F128+G128-1)/8)+1)</f>
        <v>303-304</v>
      </c>
      <c r="F128" s="64">
        <f t="shared" ref="F128:F131" si="47">F127+G127</f>
        <v>2416</v>
      </c>
      <c r="G128" s="65">
        <v>16</v>
      </c>
      <c r="H128" s="65">
        <v>0.1</v>
      </c>
      <c r="I128" s="65">
        <v>0</v>
      </c>
      <c r="J128" s="65">
        <v>0</v>
      </c>
      <c r="K128" s="65">
        <f t="shared" si="41"/>
        <v>6553.5</v>
      </c>
      <c r="L128" s="65">
        <v>0</v>
      </c>
      <c r="M128" s="66" t="s">
        <v>405</v>
      </c>
      <c r="N128" s="75">
        <f t="shared" si="40"/>
        <v>6</v>
      </c>
      <c r="O128" s="76"/>
      <c r="P128" s="66"/>
      <c r="Q128" s="74"/>
      <c r="R128" s="74" t="s">
        <v>929</v>
      </c>
      <c r="S128" s="59" t="s">
        <v>218</v>
      </c>
      <c r="T128" s="59" t="s">
        <v>218</v>
      </c>
      <c r="U128" s="59" t="s">
        <v>218</v>
      </c>
      <c r="V128" s="77"/>
      <c r="W128" s="77"/>
      <c r="X128" s="77"/>
      <c r="Y128" s="77"/>
      <c r="Z128" s="77"/>
      <c r="AA128" s="77"/>
    </row>
    <row r="129" s="19" customFormat="1" ht="25.5" outlineLevel="1" spans="1:27">
      <c r="A129" s="74"/>
      <c r="B129" s="74"/>
      <c r="C129" s="74" t="s">
        <v>930</v>
      </c>
      <c r="D129" s="74" t="s">
        <v>931</v>
      </c>
      <c r="E129" s="63" t="str">
        <f t="shared" si="46"/>
        <v>305-306</v>
      </c>
      <c r="F129" s="64">
        <f t="shared" si="47"/>
        <v>2432</v>
      </c>
      <c r="G129" s="65">
        <v>16</v>
      </c>
      <c r="H129" s="65">
        <v>0.1</v>
      </c>
      <c r="I129" s="65">
        <v>0</v>
      </c>
      <c r="J129" s="65">
        <v>0</v>
      </c>
      <c r="K129" s="65">
        <f t="shared" si="41"/>
        <v>6553.5</v>
      </c>
      <c r="L129" s="65">
        <v>0</v>
      </c>
      <c r="M129" s="66" t="s">
        <v>405</v>
      </c>
      <c r="N129" s="75">
        <f t="shared" si="40"/>
        <v>6</v>
      </c>
      <c r="O129" s="76"/>
      <c r="P129" s="66"/>
      <c r="Q129" s="74"/>
      <c r="R129" s="74" t="s">
        <v>932</v>
      </c>
      <c r="S129" s="59" t="s">
        <v>218</v>
      </c>
      <c r="T129" s="59" t="s">
        <v>218</v>
      </c>
      <c r="U129" s="59" t="s">
        <v>218</v>
      </c>
      <c r="V129" s="77"/>
      <c r="W129" s="77"/>
      <c r="X129" s="77"/>
      <c r="Y129" s="77"/>
      <c r="Z129" s="77"/>
      <c r="AA129" s="77"/>
    </row>
    <row r="130" s="19" customFormat="1" ht="25.5" outlineLevel="1" spans="1:27">
      <c r="A130" s="74"/>
      <c r="B130" s="74"/>
      <c r="C130" s="74" t="s">
        <v>933</v>
      </c>
      <c r="D130" s="74" t="s">
        <v>934</v>
      </c>
      <c r="E130" s="63" t="str">
        <f t="shared" si="46"/>
        <v>307-308</v>
      </c>
      <c r="F130" s="64">
        <f t="shared" si="47"/>
        <v>2448</v>
      </c>
      <c r="G130" s="65">
        <v>16</v>
      </c>
      <c r="H130" s="65">
        <v>0.1</v>
      </c>
      <c r="I130" s="65">
        <v>0</v>
      </c>
      <c r="J130" s="65">
        <v>0</v>
      </c>
      <c r="K130" s="65">
        <f t="shared" si="41"/>
        <v>6553.5</v>
      </c>
      <c r="L130" s="65">
        <v>0</v>
      </c>
      <c r="M130" s="66" t="s">
        <v>538</v>
      </c>
      <c r="N130" s="75">
        <f t="shared" si="40"/>
        <v>6</v>
      </c>
      <c r="O130" s="76"/>
      <c r="P130" s="66"/>
      <c r="Q130" s="74"/>
      <c r="R130" s="74" t="s">
        <v>935</v>
      </c>
      <c r="S130" s="59" t="s">
        <v>218</v>
      </c>
      <c r="T130" s="59" t="s">
        <v>218</v>
      </c>
      <c r="U130" s="59" t="s">
        <v>218</v>
      </c>
      <c r="V130" s="77"/>
      <c r="W130" s="77"/>
      <c r="X130" s="77"/>
      <c r="Y130" s="77"/>
      <c r="Z130" s="77"/>
      <c r="AA130" s="77"/>
    </row>
    <row r="131" s="19" customFormat="1" ht="25.5" outlineLevel="1" spans="1:27">
      <c r="A131" s="74"/>
      <c r="B131" s="74"/>
      <c r="C131" s="74" t="s">
        <v>936</v>
      </c>
      <c r="D131" s="74" t="s">
        <v>937</v>
      </c>
      <c r="E131" s="63" t="str">
        <f t="shared" si="46"/>
        <v>309-310</v>
      </c>
      <c r="F131" s="64">
        <f t="shared" si="47"/>
        <v>2464</v>
      </c>
      <c r="G131" s="65">
        <v>16</v>
      </c>
      <c r="H131" s="65">
        <v>1</v>
      </c>
      <c r="I131" s="65">
        <v>0</v>
      </c>
      <c r="J131" s="65">
        <v>0</v>
      </c>
      <c r="K131" s="65">
        <f t="shared" si="41"/>
        <v>65535</v>
      </c>
      <c r="L131" s="65">
        <v>0</v>
      </c>
      <c r="M131" s="66" t="s">
        <v>602</v>
      </c>
      <c r="N131" s="75">
        <f t="shared" si="40"/>
        <v>5</v>
      </c>
      <c r="O131" s="76"/>
      <c r="P131" s="66"/>
      <c r="Q131" s="74"/>
      <c r="R131" s="74" t="s">
        <v>938</v>
      </c>
      <c r="S131" s="59" t="s">
        <v>218</v>
      </c>
      <c r="T131" s="59" t="s">
        <v>218</v>
      </c>
      <c r="U131" s="59" t="s">
        <v>218</v>
      </c>
      <c r="V131" s="77"/>
      <c r="W131" s="77"/>
      <c r="X131" s="77"/>
      <c r="Y131" s="77"/>
      <c r="Z131" s="77"/>
      <c r="AA131" s="77"/>
    </row>
    <row r="132" ht="25.5" spans="1:27">
      <c r="A132" s="41" t="s">
        <v>228</v>
      </c>
      <c r="B132" s="149" t="str">
        <f>VLOOKUP(A132,'Message ID'!A:M,2,FALSE)</f>
        <v>Cell Balancing State 
电芯均衡状态</v>
      </c>
      <c r="C132" s="41"/>
      <c r="D132" s="41"/>
      <c r="E132" s="43">
        <v>52</v>
      </c>
      <c r="F132" s="44"/>
      <c r="G132" s="45"/>
      <c r="H132" s="45"/>
      <c r="I132" s="45"/>
      <c r="J132" s="45"/>
      <c r="K132" s="45"/>
      <c r="L132" s="45"/>
      <c r="M132" s="45"/>
      <c r="N132" s="43">
        <f>N133*416</f>
        <v>416</v>
      </c>
      <c r="O132" s="46"/>
      <c r="P132" s="45"/>
      <c r="Q132" s="41"/>
      <c r="R132" s="41"/>
      <c r="S132" s="47"/>
      <c r="T132" s="47"/>
      <c r="U132" s="47"/>
      <c r="V132" s="48"/>
      <c r="W132" s="48"/>
      <c r="X132" s="48"/>
      <c r="Y132" s="48"/>
      <c r="Z132" s="48"/>
      <c r="AA132" s="48"/>
    </row>
    <row r="133" ht="25.5" outlineLevel="1" spans="1:27">
      <c r="A133" s="49"/>
      <c r="B133" s="54"/>
      <c r="C133" s="69" t="s">
        <v>939</v>
      </c>
      <c r="D133" s="74" t="s">
        <v>940</v>
      </c>
      <c r="E133" s="83" t="s">
        <v>941</v>
      </c>
      <c r="F133" s="52">
        <v>0</v>
      </c>
      <c r="G133" s="53">
        <v>1</v>
      </c>
      <c r="H133" s="53">
        <v>1</v>
      </c>
      <c r="I133" s="53">
        <v>0</v>
      </c>
      <c r="J133" s="53">
        <v>0</v>
      </c>
      <c r="K133" s="53">
        <f>(POWER(2,G133)-1)*H133+I133</f>
        <v>1</v>
      </c>
      <c r="L133" s="53">
        <v>0</v>
      </c>
      <c r="M133" s="54" t="s">
        <v>218</v>
      </c>
      <c r="N133" s="55">
        <f>LEN(K133)</f>
        <v>1</v>
      </c>
      <c r="O133" s="150"/>
      <c r="P133" s="54" t="s">
        <v>942</v>
      </c>
      <c r="Q133" s="49"/>
      <c r="R133" s="74" t="s">
        <v>943</v>
      </c>
      <c r="S133" s="59" t="s">
        <v>218</v>
      </c>
      <c r="T133" s="59" t="s">
        <v>218</v>
      </c>
      <c r="U133" s="60" t="s">
        <v>218</v>
      </c>
      <c r="V133" s="61"/>
      <c r="W133" s="61"/>
      <c r="X133" s="61"/>
      <c r="Y133" s="61"/>
      <c r="Z133" s="61"/>
      <c r="AA133" s="61"/>
    </row>
    <row r="134" spans="1:27">
      <c r="A134" s="41" t="s">
        <v>231</v>
      </c>
      <c r="B134" s="149" t="str">
        <f>VLOOKUP(A134,'Message ID'!A:M,2,FALSE)</f>
        <v>单体电芯自放电率</v>
      </c>
      <c r="C134" s="41"/>
      <c r="D134" s="41"/>
      <c r="E134" s="43">
        <v>416</v>
      </c>
      <c r="F134" s="44"/>
      <c r="G134" s="45"/>
      <c r="H134" s="45"/>
      <c r="I134" s="45"/>
      <c r="J134" s="45"/>
      <c r="K134" s="45"/>
      <c r="L134" s="45"/>
      <c r="M134" s="45"/>
      <c r="N134" s="43">
        <f>N135*416</f>
        <v>2080</v>
      </c>
      <c r="O134" s="46"/>
      <c r="P134" s="45"/>
      <c r="Q134" s="41"/>
      <c r="R134" s="41"/>
      <c r="S134" s="47"/>
      <c r="T134" s="47"/>
      <c r="U134" s="47"/>
      <c r="V134" s="48"/>
      <c r="W134" s="48"/>
      <c r="X134" s="48"/>
      <c r="Y134" s="48"/>
      <c r="Z134" s="48"/>
      <c r="AA134" s="48"/>
    </row>
    <row r="135" ht="25.5" outlineLevel="1" spans="1:27">
      <c r="A135" s="49"/>
      <c r="B135" s="54"/>
      <c r="C135" s="69" t="s">
        <v>944</v>
      </c>
      <c r="D135" s="74" t="s">
        <v>945</v>
      </c>
      <c r="E135" s="83" t="s">
        <v>946</v>
      </c>
      <c r="F135" s="52">
        <v>0</v>
      </c>
      <c r="G135" s="53">
        <v>8</v>
      </c>
      <c r="H135" s="53">
        <v>0.5</v>
      </c>
      <c r="I135" s="53">
        <v>0</v>
      </c>
      <c r="J135" s="53">
        <v>0</v>
      </c>
      <c r="K135" s="53">
        <f>(POWER(2,G135)-1)*H135+I135</f>
        <v>127.5</v>
      </c>
      <c r="L135" s="53">
        <v>0</v>
      </c>
      <c r="M135" s="54" t="s">
        <v>947</v>
      </c>
      <c r="N135" s="55">
        <f>LEN(K135)</f>
        <v>5</v>
      </c>
      <c r="O135" s="150"/>
      <c r="P135" s="54" t="s">
        <v>942</v>
      </c>
      <c r="Q135" s="49"/>
      <c r="R135" s="74" t="s">
        <v>948</v>
      </c>
      <c r="S135" s="59" t="s">
        <v>218</v>
      </c>
      <c r="T135" s="59" t="s">
        <v>218</v>
      </c>
      <c r="U135" s="60" t="s">
        <v>218</v>
      </c>
      <c r="V135" s="61"/>
      <c r="W135" s="61"/>
      <c r="X135" s="61"/>
      <c r="Y135" s="61"/>
      <c r="Z135" s="61"/>
      <c r="AA135" s="61"/>
    </row>
    <row r="136" spans="1:27">
      <c r="A136" s="41" t="s">
        <v>234</v>
      </c>
      <c r="B136" s="151" t="str">
        <f>VLOOKUP(A136,'Message ID'!A:M,2,FALSE)</f>
        <v>RBMS故障列表</v>
      </c>
      <c r="C136" s="41"/>
      <c r="D136" s="41"/>
      <c r="E136" s="43">
        <v>25</v>
      </c>
      <c r="F136" s="45"/>
      <c r="G136" s="45"/>
      <c r="H136" s="45"/>
      <c r="I136" s="45"/>
      <c r="J136" s="45"/>
      <c r="K136" s="45"/>
      <c r="L136" s="45"/>
      <c r="M136" s="45"/>
      <c r="N136" s="43">
        <f>N137*200</f>
        <v>200</v>
      </c>
      <c r="O136" s="41"/>
      <c r="P136" s="45"/>
      <c r="Q136" s="48"/>
      <c r="R136" s="41"/>
      <c r="S136" s="47"/>
      <c r="T136" s="47"/>
      <c r="U136" s="47"/>
      <c r="V136" s="48"/>
      <c r="W136" s="48"/>
      <c r="X136" s="48"/>
      <c r="Y136" s="48"/>
      <c r="Z136" s="48"/>
      <c r="AA136" s="48"/>
    </row>
    <row r="137" ht="25.5" outlineLevel="1" spans="1:27">
      <c r="A137" s="60"/>
      <c r="B137" s="60"/>
      <c r="C137" s="73" t="s">
        <v>949</v>
      </c>
      <c r="D137" s="70" t="s">
        <v>950</v>
      </c>
      <c r="E137" s="152" t="s">
        <v>951</v>
      </c>
      <c r="F137" s="53">
        <v>0</v>
      </c>
      <c r="G137" s="55">
        <v>1</v>
      </c>
      <c r="H137" s="55">
        <v>1</v>
      </c>
      <c r="I137" s="55">
        <v>0</v>
      </c>
      <c r="J137" s="55">
        <v>0</v>
      </c>
      <c r="K137" s="55">
        <f>(POWER(2,G137)-1)*H137+I137</f>
        <v>1</v>
      </c>
      <c r="L137" s="55">
        <v>0</v>
      </c>
      <c r="M137" s="66" t="s">
        <v>218</v>
      </c>
      <c r="N137" s="75">
        <f>LEN(K137)</f>
        <v>1</v>
      </c>
      <c r="O137" s="70" t="s">
        <v>952</v>
      </c>
      <c r="P137" s="65" t="s">
        <v>942</v>
      </c>
      <c r="Q137" s="61"/>
      <c r="R137" s="73" t="s">
        <v>953</v>
      </c>
      <c r="S137" s="59" t="s">
        <v>218</v>
      </c>
      <c r="T137" s="59" t="s">
        <v>218</v>
      </c>
      <c r="U137" s="60" t="s">
        <v>218</v>
      </c>
      <c r="V137" s="61"/>
      <c r="W137" s="61"/>
      <c r="X137" s="61"/>
      <c r="Y137" s="61"/>
      <c r="Z137" s="61"/>
      <c r="AA137" s="61"/>
    </row>
    <row r="138" spans="1:27">
      <c r="A138" s="41" t="s">
        <v>238</v>
      </c>
      <c r="B138" s="149" t="str">
        <f>VLOOKUP(A138,'Message ID'!A:M,2,FALSE)</f>
        <v>Bank 概要数据</v>
      </c>
      <c r="C138" s="41"/>
      <c r="D138" s="41"/>
      <c r="E138" s="43">
        <v>127</v>
      </c>
      <c r="F138" s="44"/>
      <c r="G138" s="45"/>
      <c r="H138" s="45"/>
      <c r="I138" s="45"/>
      <c r="J138" s="45"/>
      <c r="K138" s="45"/>
      <c r="L138" s="45"/>
      <c r="M138" s="45"/>
      <c r="N138" s="43">
        <f>SUM(N139:N209)</f>
        <v>366</v>
      </c>
      <c r="O138" s="46"/>
      <c r="P138" s="45"/>
      <c r="Q138" s="149"/>
      <c r="R138" s="41"/>
      <c r="S138" s="47"/>
      <c r="T138" s="47"/>
      <c r="U138" s="47"/>
      <c r="V138" s="48"/>
      <c r="W138" s="48"/>
      <c r="X138" s="48"/>
      <c r="Y138" s="48"/>
      <c r="Z138" s="48"/>
      <c r="AA138" s="48"/>
    </row>
    <row r="139" ht="102" outlineLevel="1" spans="1:27">
      <c r="A139" s="49"/>
      <c r="B139" s="49"/>
      <c r="C139" s="74" t="s">
        <v>954</v>
      </c>
      <c r="D139" s="74" t="s">
        <v>955</v>
      </c>
      <c r="E139" s="63">
        <f t="shared" ref="E139:E169" si="48">IF(INT((F139+G139-1)/8)+1=INT(F139/8)+1,INT(F139/8)+1,INT(F139/8)+1&amp;"-"&amp;INT((F139+G139-1)/8)+1)</f>
        <v>1</v>
      </c>
      <c r="F139" s="65">
        <v>0</v>
      </c>
      <c r="G139" s="65">
        <v>8</v>
      </c>
      <c r="H139" s="65">
        <v>1</v>
      </c>
      <c r="I139" s="65">
        <v>0</v>
      </c>
      <c r="J139" s="65">
        <v>0</v>
      </c>
      <c r="K139" s="65">
        <f t="shared" ref="K139:K163" si="49">(POWER(2,G139)-1)*H139+I139</f>
        <v>255</v>
      </c>
      <c r="L139" s="65">
        <v>0</v>
      </c>
      <c r="M139" s="66" t="s">
        <v>218</v>
      </c>
      <c r="N139" s="75">
        <f>LEN(K139)</f>
        <v>3</v>
      </c>
      <c r="O139" s="153" t="s">
        <v>956</v>
      </c>
      <c r="P139" s="154" t="s">
        <v>957</v>
      </c>
      <c r="Q139" s="107"/>
      <c r="R139" s="74" t="s">
        <v>958</v>
      </c>
      <c r="S139" s="59" t="s">
        <v>218</v>
      </c>
      <c r="T139" s="60" t="s">
        <v>218</v>
      </c>
      <c r="U139" s="60" t="s">
        <v>218</v>
      </c>
      <c r="V139" s="61"/>
      <c r="W139" s="61"/>
      <c r="X139" s="61"/>
      <c r="Y139" s="61"/>
      <c r="Z139" s="61"/>
      <c r="AA139" s="61"/>
    </row>
    <row r="140" ht="89.25" outlineLevel="1" spans="1:27">
      <c r="A140" s="49"/>
      <c r="B140" s="49"/>
      <c r="C140" s="74" t="s">
        <v>959</v>
      </c>
      <c r="D140" s="74" t="s">
        <v>960</v>
      </c>
      <c r="E140" s="63">
        <f t="shared" si="48"/>
        <v>2</v>
      </c>
      <c r="F140" s="64">
        <f t="shared" ref="F140:F200" si="50">F139+G139</f>
        <v>8</v>
      </c>
      <c r="G140" s="65">
        <v>8</v>
      </c>
      <c r="H140" s="65">
        <v>1</v>
      </c>
      <c r="I140" s="65">
        <v>0</v>
      </c>
      <c r="J140" s="65">
        <v>0</v>
      </c>
      <c r="K140" s="65">
        <f t="shared" si="49"/>
        <v>255</v>
      </c>
      <c r="L140" s="65">
        <v>0</v>
      </c>
      <c r="M140" s="66" t="s">
        <v>218</v>
      </c>
      <c r="N140" s="75">
        <f t="shared" ref="N140:N220" si="51">LEN(K140)</f>
        <v>3</v>
      </c>
      <c r="O140" s="155" t="s">
        <v>379</v>
      </c>
      <c r="P140" s="154" t="s">
        <v>961</v>
      </c>
      <c r="Q140" s="69" t="s">
        <v>381</v>
      </c>
      <c r="R140" s="74" t="s">
        <v>962</v>
      </c>
      <c r="S140" s="59" t="s">
        <v>218</v>
      </c>
      <c r="T140" s="60" t="s">
        <v>218</v>
      </c>
      <c r="U140" s="60" t="s">
        <v>218</v>
      </c>
      <c r="V140" s="61"/>
      <c r="W140" s="61"/>
      <c r="X140" s="61"/>
      <c r="Y140" s="61"/>
      <c r="Z140" s="61"/>
      <c r="AA140" s="61"/>
    </row>
    <row r="141" ht="229.5" outlineLevel="1" spans="1:27">
      <c r="A141" s="61"/>
      <c r="B141" s="61"/>
      <c r="C141" s="74" t="s">
        <v>963</v>
      </c>
      <c r="D141" s="74" t="s">
        <v>964</v>
      </c>
      <c r="E141" s="63" t="str">
        <f t="shared" si="48"/>
        <v>3-4</v>
      </c>
      <c r="F141" s="64">
        <f t="shared" si="50"/>
        <v>16</v>
      </c>
      <c r="G141" s="65">
        <v>16</v>
      </c>
      <c r="H141" s="65">
        <v>1</v>
      </c>
      <c r="I141" s="65">
        <v>0</v>
      </c>
      <c r="J141" s="65">
        <v>0</v>
      </c>
      <c r="K141" s="65">
        <f t="shared" si="49"/>
        <v>65535</v>
      </c>
      <c r="L141" s="65">
        <v>0</v>
      </c>
      <c r="M141" s="66" t="s">
        <v>218</v>
      </c>
      <c r="N141" s="75">
        <f t="shared" si="51"/>
        <v>5</v>
      </c>
      <c r="O141" s="74" t="s">
        <v>965</v>
      </c>
      <c r="P141" s="154" t="s">
        <v>966</v>
      </c>
      <c r="Q141" s="156" t="s">
        <v>967</v>
      </c>
      <c r="R141" s="59" t="s">
        <v>968</v>
      </c>
      <c r="S141" s="59" t="s">
        <v>218</v>
      </c>
      <c r="T141" s="60" t="s">
        <v>218</v>
      </c>
      <c r="U141" s="60" t="s">
        <v>218</v>
      </c>
      <c r="V141" s="61"/>
      <c r="W141" s="61"/>
      <c r="X141" s="61"/>
      <c r="Y141" s="61"/>
      <c r="Z141" s="61"/>
      <c r="AA141" s="61"/>
    </row>
    <row r="142" ht="25.5" outlineLevel="1" spans="1:27">
      <c r="A142" s="61"/>
      <c r="B142" s="61"/>
      <c r="C142" s="74" t="s">
        <v>969</v>
      </c>
      <c r="D142" s="74" t="s">
        <v>970</v>
      </c>
      <c r="E142" s="63" t="str">
        <f t="shared" si="48"/>
        <v>5-6</v>
      </c>
      <c r="F142" s="64">
        <f t="shared" si="50"/>
        <v>32</v>
      </c>
      <c r="G142" s="65">
        <v>16</v>
      </c>
      <c r="H142" s="65">
        <v>1</v>
      </c>
      <c r="I142" s="65">
        <v>0</v>
      </c>
      <c r="J142" s="65">
        <v>0</v>
      </c>
      <c r="K142" s="65">
        <f t="shared" si="49"/>
        <v>65535</v>
      </c>
      <c r="L142" s="65">
        <v>0</v>
      </c>
      <c r="M142" s="66" t="s">
        <v>218</v>
      </c>
      <c r="N142" s="75">
        <f t="shared" si="51"/>
        <v>5</v>
      </c>
      <c r="O142" s="74"/>
      <c r="P142" s="154" t="s">
        <v>971</v>
      </c>
      <c r="Q142" s="77"/>
      <c r="R142" s="59" t="s">
        <v>972</v>
      </c>
      <c r="S142" s="59" t="s">
        <v>218</v>
      </c>
      <c r="T142" s="60" t="s">
        <v>218</v>
      </c>
      <c r="U142" s="60" t="s">
        <v>218</v>
      </c>
      <c r="V142" s="61"/>
      <c r="W142" s="61"/>
      <c r="X142" s="61"/>
      <c r="Y142" s="61"/>
      <c r="Z142" s="61"/>
      <c r="AA142" s="61"/>
    </row>
    <row r="143" ht="51" outlineLevel="1" spans="1:27">
      <c r="A143" s="49"/>
      <c r="B143" s="49"/>
      <c r="C143" s="70" t="s">
        <v>973</v>
      </c>
      <c r="D143" s="70" t="s">
        <v>974</v>
      </c>
      <c r="E143" s="63">
        <f t="shared" si="48"/>
        <v>7</v>
      </c>
      <c r="F143" s="64">
        <f t="shared" si="50"/>
        <v>48</v>
      </c>
      <c r="G143" s="65">
        <v>8</v>
      </c>
      <c r="H143" s="65">
        <v>1</v>
      </c>
      <c r="I143" s="65">
        <v>0</v>
      </c>
      <c r="J143" s="65">
        <v>0</v>
      </c>
      <c r="K143" s="65">
        <f t="shared" si="49"/>
        <v>255</v>
      </c>
      <c r="L143" s="65">
        <v>0</v>
      </c>
      <c r="M143" s="66" t="s">
        <v>218</v>
      </c>
      <c r="N143" s="75">
        <f t="shared" si="51"/>
        <v>3</v>
      </c>
      <c r="O143" s="107" t="s">
        <v>975</v>
      </c>
      <c r="P143" s="65"/>
      <c r="Q143" s="107"/>
      <c r="R143" s="74" t="s">
        <v>976</v>
      </c>
      <c r="S143" s="59" t="s">
        <v>218</v>
      </c>
      <c r="T143" s="60" t="s">
        <v>218</v>
      </c>
      <c r="U143" s="60" t="s">
        <v>218</v>
      </c>
      <c r="V143" s="61"/>
      <c r="W143" s="61"/>
      <c r="X143" s="61"/>
      <c r="Y143" s="61"/>
      <c r="Z143" s="61"/>
      <c r="AA143" s="61"/>
    </row>
    <row r="144" ht="216.75" outlineLevel="1" spans="1:27">
      <c r="A144" s="49"/>
      <c r="B144" s="49"/>
      <c r="C144" s="74" t="s">
        <v>977</v>
      </c>
      <c r="D144" s="74" t="s">
        <v>978</v>
      </c>
      <c r="E144" s="63" t="str">
        <f t="shared" si="48"/>
        <v>8-9</v>
      </c>
      <c r="F144" s="64">
        <f t="shared" si="50"/>
        <v>56</v>
      </c>
      <c r="G144" s="68">
        <v>16</v>
      </c>
      <c r="H144" s="65">
        <v>1</v>
      </c>
      <c r="I144" s="65">
        <v>0</v>
      </c>
      <c r="J144" s="65">
        <v>0</v>
      </c>
      <c r="K144" s="65">
        <f t="shared" si="49"/>
        <v>65535</v>
      </c>
      <c r="L144" s="65">
        <v>0</v>
      </c>
      <c r="M144" s="66" t="s">
        <v>218</v>
      </c>
      <c r="N144" s="75">
        <f t="shared" si="51"/>
        <v>5</v>
      </c>
      <c r="O144" s="107" t="s">
        <v>979</v>
      </c>
      <c r="P144" s="154" t="s">
        <v>980</v>
      </c>
      <c r="Q144" s="153"/>
      <c r="R144" s="74" t="s">
        <v>981</v>
      </c>
      <c r="S144" s="59" t="s">
        <v>218</v>
      </c>
      <c r="T144" s="60" t="s">
        <v>218</v>
      </c>
      <c r="U144" s="60" t="s">
        <v>218</v>
      </c>
      <c r="V144" s="61"/>
      <c r="W144" s="61"/>
      <c r="X144" s="61"/>
      <c r="Y144" s="61"/>
      <c r="Z144" s="61"/>
      <c r="AA144" s="61"/>
    </row>
    <row r="145" ht="409.5" outlineLevel="1" spans="1:27">
      <c r="A145" s="49"/>
      <c r="B145" s="49"/>
      <c r="C145" s="70" t="s">
        <v>982</v>
      </c>
      <c r="D145" s="74" t="s">
        <v>983</v>
      </c>
      <c r="E145" s="63" t="str">
        <f t="shared" si="48"/>
        <v>10-11</v>
      </c>
      <c r="F145" s="64">
        <f t="shared" si="50"/>
        <v>72</v>
      </c>
      <c r="G145" s="65">
        <v>16</v>
      </c>
      <c r="H145" s="65">
        <v>1</v>
      </c>
      <c r="I145" s="65">
        <v>0</v>
      </c>
      <c r="J145" s="65">
        <v>0</v>
      </c>
      <c r="K145" s="65">
        <f t="shared" si="49"/>
        <v>65535</v>
      </c>
      <c r="L145" s="65">
        <v>0</v>
      </c>
      <c r="M145" s="66" t="s">
        <v>218</v>
      </c>
      <c r="N145" s="75">
        <f t="shared" si="51"/>
        <v>5</v>
      </c>
      <c r="O145" s="153" t="s">
        <v>984</v>
      </c>
      <c r="P145" s="154"/>
      <c r="Q145" s="107"/>
      <c r="R145" s="74" t="s">
        <v>985</v>
      </c>
      <c r="S145" s="59" t="s">
        <v>218</v>
      </c>
      <c r="T145" s="60" t="s">
        <v>218</v>
      </c>
      <c r="U145" s="60" t="s">
        <v>218</v>
      </c>
      <c r="V145" s="61"/>
      <c r="W145" s="61"/>
      <c r="X145" s="61"/>
      <c r="Y145" s="61"/>
      <c r="Z145" s="61"/>
      <c r="AA145" s="61"/>
    </row>
    <row r="146" ht="25.5" outlineLevel="1" spans="1:27">
      <c r="A146" s="49"/>
      <c r="B146" s="49"/>
      <c r="C146" s="70" t="s">
        <v>986</v>
      </c>
      <c r="D146" s="70" t="s">
        <v>987</v>
      </c>
      <c r="E146" s="63">
        <f t="shared" si="48"/>
        <v>12</v>
      </c>
      <c r="F146" s="64">
        <f t="shared" si="50"/>
        <v>88</v>
      </c>
      <c r="G146" s="65">
        <v>8</v>
      </c>
      <c r="H146" s="65">
        <v>0.5</v>
      </c>
      <c r="I146" s="65">
        <v>0</v>
      </c>
      <c r="J146" s="65">
        <v>0</v>
      </c>
      <c r="K146" s="65">
        <f t="shared" si="49"/>
        <v>127.5</v>
      </c>
      <c r="L146" s="65">
        <v>0</v>
      </c>
      <c r="M146" s="66" t="s">
        <v>506</v>
      </c>
      <c r="N146" s="75">
        <f t="shared" si="51"/>
        <v>5</v>
      </c>
      <c r="O146" s="76"/>
      <c r="P146" s="66" t="s">
        <v>988</v>
      </c>
      <c r="Q146" s="107"/>
      <c r="R146" s="74" t="s">
        <v>989</v>
      </c>
      <c r="S146" s="59" t="s">
        <v>218</v>
      </c>
      <c r="T146" s="60" t="s">
        <v>218</v>
      </c>
      <c r="U146" s="60" t="s">
        <v>218</v>
      </c>
      <c r="V146" s="61"/>
      <c r="W146" s="61"/>
      <c r="X146" s="61"/>
      <c r="Y146" s="61"/>
      <c r="Z146" s="61"/>
      <c r="AA146" s="61"/>
    </row>
    <row r="147" ht="25.5" outlineLevel="1" spans="1:27">
      <c r="A147" s="49"/>
      <c r="B147" s="49"/>
      <c r="C147" s="70" t="s">
        <v>990</v>
      </c>
      <c r="D147" s="70" t="s">
        <v>991</v>
      </c>
      <c r="E147" s="63">
        <f t="shared" si="48"/>
        <v>13</v>
      </c>
      <c r="F147" s="64">
        <f t="shared" si="50"/>
        <v>96</v>
      </c>
      <c r="G147" s="65">
        <v>8</v>
      </c>
      <c r="H147" s="65">
        <v>1</v>
      </c>
      <c r="I147" s="65">
        <v>0</v>
      </c>
      <c r="J147" s="65">
        <v>0</v>
      </c>
      <c r="K147" s="65">
        <f t="shared" si="49"/>
        <v>255</v>
      </c>
      <c r="L147" s="65">
        <v>100</v>
      </c>
      <c r="M147" s="66" t="s">
        <v>506</v>
      </c>
      <c r="N147" s="75">
        <f t="shared" si="51"/>
        <v>3</v>
      </c>
      <c r="O147" s="76"/>
      <c r="P147" s="66" t="s">
        <v>992</v>
      </c>
      <c r="Q147" s="107"/>
      <c r="R147" s="74" t="s">
        <v>993</v>
      </c>
      <c r="S147" s="59" t="s">
        <v>218</v>
      </c>
      <c r="T147" s="60" t="s">
        <v>218</v>
      </c>
      <c r="U147" s="60" t="s">
        <v>218</v>
      </c>
      <c r="V147" s="61"/>
      <c r="W147" s="61"/>
      <c r="X147" s="61"/>
      <c r="Y147" s="61"/>
      <c r="Z147" s="61"/>
      <c r="AA147" s="61"/>
    </row>
    <row r="148" ht="25.5" outlineLevel="1" spans="1:27">
      <c r="A148" s="49"/>
      <c r="B148" s="49"/>
      <c r="C148" s="70" t="s">
        <v>994</v>
      </c>
      <c r="D148" s="70" t="s">
        <v>995</v>
      </c>
      <c r="E148" s="63" t="str">
        <f t="shared" si="48"/>
        <v>14-15</v>
      </c>
      <c r="F148" s="64">
        <f t="shared" si="50"/>
        <v>104</v>
      </c>
      <c r="G148" s="65">
        <v>16</v>
      </c>
      <c r="H148" s="65">
        <v>0.125</v>
      </c>
      <c r="I148" s="65">
        <v>0</v>
      </c>
      <c r="J148" s="65">
        <v>0</v>
      </c>
      <c r="K148" s="65">
        <f t="shared" si="49"/>
        <v>8191.875</v>
      </c>
      <c r="L148" s="65">
        <v>0</v>
      </c>
      <c r="M148" s="66" t="s">
        <v>519</v>
      </c>
      <c r="N148" s="75">
        <f t="shared" si="51"/>
        <v>8</v>
      </c>
      <c r="O148" s="76"/>
      <c r="P148" s="66" t="s">
        <v>996</v>
      </c>
      <c r="Q148" s="107"/>
      <c r="R148" s="74" t="s">
        <v>997</v>
      </c>
      <c r="S148" s="59" t="s">
        <v>218</v>
      </c>
      <c r="T148" s="60" t="s">
        <v>218</v>
      </c>
      <c r="U148" s="60" t="s">
        <v>218</v>
      </c>
      <c r="V148" s="61"/>
      <c r="W148" s="61"/>
      <c r="X148" s="61"/>
      <c r="Y148" s="61"/>
      <c r="Z148" s="61"/>
      <c r="AA148" s="61"/>
    </row>
    <row r="149" ht="25.5" outlineLevel="1" spans="1:27">
      <c r="A149" s="49"/>
      <c r="B149" s="49"/>
      <c r="C149" s="70" t="s">
        <v>998</v>
      </c>
      <c r="D149" s="70" t="s">
        <v>999</v>
      </c>
      <c r="E149" s="63" t="str">
        <f t="shared" si="48"/>
        <v>16-17</v>
      </c>
      <c r="F149" s="64">
        <f t="shared" si="50"/>
        <v>120</v>
      </c>
      <c r="G149" s="65">
        <v>16</v>
      </c>
      <c r="H149" s="65">
        <v>0.125</v>
      </c>
      <c r="I149" s="65">
        <v>0</v>
      </c>
      <c r="J149" s="65">
        <v>0</v>
      </c>
      <c r="K149" s="65">
        <f t="shared" si="49"/>
        <v>8191.875</v>
      </c>
      <c r="L149" s="65">
        <v>0</v>
      </c>
      <c r="M149" s="66" t="s">
        <v>519</v>
      </c>
      <c r="N149" s="75">
        <f t="shared" si="51"/>
        <v>8</v>
      </c>
      <c r="O149" s="76"/>
      <c r="P149" s="66" t="s">
        <v>1000</v>
      </c>
      <c r="Q149" s="107"/>
      <c r="R149" s="74" t="s">
        <v>1001</v>
      </c>
      <c r="S149" s="59" t="s">
        <v>218</v>
      </c>
      <c r="T149" s="60" t="s">
        <v>218</v>
      </c>
      <c r="U149" s="60" t="s">
        <v>218</v>
      </c>
      <c r="V149" s="61"/>
      <c r="W149" s="61"/>
      <c r="X149" s="61"/>
      <c r="Y149" s="61"/>
      <c r="Z149" s="61"/>
      <c r="AA149" s="61"/>
    </row>
    <row r="150" ht="25.5" outlineLevel="1" spans="1:27">
      <c r="A150" s="49"/>
      <c r="B150" s="49"/>
      <c r="C150" s="70" t="s">
        <v>1002</v>
      </c>
      <c r="D150" s="70" t="s">
        <v>1003</v>
      </c>
      <c r="E150" s="63" t="str">
        <f t="shared" si="48"/>
        <v>18-19</v>
      </c>
      <c r="F150" s="64">
        <f t="shared" si="50"/>
        <v>136</v>
      </c>
      <c r="G150" s="65">
        <v>16</v>
      </c>
      <c r="H150" s="65">
        <v>0.125</v>
      </c>
      <c r="I150" s="65">
        <v>0</v>
      </c>
      <c r="J150" s="65">
        <v>0</v>
      </c>
      <c r="K150" s="65">
        <f t="shared" si="49"/>
        <v>8191.875</v>
      </c>
      <c r="L150" s="65">
        <v>0</v>
      </c>
      <c r="M150" s="66" t="s">
        <v>538</v>
      </c>
      <c r="N150" s="75">
        <f t="shared" si="51"/>
        <v>8</v>
      </c>
      <c r="O150" s="76"/>
      <c r="P150" s="66" t="s">
        <v>1004</v>
      </c>
      <c r="Q150" s="107"/>
      <c r="R150" s="74" t="s">
        <v>1005</v>
      </c>
      <c r="S150" s="59" t="s">
        <v>218</v>
      </c>
      <c r="T150" s="60" t="s">
        <v>218</v>
      </c>
      <c r="U150" s="60" t="s">
        <v>218</v>
      </c>
      <c r="V150" s="61"/>
      <c r="W150" s="61"/>
      <c r="X150" s="61"/>
      <c r="Y150" s="61"/>
      <c r="Z150" s="61"/>
      <c r="AA150" s="61"/>
    </row>
    <row r="151" ht="25.5" outlineLevel="1" spans="1:27">
      <c r="A151" s="49"/>
      <c r="B151" s="49"/>
      <c r="C151" s="70" t="s">
        <v>1006</v>
      </c>
      <c r="D151" s="70" t="s">
        <v>1007</v>
      </c>
      <c r="E151" s="63" t="str">
        <f t="shared" si="48"/>
        <v>20-21</v>
      </c>
      <c r="F151" s="64">
        <f t="shared" si="50"/>
        <v>152</v>
      </c>
      <c r="G151" s="65">
        <v>16</v>
      </c>
      <c r="H151" s="65">
        <v>0.125</v>
      </c>
      <c r="I151" s="65">
        <v>0</v>
      </c>
      <c r="J151" s="65">
        <v>0</v>
      </c>
      <c r="K151" s="65">
        <f t="shared" si="49"/>
        <v>8191.875</v>
      </c>
      <c r="L151" s="65">
        <v>0</v>
      </c>
      <c r="M151" s="66" t="s">
        <v>538</v>
      </c>
      <c r="N151" s="75">
        <f t="shared" si="51"/>
        <v>8</v>
      </c>
      <c r="O151" s="76"/>
      <c r="P151" s="66"/>
      <c r="Q151" s="107"/>
      <c r="R151" s="74" t="s">
        <v>1008</v>
      </c>
      <c r="S151" s="59" t="s">
        <v>218</v>
      </c>
      <c r="T151" s="60" t="s">
        <v>218</v>
      </c>
      <c r="U151" s="60" t="s">
        <v>218</v>
      </c>
      <c r="V151" s="61"/>
      <c r="W151" s="61"/>
      <c r="X151" s="61"/>
      <c r="Y151" s="61"/>
      <c r="Z151" s="61"/>
      <c r="AA151" s="61"/>
    </row>
    <row r="152" ht="25.5" outlineLevel="1" spans="1:27">
      <c r="A152" s="49"/>
      <c r="B152" s="49"/>
      <c r="C152" s="70" t="s">
        <v>1009</v>
      </c>
      <c r="D152" s="70" t="s">
        <v>1010</v>
      </c>
      <c r="E152" s="63" t="str">
        <f t="shared" si="48"/>
        <v>22-23</v>
      </c>
      <c r="F152" s="64">
        <f t="shared" si="50"/>
        <v>168</v>
      </c>
      <c r="G152" s="65">
        <v>16</v>
      </c>
      <c r="H152" s="65">
        <v>0.125</v>
      </c>
      <c r="I152" s="65">
        <v>0</v>
      </c>
      <c r="J152" s="65">
        <v>0</v>
      </c>
      <c r="K152" s="65">
        <f t="shared" si="49"/>
        <v>8191.875</v>
      </c>
      <c r="L152" s="65">
        <v>0</v>
      </c>
      <c r="M152" s="66" t="s">
        <v>538</v>
      </c>
      <c r="N152" s="75">
        <f t="shared" si="51"/>
        <v>8</v>
      </c>
      <c r="O152" s="76"/>
      <c r="P152" s="66" t="s">
        <v>1011</v>
      </c>
      <c r="Q152" s="107"/>
      <c r="R152" s="74" t="s">
        <v>1012</v>
      </c>
      <c r="S152" s="59" t="s">
        <v>218</v>
      </c>
      <c r="T152" s="60" t="s">
        <v>218</v>
      </c>
      <c r="U152" s="60" t="s">
        <v>218</v>
      </c>
      <c r="V152" s="61"/>
      <c r="W152" s="61"/>
      <c r="X152" s="61"/>
      <c r="Y152" s="61"/>
      <c r="Z152" s="61"/>
      <c r="AA152" s="61"/>
    </row>
    <row r="153" ht="25.5" outlineLevel="1" spans="1:27">
      <c r="A153" s="49"/>
      <c r="B153" s="49"/>
      <c r="C153" s="70" t="s">
        <v>1013</v>
      </c>
      <c r="D153" s="70" t="s">
        <v>1014</v>
      </c>
      <c r="E153" s="63" t="str">
        <f t="shared" si="48"/>
        <v>24-25</v>
      </c>
      <c r="F153" s="64">
        <f t="shared" si="50"/>
        <v>184</v>
      </c>
      <c r="G153" s="65">
        <v>16</v>
      </c>
      <c r="H153" s="65">
        <v>0.125</v>
      </c>
      <c r="I153" s="65">
        <v>0</v>
      </c>
      <c r="J153" s="65">
        <v>0</v>
      </c>
      <c r="K153" s="65">
        <f t="shared" si="49"/>
        <v>8191.875</v>
      </c>
      <c r="L153" s="65">
        <v>0</v>
      </c>
      <c r="M153" s="66" t="s">
        <v>538</v>
      </c>
      <c r="N153" s="75">
        <f t="shared" si="51"/>
        <v>8</v>
      </c>
      <c r="O153" s="76"/>
      <c r="P153" s="66"/>
      <c r="Q153" s="107"/>
      <c r="R153" s="74" t="s">
        <v>1015</v>
      </c>
      <c r="S153" s="59" t="s">
        <v>218</v>
      </c>
      <c r="T153" s="60" t="s">
        <v>218</v>
      </c>
      <c r="U153" s="60" t="s">
        <v>218</v>
      </c>
      <c r="V153" s="61"/>
      <c r="W153" s="61"/>
      <c r="X153" s="61"/>
      <c r="Y153" s="61"/>
      <c r="Z153" s="61"/>
      <c r="AA153" s="61"/>
    </row>
    <row r="154" ht="25.5" outlineLevel="1" spans="1:27">
      <c r="A154" s="49"/>
      <c r="B154" s="49"/>
      <c r="C154" s="70" t="s">
        <v>1016</v>
      </c>
      <c r="D154" s="70" t="s">
        <v>1017</v>
      </c>
      <c r="E154" s="63" t="str">
        <f t="shared" si="48"/>
        <v>26-27</v>
      </c>
      <c r="F154" s="64">
        <f t="shared" si="50"/>
        <v>200</v>
      </c>
      <c r="G154" s="65">
        <v>16</v>
      </c>
      <c r="H154" s="65">
        <v>0.125</v>
      </c>
      <c r="I154" s="65">
        <v>0</v>
      </c>
      <c r="J154" s="65">
        <v>0</v>
      </c>
      <c r="K154" s="65">
        <f t="shared" si="49"/>
        <v>8191.875</v>
      </c>
      <c r="L154" s="65">
        <v>0</v>
      </c>
      <c r="M154" s="66" t="s">
        <v>416</v>
      </c>
      <c r="N154" s="75">
        <f t="shared" si="51"/>
        <v>8</v>
      </c>
      <c r="O154" s="76"/>
      <c r="P154" s="66" t="s">
        <v>1018</v>
      </c>
      <c r="Q154" s="107"/>
      <c r="R154" s="74" t="s">
        <v>1019</v>
      </c>
      <c r="S154" s="59" t="s">
        <v>218</v>
      </c>
      <c r="T154" s="60" t="s">
        <v>218</v>
      </c>
      <c r="U154" s="60" t="s">
        <v>218</v>
      </c>
      <c r="V154" s="61"/>
      <c r="W154" s="61"/>
      <c r="X154" s="61"/>
      <c r="Y154" s="61"/>
      <c r="Z154" s="61"/>
      <c r="AA154" s="61"/>
    </row>
    <row r="155" ht="25.5" outlineLevel="1" spans="1:27">
      <c r="A155" s="49"/>
      <c r="B155" s="49"/>
      <c r="C155" s="70" t="s">
        <v>1020</v>
      </c>
      <c r="D155" s="70" t="s">
        <v>1021</v>
      </c>
      <c r="E155" s="63" t="str">
        <f t="shared" si="48"/>
        <v>28-29</v>
      </c>
      <c r="F155" s="64">
        <f t="shared" si="50"/>
        <v>216</v>
      </c>
      <c r="G155" s="65">
        <v>16</v>
      </c>
      <c r="H155" s="65">
        <v>0.125</v>
      </c>
      <c r="I155" s="65">
        <v>0</v>
      </c>
      <c r="J155" s="65">
        <v>0</v>
      </c>
      <c r="K155" s="65">
        <f t="shared" si="49"/>
        <v>8191.875</v>
      </c>
      <c r="L155" s="65">
        <v>0</v>
      </c>
      <c r="M155" s="66" t="s">
        <v>416</v>
      </c>
      <c r="N155" s="75">
        <f t="shared" si="51"/>
        <v>8</v>
      </c>
      <c r="O155" s="76"/>
      <c r="P155" s="66"/>
      <c r="Q155" s="107"/>
      <c r="R155" s="74" t="s">
        <v>1022</v>
      </c>
      <c r="S155" s="59" t="s">
        <v>218</v>
      </c>
      <c r="T155" s="60" t="s">
        <v>218</v>
      </c>
      <c r="U155" s="60" t="s">
        <v>218</v>
      </c>
      <c r="V155" s="61"/>
      <c r="W155" s="61"/>
      <c r="X155" s="61"/>
      <c r="Y155" s="61"/>
      <c r="Z155" s="61"/>
      <c r="AA155" s="61"/>
    </row>
    <row r="156" ht="25.5" outlineLevel="1" spans="1:27">
      <c r="A156" s="49"/>
      <c r="B156" s="49"/>
      <c r="C156" s="70" t="s">
        <v>1023</v>
      </c>
      <c r="D156" s="70" t="s">
        <v>1024</v>
      </c>
      <c r="E156" s="63" t="str">
        <f t="shared" si="48"/>
        <v>30-31</v>
      </c>
      <c r="F156" s="64">
        <f t="shared" si="50"/>
        <v>232</v>
      </c>
      <c r="G156" s="65">
        <v>16</v>
      </c>
      <c r="H156" s="65">
        <v>0.125</v>
      </c>
      <c r="I156" s="65">
        <v>0</v>
      </c>
      <c r="J156" s="65">
        <v>0</v>
      </c>
      <c r="K156" s="65">
        <f t="shared" si="49"/>
        <v>8191.875</v>
      </c>
      <c r="L156" s="65">
        <v>0</v>
      </c>
      <c r="M156" s="66" t="s">
        <v>416</v>
      </c>
      <c r="N156" s="75">
        <f t="shared" si="51"/>
        <v>8</v>
      </c>
      <c r="O156" s="76"/>
      <c r="P156" s="66" t="s">
        <v>1025</v>
      </c>
      <c r="Q156" s="107"/>
      <c r="R156" s="74" t="s">
        <v>1026</v>
      </c>
      <c r="S156" s="59" t="s">
        <v>218</v>
      </c>
      <c r="T156" s="60" t="s">
        <v>218</v>
      </c>
      <c r="U156" s="60" t="s">
        <v>218</v>
      </c>
      <c r="V156" s="61"/>
      <c r="W156" s="61"/>
      <c r="X156" s="61"/>
      <c r="Y156" s="61"/>
      <c r="Z156" s="61"/>
      <c r="AA156" s="61"/>
    </row>
    <row r="157" ht="25.5" outlineLevel="1" spans="1:27">
      <c r="A157" s="49"/>
      <c r="B157" s="49"/>
      <c r="C157" s="70" t="s">
        <v>1027</v>
      </c>
      <c r="D157" s="70" t="s">
        <v>1028</v>
      </c>
      <c r="E157" s="63" t="str">
        <f t="shared" si="48"/>
        <v>32-33</v>
      </c>
      <c r="F157" s="64">
        <f t="shared" si="50"/>
        <v>248</v>
      </c>
      <c r="G157" s="65">
        <v>16</v>
      </c>
      <c r="H157" s="65">
        <v>0.125</v>
      </c>
      <c r="I157" s="65">
        <v>0</v>
      </c>
      <c r="J157" s="65">
        <v>0</v>
      </c>
      <c r="K157" s="65">
        <f t="shared" si="49"/>
        <v>8191.875</v>
      </c>
      <c r="L157" s="65">
        <v>0</v>
      </c>
      <c r="M157" s="66" t="s">
        <v>416</v>
      </c>
      <c r="N157" s="75">
        <f t="shared" si="51"/>
        <v>8</v>
      </c>
      <c r="O157" s="76"/>
      <c r="P157" s="66"/>
      <c r="Q157" s="107"/>
      <c r="R157" s="74" t="s">
        <v>1029</v>
      </c>
      <c r="S157" s="59" t="s">
        <v>218</v>
      </c>
      <c r="T157" s="60" t="s">
        <v>218</v>
      </c>
      <c r="U157" s="60" t="s">
        <v>218</v>
      </c>
      <c r="V157" s="61"/>
      <c r="W157" s="61"/>
      <c r="X157" s="61"/>
      <c r="Y157" s="61"/>
      <c r="Z157" s="61"/>
      <c r="AA157" s="61"/>
    </row>
    <row r="158" ht="25.5" outlineLevel="1" spans="1:27">
      <c r="A158" s="49"/>
      <c r="B158" s="49"/>
      <c r="C158" s="74" t="s">
        <v>1030</v>
      </c>
      <c r="D158" s="74" t="s">
        <v>1031</v>
      </c>
      <c r="E158" s="63" t="str">
        <f t="shared" si="48"/>
        <v>34-35</v>
      </c>
      <c r="F158" s="64">
        <f t="shared" si="50"/>
        <v>264</v>
      </c>
      <c r="G158" s="65">
        <v>16</v>
      </c>
      <c r="H158" s="65">
        <v>0.1</v>
      </c>
      <c r="I158" s="65">
        <v>0</v>
      </c>
      <c r="J158" s="65">
        <v>0</v>
      </c>
      <c r="K158" s="65">
        <f t="shared" si="49"/>
        <v>6553.5</v>
      </c>
      <c r="L158" s="65">
        <v>0</v>
      </c>
      <c r="M158" s="66" t="s">
        <v>1032</v>
      </c>
      <c r="N158" s="75">
        <f t="shared" si="51"/>
        <v>6</v>
      </c>
      <c r="O158" s="76"/>
      <c r="P158" s="154"/>
      <c r="Q158" s="107"/>
      <c r="R158" s="74" t="s">
        <v>1033</v>
      </c>
      <c r="S158" s="59" t="s">
        <v>218</v>
      </c>
      <c r="T158" s="60" t="s">
        <v>218</v>
      </c>
      <c r="U158" s="60" t="s">
        <v>218</v>
      </c>
      <c r="V158" s="61"/>
      <c r="W158" s="61"/>
      <c r="X158" s="61"/>
      <c r="Y158" s="61"/>
      <c r="Z158" s="61"/>
      <c r="AA158" s="61"/>
    </row>
    <row r="159" ht="25.5" outlineLevel="1" spans="1:27">
      <c r="A159" s="49"/>
      <c r="B159" s="49"/>
      <c r="C159" s="74" t="s">
        <v>1034</v>
      </c>
      <c r="D159" s="74" t="s">
        <v>1035</v>
      </c>
      <c r="E159" s="63" t="str">
        <f t="shared" si="48"/>
        <v>36-37</v>
      </c>
      <c r="F159" s="64">
        <f t="shared" si="50"/>
        <v>280</v>
      </c>
      <c r="G159" s="65">
        <v>16</v>
      </c>
      <c r="H159" s="65">
        <v>0.1</v>
      </c>
      <c r="I159" s="65">
        <v>-40</v>
      </c>
      <c r="J159" s="65">
        <v>-40</v>
      </c>
      <c r="K159" s="75">
        <v>125.1</v>
      </c>
      <c r="L159" s="65">
        <v>0</v>
      </c>
      <c r="M159" s="66" t="s">
        <v>427</v>
      </c>
      <c r="N159" s="75">
        <f t="shared" si="51"/>
        <v>5</v>
      </c>
      <c r="O159" s="76"/>
      <c r="P159" s="154"/>
      <c r="Q159" s="107"/>
      <c r="R159" s="74" t="s">
        <v>1036</v>
      </c>
      <c r="S159" s="59" t="s">
        <v>218</v>
      </c>
      <c r="T159" s="60" t="s">
        <v>218</v>
      </c>
      <c r="U159" s="60" t="s">
        <v>218</v>
      </c>
      <c r="V159" s="61"/>
      <c r="W159" s="61"/>
      <c r="X159" s="61"/>
      <c r="Y159" s="61"/>
      <c r="Z159" s="61"/>
      <c r="AA159" s="61"/>
    </row>
    <row r="160" ht="25.5" outlineLevel="1" spans="1:27">
      <c r="A160" s="49"/>
      <c r="B160" s="49"/>
      <c r="C160" s="74" t="s">
        <v>1037</v>
      </c>
      <c r="D160" s="74" t="s">
        <v>1038</v>
      </c>
      <c r="E160" s="63">
        <f t="shared" si="48"/>
        <v>38</v>
      </c>
      <c r="F160" s="64">
        <f t="shared" si="50"/>
        <v>296</v>
      </c>
      <c r="G160" s="65">
        <v>8</v>
      </c>
      <c r="H160" s="65">
        <v>1</v>
      </c>
      <c r="I160" s="65">
        <v>0</v>
      </c>
      <c r="J160" s="65">
        <v>0</v>
      </c>
      <c r="K160" s="65">
        <f t="shared" si="49"/>
        <v>255</v>
      </c>
      <c r="L160" s="65">
        <v>0</v>
      </c>
      <c r="M160" s="66" t="s">
        <v>218</v>
      </c>
      <c r="N160" s="75">
        <f t="shared" si="51"/>
        <v>3</v>
      </c>
      <c r="O160" s="76"/>
      <c r="P160" s="154" t="s">
        <v>1039</v>
      </c>
      <c r="Q160" s="107"/>
      <c r="R160" s="74" t="s">
        <v>1040</v>
      </c>
      <c r="S160" s="59" t="s">
        <v>218</v>
      </c>
      <c r="T160" s="60" t="s">
        <v>218</v>
      </c>
      <c r="U160" s="60" t="s">
        <v>218</v>
      </c>
      <c r="V160" s="61"/>
      <c r="W160" s="61"/>
      <c r="X160" s="61"/>
      <c r="Y160" s="61"/>
      <c r="Z160" s="61"/>
      <c r="AA160" s="61"/>
    </row>
    <row r="161" ht="25.5" outlineLevel="1" spans="1:27">
      <c r="A161" s="49"/>
      <c r="B161" s="49"/>
      <c r="C161" s="74" t="s">
        <v>1041</v>
      </c>
      <c r="D161" s="74" t="s">
        <v>1042</v>
      </c>
      <c r="E161" s="63" t="str">
        <f t="shared" si="48"/>
        <v>39-40</v>
      </c>
      <c r="F161" s="64">
        <f t="shared" si="50"/>
        <v>304</v>
      </c>
      <c r="G161" s="65">
        <v>16</v>
      </c>
      <c r="H161" s="65">
        <v>1</v>
      </c>
      <c r="I161" s="65">
        <v>0</v>
      </c>
      <c r="J161" s="65">
        <v>0</v>
      </c>
      <c r="K161" s="65">
        <f t="shared" si="49"/>
        <v>65535</v>
      </c>
      <c r="L161" s="65">
        <v>0</v>
      </c>
      <c r="M161" s="66" t="s">
        <v>218</v>
      </c>
      <c r="N161" s="75">
        <f t="shared" si="51"/>
        <v>5</v>
      </c>
      <c r="O161" s="76"/>
      <c r="P161" s="154" t="s">
        <v>1043</v>
      </c>
      <c r="Q161" s="107"/>
      <c r="R161" s="74" t="s">
        <v>1044</v>
      </c>
      <c r="S161" s="59" t="s">
        <v>218</v>
      </c>
      <c r="T161" s="60" t="s">
        <v>218</v>
      </c>
      <c r="U161" s="60" t="s">
        <v>218</v>
      </c>
      <c r="V161" s="61"/>
      <c r="W161" s="61"/>
      <c r="X161" s="61"/>
      <c r="Y161" s="61"/>
      <c r="Z161" s="61"/>
      <c r="AA161" s="61"/>
    </row>
    <row r="162" ht="25.5" outlineLevel="1" spans="1:27">
      <c r="A162" s="157"/>
      <c r="B162" s="157"/>
      <c r="C162" s="73" t="s">
        <v>1045</v>
      </c>
      <c r="D162" s="70" t="s">
        <v>1046</v>
      </c>
      <c r="E162" s="51" t="str">
        <f t="shared" si="48"/>
        <v>41-42</v>
      </c>
      <c r="F162" s="64">
        <f t="shared" si="50"/>
        <v>320</v>
      </c>
      <c r="G162" s="53">
        <v>16</v>
      </c>
      <c r="H162" s="53">
        <v>0.5</v>
      </c>
      <c r="I162" s="53">
        <v>0</v>
      </c>
      <c r="J162" s="53">
        <v>0</v>
      </c>
      <c r="K162" s="53">
        <f t="shared" si="49"/>
        <v>32767.5</v>
      </c>
      <c r="L162" s="53">
        <v>0</v>
      </c>
      <c r="M162" s="54" t="s">
        <v>405</v>
      </c>
      <c r="N162" s="75">
        <f t="shared" si="51"/>
        <v>7</v>
      </c>
      <c r="O162" s="107"/>
      <c r="P162" s="65" t="s">
        <v>1047</v>
      </c>
      <c r="Q162" s="157"/>
      <c r="R162" s="49" t="s">
        <v>1048</v>
      </c>
      <c r="S162" s="59" t="s">
        <v>218</v>
      </c>
      <c r="T162" s="60" t="s">
        <v>218</v>
      </c>
      <c r="U162" s="60" t="s">
        <v>218</v>
      </c>
      <c r="V162" s="61"/>
      <c r="W162" s="61"/>
      <c r="X162" s="61"/>
      <c r="Y162" s="61"/>
      <c r="Z162" s="61"/>
      <c r="AA162" s="61"/>
    </row>
    <row r="163" ht="25.5" outlineLevel="1" spans="1:27">
      <c r="A163" s="157"/>
      <c r="B163" s="157"/>
      <c r="C163" s="73" t="s">
        <v>1049</v>
      </c>
      <c r="D163" s="70" t="s">
        <v>1050</v>
      </c>
      <c r="E163" s="51" t="str">
        <f t="shared" si="48"/>
        <v>43-44</v>
      </c>
      <c r="F163" s="64">
        <f t="shared" si="50"/>
        <v>336</v>
      </c>
      <c r="G163" s="68">
        <v>16</v>
      </c>
      <c r="H163" s="68">
        <v>0.125</v>
      </c>
      <c r="I163" s="68">
        <v>-4000</v>
      </c>
      <c r="J163" s="68">
        <v>-4000</v>
      </c>
      <c r="K163" s="65">
        <f t="shared" si="49"/>
        <v>4191.875</v>
      </c>
      <c r="L163" s="53">
        <v>0</v>
      </c>
      <c r="M163" s="54" t="s">
        <v>416</v>
      </c>
      <c r="N163" s="75">
        <f t="shared" si="51"/>
        <v>8</v>
      </c>
      <c r="O163" s="107"/>
      <c r="P163" s="65" t="s">
        <v>1051</v>
      </c>
      <c r="Q163" s="156" t="s">
        <v>1052</v>
      </c>
      <c r="R163" s="49" t="s">
        <v>1053</v>
      </c>
      <c r="S163" s="59" t="s">
        <v>218</v>
      </c>
      <c r="T163" s="60" t="s">
        <v>218</v>
      </c>
      <c r="U163" s="60" t="s">
        <v>218</v>
      </c>
      <c r="V163" s="61"/>
      <c r="W163" s="61"/>
      <c r="X163" s="61"/>
      <c r="Y163" s="61"/>
      <c r="Z163" s="61"/>
      <c r="AA163" s="61"/>
    </row>
    <row r="164" ht="25.5" outlineLevel="1" spans="1:27">
      <c r="A164" s="157"/>
      <c r="B164" s="157"/>
      <c r="C164" s="73" t="s">
        <v>1054</v>
      </c>
      <c r="D164" s="70" t="s">
        <v>1055</v>
      </c>
      <c r="E164" s="51" t="str">
        <f t="shared" si="48"/>
        <v>45-46</v>
      </c>
      <c r="F164" s="64">
        <f t="shared" si="50"/>
        <v>352</v>
      </c>
      <c r="G164" s="53">
        <v>16</v>
      </c>
      <c r="H164" s="53">
        <v>1</v>
      </c>
      <c r="I164" s="53">
        <v>0</v>
      </c>
      <c r="J164" s="53">
        <v>0</v>
      </c>
      <c r="K164" s="65">
        <f t="shared" ref="K164:K200" si="52">(POWER(2,G164)-1)*H164+I164</f>
        <v>65535</v>
      </c>
      <c r="L164" s="53">
        <v>0</v>
      </c>
      <c r="M164" s="54" t="s">
        <v>538</v>
      </c>
      <c r="N164" s="75">
        <f t="shared" si="51"/>
        <v>5</v>
      </c>
      <c r="O164" s="107"/>
      <c r="P164" s="65" t="s">
        <v>1056</v>
      </c>
      <c r="Q164" s="153" t="s">
        <v>1057</v>
      </c>
      <c r="R164" s="49" t="s">
        <v>1058</v>
      </c>
      <c r="S164" s="59" t="s">
        <v>218</v>
      </c>
      <c r="T164" s="60" t="s">
        <v>218</v>
      </c>
      <c r="U164" s="60" t="s">
        <v>218</v>
      </c>
      <c r="V164" s="61"/>
      <c r="W164" s="61"/>
      <c r="X164" s="61"/>
      <c r="Y164" s="61"/>
      <c r="Z164" s="61"/>
      <c r="AA164" s="61"/>
    </row>
    <row r="165" ht="25.5" outlineLevel="1" spans="1:27">
      <c r="A165" s="157"/>
      <c r="B165" s="157"/>
      <c r="C165" s="73" t="s">
        <v>1059</v>
      </c>
      <c r="D165" s="70" t="s">
        <v>1060</v>
      </c>
      <c r="E165" s="51" t="str">
        <f t="shared" si="48"/>
        <v>47-48</v>
      </c>
      <c r="F165" s="64">
        <f t="shared" si="50"/>
        <v>368</v>
      </c>
      <c r="G165" s="53">
        <v>16</v>
      </c>
      <c r="H165" s="53">
        <v>0.125</v>
      </c>
      <c r="I165" s="53">
        <v>-2000</v>
      </c>
      <c r="J165" s="53">
        <v>-2000</v>
      </c>
      <c r="K165" s="53">
        <f t="shared" si="52"/>
        <v>6191.875</v>
      </c>
      <c r="L165" s="53">
        <v>0</v>
      </c>
      <c r="M165" s="54" t="s">
        <v>416</v>
      </c>
      <c r="N165" s="75">
        <f t="shared" si="51"/>
        <v>8</v>
      </c>
      <c r="O165" s="107"/>
      <c r="P165" s="65" t="s">
        <v>1061</v>
      </c>
      <c r="Q165" s="157"/>
      <c r="R165" s="49" t="s">
        <v>1062</v>
      </c>
      <c r="S165" s="59" t="s">
        <v>218</v>
      </c>
      <c r="T165" s="60" t="s">
        <v>218</v>
      </c>
      <c r="U165" s="60" t="s">
        <v>218</v>
      </c>
      <c r="V165" s="61"/>
      <c r="W165" s="61"/>
      <c r="X165" s="61"/>
      <c r="Y165" s="61"/>
      <c r="Z165" s="61"/>
      <c r="AA165" s="61"/>
    </row>
    <row r="166" ht="25.5" outlineLevel="1" spans="1:27">
      <c r="A166" s="157"/>
      <c r="B166" s="157"/>
      <c r="C166" s="73" t="s">
        <v>1063</v>
      </c>
      <c r="D166" s="70" t="s">
        <v>1064</v>
      </c>
      <c r="E166" s="51">
        <f t="shared" si="48"/>
        <v>49</v>
      </c>
      <c r="F166" s="64">
        <f t="shared" si="50"/>
        <v>384</v>
      </c>
      <c r="G166" s="53">
        <v>8</v>
      </c>
      <c r="H166" s="53">
        <v>1</v>
      </c>
      <c r="I166" s="53">
        <v>0</v>
      </c>
      <c r="J166" s="53">
        <v>0</v>
      </c>
      <c r="K166" s="53">
        <f t="shared" si="52"/>
        <v>255</v>
      </c>
      <c r="L166" s="53">
        <v>0</v>
      </c>
      <c r="M166" s="54" t="s">
        <v>218</v>
      </c>
      <c r="N166" s="75">
        <f t="shared" si="51"/>
        <v>3</v>
      </c>
      <c r="O166" s="107"/>
      <c r="P166" s="65" t="s">
        <v>1065</v>
      </c>
      <c r="Q166" s="157"/>
      <c r="R166" s="49" t="s">
        <v>1066</v>
      </c>
      <c r="S166" s="59" t="s">
        <v>218</v>
      </c>
      <c r="T166" s="60" t="s">
        <v>218</v>
      </c>
      <c r="U166" s="60" t="s">
        <v>218</v>
      </c>
      <c r="V166" s="61"/>
      <c r="W166" s="61"/>
      <c r="X166" s="61"/>
      <c r="Y166" s="61"/>
      <c r="Z166" s="61"/>
      <c r="AA166" s="61"/>
    </row>
    <row r="167" ht="25.5" outlineLevel="1" spans="1:27">
      <c r="A167" s="157"/>
      <c r="B167" s="157"/>
      <c r="C167" s="73" t="s">
        <v>1067</v>
      </c>
      <c r="D167" s="70" t="s">
        <v>1068</v>
      </c>
      <c r="E167" s="51" t="str">
        <f t="shared" si="48"/>
        <v>50-51</v>
      </c>
      <c r="F167" s="64">
        <f t="shared" si="50"/>
        <v>392</v>
      </c>
      <c r="G167" s="53">
        <v>16</v>
      </c>
      <c r="H167" s="53">
        <v>0.125</v>
      </c>
      <c r="I167" s="53">
        <v>-2000</v>
      </c>
      <c r="J167" s="53">
        <v>-2000</v>
      </c>
      <c r="K167" s="53">
        <f t="shared" si="52"/>
        <v>6191.875</v>
      </c>
      <c r="L167" s="53">
        <v>0</v>
      </c>
      <c r="M167" s="54" t="s">
        <v>416</v>
      </c>
      <c r="N167" s="75">
        <f t="shared" si="51"/>
        <v>8</v>
      </c>
      <c r="O167" s="107"/>
      <c r="P167" s="65" t="s">
        <v>1069</v>
      </c>
      <c r="Q167" s="157"/>
      <c r="R167" s="49" t="s">
        <v>1070</v>
      </c>
      <c r="S167" s="59" t="s">
        <v>218</v>
      </c>
      <c r="T167" s="60" t="s">
        <v>218</v>
      </c>
      <c r="U167" s="60" t="s">
        <v>218</v>
      </c>
      <c r="V167" s="61"/>
      <c r="W167" s="61"/>
      <c r="X167" s="61"/>
      <c r="Y167" s="61"/>
      <c r="Z167" s="61"/>
      <c r="AA167" s="61"/>
    </row>
    <row r="168" ht="25.5" outlineLevel="1" spans="1:27">
      <c r="A168" s="157"/>
      <c r="B168" s="157"/>
      <c r="C168" s="73" t="s">
        <v>1071</v>
      </c>
      <c r="D168" s="70" t="s">
        <v>1072</v>
      </c>
      <c r="E168" s="51">
        <f t="shared" si="48"/>
        <v>52</v>
      </c>
      <c r="F168" s="64">
        <f t="shared" si="50"/>
        <v>408</v>
      </c>
      <c r="G168" s="53">
        <v>8</v>
      </c>
      <c r="H168" s="53">
        <v>1</v>
      </c>
      <c r="I168" s="53">
        <v>0</v>
      </c>
      <c r="J168" s="53">
        <v>0</v>
      </c>
      <c r="K168" s="53">
        <f t="shared" si="52"/>
        <v>255</v>
      </c>
      <c r="L168" s="53">
        <v>0</v>
      </c>
      <c r="M168" s="54" t="s">
        <v>218</v>
      </c>
      <c r="N168" s="75">
        <f t="shared" si="51"/>
        <v>3</v>
      </c>
      <c r="O168" s="107"/>
      <c r="P168" s="65" t="s">
        <v>1073</v>
      </c>
      <c r="Q168" s="157"/>
      <c r="R168" s="49" t="s">
        <v>1074</v>
      </c>
      <c r="S168" s="59" t="s">
        <v>218</v>
      </c>
      <c r="T168" s="60" t="s">
        <v>218</v>
      </c>
      <c r="U168" s="60" t="s">
        <v>218</v>
      </c>
      <c r="V168" s="61"/>
      <c r="W168" s="61"/>
      <c r="X168" s="61"/>
      <c r="Y168" s="61"/>
      <c r="Z168" s="61"/>
      <c r="AA168" s="61"/>
    </row>
    <row r="169" ht="25.5" outlineLevel="1" spans="1:27">
      <c r="A169" s="157"/>
      <c r="B169" s="157"/>
      <c r="C169" s="73" t="s">
        <v>1075</v>
      </c>
      <c r="D169" s="70" t="s">
        <v>564</v>
      </c>
      <c r="E169" s="51" t="str">
        <f t="shared" si="48"/>
        <v>53-54</v>
      </c>
      <c r="F169" s="64">
        <f t="shared" si="50"/>
        <v>416</v>
      </c>
      <c r="G169" s="53">
        <v>16</v>
      </c>
      <c r="H169" s="53">
        <v>1</v>
      </c>
      <c r="I169" s="53">
        <v>0</v>
      </c>
      <c r="J169" s="53">
        <v>0</v>
      </c>
      <c r="K169" s="53">
        <f t="shared" si="52"/>
        <v>65535</v>
      </c>
      <c r="L169" s="53">
        <v>0</v>
      </c>
      <c r="M169" s="54" t="s">
        <v>440</v>
      </c>
      <c r="N169" s="75">
        <f t="shared" si="51"/>
        <v>5</v>
      </c>
      <c r="O169" s="107"/>
      <c r="P169" s="65" t="s">
        <v>1076</v>
      </c>
      <c r="Q169" s="157"/>
      <c r="R169" s="74" t="s">
        <v>1077</v>
      </c>
      <c r="S169" s="59" t="s">
        <v>218</v>
      </c>
      <c r="T169" s="60" t="s">
        <v>218</v>
      </c>
      <c r="U169" s="60" t="s">
        <v>218</v>
      </c>
      <c r="V169" s="61"/>
      <c r="W169" s="61"/>
      <c r="X169" s="61"/>
      <c r="Y169" s="61"/>
      <c r="Z169" s="61"/>
      <c r="AA169" s="61"/>
    </row>
    <row r="170" s="19" customFormat="1" ht="25.5" outlineLevel="1" spans="1:27">
      <c r="A170" s="107"/>
      <c r="B170" s="107"/>
      <c r="C170" s="70" t="s">
        <v>1078</v>
      </c>
      <c r="D170" s="70" t="s">
        <v>1079</v>
      </c>
      <c r="E170" s="63">
        <f t="shared" ref="E170:E202" si="53">IF(INT((F170+G170-1)/8)+1=INT(F170/8)+1,INT(F170/8)+1,INT(F170/8)+1&amp;"-"&amp;INT((F170+G170-1)/8)+1)</f>
        <v>55</v>
      </c>
      <c r="F170" s="64">
        <f t="shared" si="50"/>
        <v>432</v>
      </c>
      <c r="G170" s="65">
        <v>8</v>
      </c>
      <c r="H170" s="65">
        <v>1</v>
      </c>
      <c r="I170" s="65">
        <v>0</v>
      </c>
      <c r="J170" s="65">
        <v>0</v>
      </c>
      <c r="K170" s="65">
        <f t="shared" si="52"/>
        <v>255</v>
      </c>
      <c r="L170" s="65">
        <v>0</v>
      </c>
      <c r="M170" s="66" t="s">
        <v>218</v>
      </c>
      <c r="N170" s="75">
        <f t="shared" si="51"/>
        <v>3</v>
      </c>
      <c r="O170" s="107"/>
      <c r="P170" s="65" t="s">
        <v>1080</v>
      </c>
      <c r="Q170" s="107"/>
      <c r="R170" s="74" t="s">
        <v>1081</v>
      </c>
      <c r="S170" s="59" t="s">
        <v>218</v>
      </c>
      <c r="T170" s="59" t="s">
        <v>218</v>
      </c>
      <c r="U170" s="59" t="s">
        <v>218</v>
      </c>
      <c r="V170" s="77"/>
      <c r="W170" s="77"/>
      <c r="X170" s="77"/>
      <c r="Y170" s="77"/>
      <c r="Z170" s="77"/>
      <c r="AA170" s="77"/>
    </row>
    <row r="171" s="19" customFormat="1" ht="25.5" outlineLevel="1" spans="1:27">
      <c r="A171" s="107"/>
      <c r="B171" s="107"/>
      <c r="C171" s="70" t="s">
        <v>1082</v>
      </c>
      <c r="D171" s="70" t="s">
        <v>1083</v>
      </c>
      <c r="E171" s="63">
        <f t="shared" si="53"/>
        <v>56</v>
      </c>
      <c r="F171" s="64">
        <f t="shared" si="50"/>
        <v>440</v>
      </c>
      <c r="G171" s="65">
        <v>8</v>
      </c>
      <c r="H171" s="65">
        <v>1</v>
      </c>
      <c r="I171" s="65">
        <v>0</v>
      </c>
      <c r="J171" s="65">
        <v>0</v>
      </c>
      <c r="K171" s="65">
        <f t="shared" si="52"/>
        <v>255</v>
      </c>
      <c r="L171" s="65">
        <v>0</v>
      </c>
      <c r="M171" s="66" t="s">
        <v>218</v>
      </c>
      <c r="N171" s="75">
        <f t="shared" si="51"/>
        <v>3</v>
      </c>
      <c r="O171" s="107"/>
      <c r="P171" s="65" t="s">
        <v>1084</v>
      </c>
      <c r="Q171" s="107"/>
      <c r="R171" s="74" t="s">
        <v>1085</v>
      </c>
      <c r="S171" s="59" t="s">
        <v>218</v>
      </c>
      <c r="T171" s="59" t="s">
        <v>218</v>
      </c>
      <c r="U171" s="59" t="s">
        <v>218</v>
      </c>
      <c r="V171" s="77"/>
      <c r="W171" s="77"/>
      <c r="X171" s="77"/>
      <c r="Y171" s="77"/>
      <c r="Z171" s="77"/>
      <c r="AA171" s="77"/>
    </row>
    <row r="172" s="19" customFormat="1" ht="25.5" outlineLevel="1" spans="1:27">
      <c r="A172" s="107"/>
      <c r="B172" s="107"/>
      <c r="C172" s="70" t="s">
        <v>1086</v>
      </c>
      <c r="D172" s="70" t="s">
        <v>1087</v>
      </c>
      <c r="E172" s="63">
        <f t="shared" si="53"/>
        <v>57</v>
      </c>
      <c r="F172" s="64">
        <f t="shared" si="50"/>
        <v>448</v>
      </c>
      <c r="G172" s="65">
        <v>8</v>
      </c>
      <c r="H172" s="65">
        <v>1</v>
      </c>
      <c r="I172" s="65">
        <v>0</v>
      </c>
      <c r="J172" s="65">
        <v>0</v>
      </c>
      <c r="K172" s="65">
        <f t="shared" si="52"/>
        <v>255</v>
      </c>
      <c r="L172" s="65">
        <v>0</v>
      </c>
      <c r="M172" s="66" t="s">
        <v>218</v>
      </c>
      <c r="N172" s="75">
        <f t="shared" si="51"/>
        <v>3</v>
      </c>
      <c r="O172" s="107"/>
      <c r="P172" s="65" t="s">
        <v>1088</v>
      </c>
      <c r="Q172" s="107"/>
      <c r="R172" s="74" t="s">
        <v>1089</v>
      </c>
      <c r="S172" s="59" t="s">
        <v>218</v>
      </c>
      <c r="T172" s="59" t="s">
        <v>218</v>
      </c>
      <c r="U172" s="59" t="s">
        <v>218</v>
      </c>
      <c r="V172" s="77"/>
      <c r="W172" s="77"/>
      <c r="X172" s="77"/>
      <c r="Y172" s="77"/>
      <c r="Z172" s="77"/>
      <c r="AA172" s="77"/>
    </row>
    <row r="173" s="19" customFormat="1" ht="25.5" outlineLevel="1" spans="1:27">
      <c r="A173" s="107"/>
      <c r="B173" s="107"/>
      <c r="C173" s="70" t="s">
        <v>1090</v>
      </c>
      <c r="D173" s="70" t="s">
        <v>574</v>
      </c>
      <c r="E173" s="63" t="str">
        <f t="shared" si="53"/>
        <v>58-59</v>
      </c>
      <c r="F173" s="64">
        <f t="shared" si="50"/>
        <v>456</v>
      </c>
      <c r="G173" s="65">
        <v>16</v>
      </c>
      <c r="H173" s="65">
        <v>1</v>
      </c>
      <c r="I173" s="65">
        <v>0</v>
      </c>
      <c r="J173" s="65">
        <v>0</v>
      </c>
      <c r="K173" s="65">
        <f t="shared" si="52"/>
        <v>65535</v>
      </c>
      <c r="L173" s="65">
        <v>0</v>
      </c>
      <c r="M173" s="66" t="s">
        <v>440</v>
      </c>
      <c r="N173" s="75">
        <f t="shared" si="51"/>
        <v>5</v>
      </c>
      <c r="O173" s="107"/>
      <c r="P173" s="65" t="s">
        <v>1091</v>
      </c>
      <c r="Q173" s="107"/>
      <c r="R173" s="74" t="s">
        <v>1092</v>
      </c>
      <c r="S173" s="59" t="s">
        <v>218</v>
      </c>
      <c r="T173" s="59" t="s">
        <v>218</v>
      </c>
      <c r="U173" s="59" t="s">
        <v>218</v>
      </c>
      <c r="V173" s="77"/>
      <c r="W173" s="77"/>
      <c r="X173" s="77"/>
      <c r="Y173" s="77"/>
      <c r="Z173" s="77"/>
      <c r="AA173" s="77"/>
    </row>
    <row r="174" s="19" customFormat="1" ht="25.5" outlineLevel="1" spans="1:27">
      <c r="A174" s="107"/>
      <c r="B174" s="107"/>
      <c r="C174" s="70" t="s">
        <v>1093</v>
      </c>
      <c r="D174" s="70" t="s">
        <v>1094</v>
      </c>
      <c r="E174" s="63">
        <f t="shared" si="53"/>
        <v>60</v>
      </c>
      <c r="F174" s="64">
        <f t="shared" si="50"/>
        <v>472</v>
      </c>
      <c r="G174" s="65">
        <v>8</v>
      </c>
      <c r="H174" s="65">
        <v>1</v>
      </c>
      <c r="I174" s="65">
        <v>0</v>
      </c>
      <c r="J174" s="65">
        <v>0</v>
      </c>
      <c r="K174" s="65">
        <f t="shared" si="52"/>
        <v>255</v>
      </c>
      <c r="L174" s="65">
        <v>0</v>
      </c>
      <c r="M174" s="66" t="s">
        <v>218</v>
      </c>
      <c r="N174" s="75">
        <f t="shared" si="51"/>
        <v>3</v>
      </c>
      <c r="O174" s="107"/>
      <c r="P174" s="65" t="s">
        <v>1095</v>
      </c>
      <c r="Q174" s="107"/>
      <c r="R174" s="74" t="s">
        <v>1096</v>
      </c>
      <c r="S174" s="59" t="s">
        <v>218</v>
      </c>
      <c r="T174" s="59" t="s">
        <v>218</v>
      </c>
      <c r="U174" s="59" t="s">
        <v>218</v>
      </c>
      <c r="V174" s="77"/>
      <c r="W174" s="77"/>
      <c r="X174" s="77"/>
      <c r="Y174" s="77"/>
      <c r="Z174" s="77"/>
      <c r="AA174" s="77"/>
    </row>
    <row r="175" s="19" customFormat="1" ht="25.5" outlineLevel="1" spans="1:27">
      <c r="A175" s="107"/>
      <c r="B175" s="107"/>
      <c r="C175" s="70" t="s">
        <v>1097</v>
      </c>
      <c r="D175" s="70" t="s">
        <v>1098</v>
      </c>
      <c r="E175" s="63">
        <f t="shared" si="53"/>
        <v>61</v>
      </c>
      <c r="F175" s="64">
        <f t="shared" si="50"/>
        <v>480</v>
      </c>
      <c r="G175" s="65">
        <v>8</v>
      </c>
      <c r="H175" s="65">
        <v>1</v>
      </c>
      <c r="I175" s="65">
        <v>0</v>
      </c>
      <c r="J175" s="65">
        <v>0</v>
      </c>
      <c r="K175" s="65">
        <f t="shared" si="52"/>
        <v>255</v>
      </c>
      <c r="L175" s="65">
        <v>0</v>
      </c>
      <c r="M175" s="66" t="s">
        <v>218</v>
      </c>
      <c r="N175" s="75">
        <f t="shared" si="51"/>
        <v>3</v>
      </c>
      <c r="O175" s="107"/>
      <c r="P175" s="65" t="s">
        <v>1099</v>
      </c>
      <c r="Q175" s="107"/>
      <c r="R175" s="74" t="s">
        <v>1100</v>
      </c>
      <c r="S175" s="59" t="s">
        <v>218</v>
      </c>
      <c r="T175" s="59" t="s">
        <v>218</v>
      </c>
      <c r="U175" s="59" t="s">
        <v>218</v>
      </c>
      <c r="V175" s="77"/>
      <c r="W175" s="77"/>
      <c r="X175" s="77"/>
      <c r="Y175" s="77"/>
      <c r="Z175" s="77"/>
      <c r="AA175" s="77"/>
    </row>
    <row r="176" s="19" customFormat="1" ht="25.5" outlineLevel="1" spans="1:27">
      <c r="A176" s="107"/>
      <c r="B176" s="107"/>
      <c r="C176" s="70" t="s">
        <v>1101</v>
      </c>
      <c r="D176" s="70" t="s">
        <v>1102</v>
      </c>
      <c r="E176" s="63">
        <f t="shared" si="53"/>
        <v>62</v>
      </c>
      <c r="F176" s="64">
        <f t="shared" si="50"/>
        <v>488</v>
      </c>
      <c r="G176" s="65">
        <v>8</v>
      </c>
      <c r="H176" s="65">
        <v>1</v>
      </c>
      <c r="I176" s="65">
        <v>0</v>
      </c>
      <c r="J176" s="65">
        <v>0</v>
      </c>
      <c r="K176" s="65">
        <f t="shared" si="52"/>
        <v>255</v>
      </c>
      <c r="L176" s="65">
        <v>0</v>
      </c>
      <c r="M176" s="66" t="s">
        <v>218</v>
      </c>
      <c r="N176" s="75">
        <f t="shared" si="51"/>
        <v>3</v>
      </c>
      <c r="O176" s="107"/>
      <c r="P176" s="65" t="s">
        <v>1103</v>
      </c>
      <c r="Q176" s="107"/>
      <c r="R176" s="74" t="s">
        <v>1104</v>
      </c>
      <c r="S176" s="59" t="s">
        <v>218</v>
      </c>
      <c r="T176" s="59" t="s">
        <v>218</v>
      </c>
      <c r="U176" s="59" t="s">
        <v>218</v>
      </c>
      <c r="V176" s="77"/>
      <c r="W176" s="77"/>
      <c r="X176" s="77"/>
      <c r="Y176" s="77"/>
      <c r="Z176" s="77"/>
      <c r="AA176" s="77"/>
    </row>
    <row r="177" s="19" customFormat="1" ht="25.5" outlineLevel="1" spans="1:27">
      <c r="A177" s="107"/>
      <c r="B177" s="107"/>
      <c r="C177" s="70" t="s">
        <v>1105</v>
      </c>
      <c r="D177" s="70" t="s">
        <v>584</v>
      </c>
      <c r="E177" s="63" t="str">
        <f t="shared" si="53"/>
        <v>63-64</v>
      </c>
      <c r="F177" s="64">
        <f t="shared" si="50"/>
        <v>496</v>
      </c>
      <c r="G177" s="65">
        <v>16</v>
      </c>
      <c r="H177" s="65">
        <v>1</v>
      </c>
      <c r="I177" s="65">
        <v>0</v>
      </c>
      <c r="J177" s="65">
        <v>0</v>
      </c>
      <c r="K177" s="65">
        <f t="shared" si="52"/>
        <v>65535</v>
      </c>
      <c r="L177" s="65">
        <v>0</v>
      </c>
      <c r="M177" s="66" t="s">
        <v>440</v>
      </c>
      <c r="N177" s="75">
        <f t="shared" si="51"/>
        <v>5</v>
      </c>
      <c r="O177" s="107"/>
      <c r="P177" s="65" t="s">
        <v>1106</v>
      </c>
      <c r="Q177" s="107"/>
      <c r="R177" s="74" t="s">
        <v>1107</v>
      </c>
      <c r="S177" s="59" t="s">
        <v>218</v>
      </c>
      <c r="T177" s="59" t="s">
        <v>218</v>
      </c>
      <c r="U177" s="59" t="s">
        <v>218</v>
      </c>
      <c r="V177" s="77"/>
      <c r="W177" s="77"/>
      <c r="X177" s="77"/>
      <c r="Y177" s="77"/>
      <c r="Z177" s="77"/>
      <c r="AA177" s="77"/>
    </row>
    <row r="178" s="19" customFormat="1" ht="25.5" outlineLevel="1" spans="1:27">
      <c r="A178" s="107"/>
      <c r="B178" s="107"/>
      <c r="C178" s="70" t="s">
        <v>1108</v>
      </c>
      <c r="D178" s="70" t="s">
        <v>1109</v>
      </c>
      <c r="E178" s="63">
        <f t="shared" ref="E178" si="54">IF(INT((F178+G178-1)/8)+1=INT(F178/8)+1,INT(F178/8)+1,INT(F178/8)+1&amp;"-"&amp;INT((F178+G178-1)/8)+1)</f>
        <v>65</v>
      </c>
      <c r="F178" s="64">
        <f t="shared" ref="F178" si="55">F177+G177</f>
        <v>512</v>
      </c>
      <c r="G178" s="65">
        <v>8</v>
      </c>
      <c r="H178" s="65">
        <v>1</v>
      </c>
      <c r="I178" s="65">
        <v>0</v>
      </c>
      <c r="J178" s="65">
        <v>0</v>
      </c>
      <c r="K178" s="65">
        <f t="shared" ref="K178" si="56">(POWER(2,G178)-1)*H178+I178</f>
        <v>255</v>
      </c>
      <c r="L178" s="65">
        <v>0</v>
      </c>
      <c r="M178" s="66" t="s">
        <v>218</v>
      </c>
      <c r="N178" s="75">
        <f t="shared" ref="N178" si="57">LEN(K178)</f>
        <v>3</v>
      </c>
      <c r="O178" s="107"/>
      <c r="P178" s="65" t="s">
        <v>1110</v>
      </c>
      <c r="Q178" s="107"/>
      <c r="R178" s="74" t="s">
        <v>1111</v>
      </c>
      <c r="S178" s="59" t="s">
        <v>218</v>
      </c>
      <c r="T178" s="59" t="s">
        <v>218</v>
      </c>
      <c r="U178" s="59" t="s">
        <v>218</v>
      </c>
      <c r="V178" s="77"/>
      <c r="W178" s="77"/>
      <c r="X178" s="77"/>
      <c r="Y178" s="77"/>
      <c r="Z178" s="77"/>
      <c r="AA178" s="77"/>
    </row>
    <row r="179" s="19" customFormat="1" ht="25.5" outlineLevel="1" spans="1:27">
      <c r="A179" s="107"/>
      <c r="B179" s="107"/>
      <c r="C179" s="70" t="s">
        <v>1112</v>
      </c>
      <c r="D179" s="70" t="s">
        <v>1113</v>
      </c>
      <c r="E179" s="63">
        <f t="shared" si="53"/>
        <v>66</v>
      </c>
      <c r="F179" s="64">
        <f t="shared" si="50"/>
        <v>520</v>
      </c>
      <c r="G179" s="65">
        <v>8</v>
      </c>
      <c r="H179" s="65">
        <v>1</v>
      </c>
      <c r="I179" s="65">
        <v>0</v>
      </c>
      <c r="J179" s="65">
        <v>0</v>
      </c>
      <c r="K179" s="65">
        <f t="shared" si="52"/>
        <v>255</v>
      </c>
      <c r="L179" s="65">
        <v>0</v>
      </c>
      <c r="M179" s="66" t="s">
        <v>218</v>
      </c>
      <c r="N179" s="75">
        <f t="shared" si="51"/>
        <v>3</v>
      </c>
      <c r="O179" s="107"/>
      <c r="P179" s="65" t="s">
        <v>1114</v>
      </c>
      <c r="Q179" s="107"/>
      <c r="R179" s="74" t="s">
        <v>1115</v>
      </c>
      <c r="S179" s="59" t="s">
        <v>218</v>
      </c>
      <c r="T179" s="59" t="s">
        <v>218</v>
      </c>
      <c r="U179" s="59" t="s">
        <v>218</v>
      </c>
      <c r="V179" s="77"/>
      <c r="W179" s="77"/>
      <c r="X179" s="77"/>
      <c r="Y179" s="77"/>
      <c r="Z179" s="77"/>
      <c r="AA179" s="77"/>
    </row>
    <row r="180" s="19" customFormat="1" ht="25.5" outlineLevel="1" spans="1:27">
      <c r="A180" s="107"/>
      <c r="B180" s="107"/>
      <c r="C180" s="70" t="s">
        <v>1116</v>
      </c>
      <c r="D180" s="70" t="s">
        <v>838</v>
      </c>
      <c r="E180" s="63">
        <f t="shared" si="53"/>
        <v>67</v>
      </c>
      <c r="F180" s="64">
        <f t="shared" si="50"/>
        <v>528</v>
      </c>
      <c r="G180" s="65">
        <v>8</v>
      </c>
      <c r="H180" s="65">
        <v>1</v>
      </c>
      <c r="I180" s="65">
        <v>0</v>
      </c>
      <c r="J180" s="65">
        <v>0</v>
      </c>
      <c r="K180" s="65">
        <f t="shared" si="52"/>
        <v>255</v>
      </c>
      <c r="L180" s="65">
        <v>0</v>
      </c>
      <c r="M180" s="66" t="s">
        <v>218</v>
      </c>
      <c r="N180" s="75">
        <f t="shared" si="51"/>
        <v>3</v>
      </c>
      <c r="O180" s="107"/>
      <c r="P180" s="65" t="s">
        <v>1117</v>
      </c>
      <c r="Q180" s="107"/>
      <c r="R180" s="74" t="s">
        <v>1118</v>
      </c>
      <c r="S180" s="59" t="s">
        <v>218</v>
      </c>
      <c r="T180" s="59" t="s">
        <v>218</v>
      </c>
      <c r="U180" s="59" t="s">
        <v>218</v>
      </c>
      <c r="V180" s="77"/>
      <c r="W180" s="77"/>
      <c r="X180" s="77"/>
      <c r="Y180" s="77"/>
      <c r="Z180" s="77"/>
      <c r="AA180" s="77"/>
    </row>
    <row r="181" s="19" customFormat="1" ht="25.5" outlineLevel="1" spans="1:27">
      <c r="A181" s="107"/>
      <c r="B181" s="107"/>
      <c r="C181" s="70" t="s">
        <v>1119</v>
      </c>
      <c r="D181" s="70" t="s">
        <v>1120</v>
      </c>
      <c r="E181" s="63">
        <f t="shared" si="53"/>
        <v>68</v>
      </c>
      <c r="F181" s="64">
        <f t="shared" si="50"/>
        <v>536</v>
      </c>
      <c r="G181" s="65">
        <v>8</v>
      </c>
      <c r="H181" s="65">
        <v>1</v>
      </c>
      <c r="I181" s="65">
        <v>0</v>
      </c>
      <c r="J181" s="65">
        <v>0</v>
      </c>
      <c r="K181" s="65">
        <f t="shared" si="52"/>
        <v>255</v>
      </c>
      <c r="L181" s="65">
        <v>0</v>
      </c>
      <c r="M181" s="66" t="s">
        <v>218</v>
      </c>
      <c r="N181" s="75">
        <f t="shared" si="51"/>
        <v>3</v>
      </c>
      <c r="O181" s="107"/>
      <c r="P181" s="65" t="s">
        <v>1121</v>
      </c>
      <c r="Q181" s="107"/>
      <c r="R181" s="74" t="s">
        <v>1122</v>
      </c>
      <c r="S181" s="59" t="s">
        <v>218</v>
      </c>
      <c r="T181" s="59" t="s">
        <v>218</v>
      </c>
      <c r="U181" s="59" t="s">
        <v>218</v>
      </c>
      <c r="V181" s="77"/>
      <c r="W181" s="77"/>
      <c r="X181" s="77"/>
      <c r="Y181" s="77"/>
      <c r="Z181" s="77"/>
      <c r="AA181" s="77"/>
    </row>
    <row r="182" s="19" customFormat="1" ht="25.5" outlineLevel="1" spans="1:27">
      <c r="A182" s="107"/>
      <c r="B182" s="107"/>
      <c r="C182" s="70" t="s">
        <v>1123</v>
      </c>
      <c r="D182" s="70" t="s">
        <v>1124</v>
      </c>
      <c r="E182" s="63">
        <f t="shared" ref="E182" si="58">IF(INT((F182+G182-1)/8)+1=INT(F182/8)+1,INT(F182/8)+1,INT(F182/8)+1&amp;"-"&amp;INT((F182+G182-1)/8)+1)</f>
        <v>69</v>
      </c>
      <c r="F182" s="64">
        <f t="shared" ref="F182" si="59">F181+G181</f>
        <v>544</v>
      </c>
      <c r="G182" s="65">
        <v>8</v>
      </c>
      <c r="H182" s="65">
        <v>1</v>
      </c>
      <c r="I182" s="65">
        <v>0</v>
      </c>
      <c r="J182" s="65">
        <v>0</v>
      </c>
      <c r="K182" s="65">
        <f t="shared" ref="K182" si="60">(POWER(2,G182)-1)*H182+I182</f>
        <v>255</v>
      </c>
      <c r="L182" s="65">
        <v>0</v>
      </c>
      <c r="M182" s="66" t="s">
        <v>218</v>
      </c>
      <c r="N182" s="75">
        <f t="shared" ref="N182" si="61">LEN(K182)</f>
        <v>3</v>
      </c>
      <c r="O182" s="107"/>
      <c r="P182" s="65" t="s">
        <v>1125</v>
      </c>
      <c r="Q182" s="107"/>
      <c r="R182" s="74" t="s">
        <v>1126</v>
      </c>
      <c r="S182" s="59" t="s">
        <v>218</v>
      </c>
      <c r="T182" s="59" t="s">
        <v>218</v>
      </c>
      <c r="U182" s="59" t="s">
        <v>218</v>
      </c>
      <c r="V182" s="77"/>
      <c r="W182" s="77"/>
      <c r="X182" s="77"/>
      <c r="Y182" s="77"/>
      <c r="Z182" s="77"/>
      <c r="AA182" s="77"/>
    </row>
    <row r="183" s="19" customFormat="1" ht="25.5" outlineLevel="1" spans="1:27">
      <c r="A183" s="107"/>
      <c r="B183" s="107"/>
      <c r="C183" s="70" t="s">
        <v>1127</v>
      </c>
      <c r="D183" s="70" t="s">
        <v>1128</v>
      </c>
      <c r="E183" s="63">
        <f t="shared" si="53"/>
        <v>70</v>
      </c>
      <c r="F183" s="64">
        <f t="shared" si="50"/>
        <v>552</v>
      </c>
      <c r="G183" s="65">
        <v>8</v>
      </c>
      <c r="H183" s="65">
        <v>1</v>
      </c>
      <c r="I183" s="65">
        <v>0</v>
      </c>
      <c r="J183" s="65">
        <v>0</v>
      </c>
      <c r="K183" s="65">
        <f t="shared" si="52"/>
        <v>255</v>
      </c>
      <c r="L183" s="65">
        <v>0</v>
      </c>
      <c r="M183" s="66" t="s">
        <v>218</v>
      </c>
      <c r="N183" s="75">
        <f t="shared" si="51"/>
        <v>3</v>
      </c>
      <c r="O183" s="107"/>
      <c r="P183" s="65" t="s">
        <v>1129</v>
      </c>
      <c r="Q183" s="107"/>
      <c r="R183" s="74" t="s">
        <v>1130</v>
      </c>
      <c r="S183" s="59" t="s">
        <v>218</v>
      </c>
      <c r="T183" s="59" t="s">
        <v>218</v>
      </c>
      <c r="U183" s="59" t="s">
        <v>218</v>
      </c>
      <c r="V183" s="77"/>
      <c r="W183" s="77"/>
      <c r="X183" s="77"/>
      <c r="Y183" s="77"/>
      <c r="Z183" s="77"/>
      <c r="AA183" s="77"/>
    </row>
    <row r="184" s="19" customFormat="1" ht="25.5" outlineLevel="1" spans="1:27">
      <c r="A184" s="107"/>
      <c r="B184" s="107"/>
      <c r="C184" s="70" t="s">
        <v>1131</v>
      </c>
      <c r="D184" s="70" t="s">
        <v>842</v>
      </c>
      <c r="E184" s="63">
        <f t="shared" si="53"/>
        <v>71</v>
      </c>
      <c r="F184" s="64">
        <f t="shared" si="50"/>
        <v>560</v>
      </c>
      <c r="G184" s="65">
        <v>8</v>
      </c>
      <c r="H184" s="65">
        <v>1</v>
      </c>
      <c r="I184" s="65">
        <v>0</v>
      </c>
      <c r="J184" s="65">
        <v>0</v>
      </c>
      <c r="K184" s="65">
        <f t="shared" si="52"/>
        <v>255</v>
      </c>
      <c r="L184" s="65">
        <v>0</v>
      </c>
      <c r="M184" s="66" t="s">
        <v>218</v>
      </c>
      <c r="N184" s="75">
        <f t="shared" si="51"/>
        <v>3</v>
      </c>
      <c r="O184" s="107"/>
      <c r="P184" s="65" t="s">
        <v>1132</v>
      </c>
      <c r="Q184" s="107"/>
      <c r="R184" s="74" t="s">
        <v>1133</v>
      </c>
      <c r="S184" s="59" t="s">
        <v>218</v>
      </c>
      <c r="T184" s="59" t="s">
        <v>218</v>
      </c>
      <c r="U184" s="59" t="s">
        <v>218</v>
      </c>
      <c r="V184" s="77"/>
      <c r="W184" s="77"/>
      <c r="X184" s="77"/>
      <c r="Y184" s="77"/>
      <c r="Z184" s="77"/>
      <c r="AA184" s="77"/>
    </row>
    <row r="185" s="19" customFormat="1" ht="25.5" outlineLevel="1" spans="1:27">
      <c r="A185" s="107"/>
      <c r="B185" s="107"/>
      <c r="C185" s="70" t="s">
        <v>1134</v>
      </c>
      <c r="D185" s="70" t="s">
        <v>1135</v>
      </c>
      <c r="E185" s="63">
        <f t="shared" si="53"/>
        <v>72</v>
      </c>
      <c r="F185" s="64">
        <f t="shared" si="50"/>
        <v>568</v>
      </c>
      <c r="G185" s="65">
        <v>8</v>
      </c>
      <c r="H185" s="65">
        <v>1</v>
      </c>
      <c r="I185" s="65">
        <v>0</v>
      </c>
      <c r="J185" s="65">
        <v>0</v>
      </c>
      <c r="K185" s="65">
        <f t="shared" si="52"/>
        <v>255</v>
      </c>
      <c r="L185" s="65">
        <v>0</v>
      </c>
      <c r="M185" s="66" t="s">
        <v>218</v>
      </c>
      <c r="N185" s="75">
        <f t="shared" si="51"/>
        <v>3</v>
      </c>
      <c r="O185" s="107"/>
      <c r="P185" s="65" t="s">
        <v>1136</v>
      </c>
      <c r="Q185" s="107"/>
      <c r="R185" s="74" t="s">
        <v>1137</v>
      </c>
      <c r="S185" s="59" t="s">
        <v>218</v>
      </c>
      <c r="T185" s="59" t="s">
        <v>218</v>
      </c>
      <c r="U185" s="59" t="s">
        <v>218</v>
      </c>
      <c r="V185" s="77"/>
      <c r="W185" s="77"/>
      <c r="X185" s="77"/>
      <c r="Y185" s="77"/>
      <c r="Z185" s="77"/>
      <c r="AA185" s="77"/>
    </row>
    <row r="186" s="19" customFormat="1" ht="25.5" outlineLevel="1" spans="1:27">
      <c r="A186" s="77"/>
      <c r="B186" s="77"/>
      <c r="C186" s="74" t="s">
        <v>1138</v>
      </c>
      <c r="D186" s="70" t="s">
        <v>1139</v>
      </c>
      <c r="E186" s="127">
        <f t="shared" si="53"/>
        <v>73</v>
      </c>
      <c r="F186" s="64">
        <f t="shared" si="50"/>
        <v>576</v>
      </c>
      <c r="G186" s="63">
        <v>8</v>
      </c>
      <c r="H186" s="63">
        <v>1</v>
      </c>
      <c r="I186" s="63">
        <v>0</v>
      </c>
      <c r="J186" s="63">
        <v>0</v>
      </c>
      <c r="K186" s="63">
        <v>1</v>
      </c>
      <c r="L186" s="63">
        <v>0</v>
      </c>
      <c r="M186" s="66" t="s">
        <v>482</v>
      </c>
      <c r="N186" s="75">
        <f t="shared" si="51"/>
        <v>1</v>
      </c>
      <c r="O186" s="107" t="s">
        <v>1140</v>
      </c>
      <c r="P186" s="137"/>
      <c r="Q186" s="128"/>
      <c r="R186" s="134" t="s">
        <v>1141</v>
      </c>
      <c r="S186" s="59" t="s">
        <v>218</v>
      </c>
      <c r="T186" s="59" t="s">
        <v>218</v>
      </c>
      <c r="U186" s="59" t="s">
        <v>218</v>
      </c>
      <c r="V186" s="77"/>
      <c r="W186" s="77"/>
      <c r="X186" s="122"/>
      <c r="Y186" s="77"/>
      <c r="Z186" s="77"/>
      <c r="AA186" s="77"/>
    </row>
    <row r="187" s="19" customFormat="1" ht="63.75" outlineLevel="1" spans="1:27">
      <c r="A187" s="107"/>
      <c r="B187" s="107"/>
      <c r="C187" s="74" t="s">
        <v>1142</v>
      </c>
      <c r="D187" s="70" t="s">
        <v>1143</v>
      </c>
      <c r="E187" s="63">
        <f t="shared" si="53"/>
        <v>74</v>
      </c>
      <c r="F187" s="64">
        <f t="shared" si="50"/>
        <v>584</v>
      </c>
      <c r="G187" s="158">
        <v>8</v>
      </c>
      <c r="H187" s="65">
        <v>1</v>
      </c>
      <c r="I187" s="65">
        <v>0</v>
      </c>
      <c r="J187" s="65">
        <v>0</v>
      </c>
      <c r="K187" s="65">
        <f t="shared" si="52"/>
        <v>255</v>
      </c>
      <c r="L187" s="65">
        <v>0</v>
      </c>
      <c r="M187" s="66" t="s">
        <v>218</v>
      </c>
      <c r="N187" s="75">
        <f t="shared" si="51"/>
        <v>3</v>
      </c>
      <c r="O187" s="74" t="s">
        <v>776</v>
      </c>
      <c r="P187" s="154" t="s">
        <v>1144</v>
      </c>
      <c r="Q187" s="107"/>
      <c r="R187" s="74" t="s">
        <v>1145</v>
      </c>
      <c r="S187" s="59" t="s">
        <v>218</v>
      </c>
      <c r="T187" s="59" t="s">
        <v>218</v>
      </c>
      <c r="U187" s="59" t="s">
        <v>218</v>
      </c>
      <c r="V187" s="77"/>
      <c r="W187" s="77"/>
      <c r="X187" s="77"/>
      <c r="Y187" s="77"/>
      <c r="Z187" s="77"/>
      <c r="AA187" s="77"/>
    </row>
    <row r="188" ht="89.25" outlineLevel="1" spans="1:27">
      <c r="A188" s="157"/>
      <c r="B188" s="157"/>
      <c r="C188" s="49" t="s">
        <v>1146</v>
      </c>
      <c r="D188" s="70" t="s">
        <v>1147</v>
      </c>
      <c r="E188" s="51">
        <f t="shared" si="53"/>
        <v>75</v>
      </c>
      <c r="F188" s="64">
        <f t="shared" si="50"/>
        <v>592</v>
      </c>
      <c r="G188" s="159">
        <v>8</v>
      </c>
      <c r="H188" s="53">
        <v>1</v>
      </c>
      <c r="I188" s="53">
        <v>0</v>
      </c>
      <c r="J188" s="53">
        <v>0</v>
      </c>
      <c r="K188" s="53">
        <f t="shared" si="52"/>
        <v>255</v>
      </c>
      <c r="L188" s="53">
        <v>0</v>
      </c>
      <c r="M188" s="54" t="s">
        <v>218</v>
      </c>
      <c r="N188" s="75">
        <f t="shared" si="51"/>
        <v>3</v>
      </c>
      <c r="O188" s="107" t="s">
        <v>1148</v>
      </c>
      <c r="P188" s="154" t="s">
        <v>1149</v>
      </c>
      <c r="Q188" s="157"/>
      <c r="R188" s="49" t="s">
        <v>1150</v>
      </c>
      <c r="S188" s="59" t="s">
        <v>218</v>
      </c>
      <c r="T188" s="60" t="s">
        <v>218</v>
      </c>
      <c r="U188" s="60" t="s">
        <v>218</v>
      </c>
      <c r="V188" s="61"/>
      <c r="W188" s="61"/>
      <c r="X188" s="61"/>
      <c r="Y188" s="61"/>
      <c r="Z188" s="61"/>
      <c r="AA188" s="61"/>
    </row>
    <row r="189" ht="25.5" outlineLevel="1" collapsed="1" spans="1:27">
      <c r="A189" s="157"/>
      <c r="B189" s="157"/>
      <c r="C189" s="49" t="s">
        <v>1151</v>
      </c>
      <c r="D189" s="70" t="s">
        <v>1152</v>
      </c>
      <c r="E189" s="51">
        <f t="shared" si="53"/>
        <v>76</v>
      </c>
      <c r="F189" s="64">
        <f t="shared" si="50"/>
        <v>600</v>
      </c>
      <c r="G189" s="159">
        <v>8</v>
      </c>
      <c r="H189" s="53">
        <v>1</v>
      </c>
      <c r="I189" s="53">
        <v>0</v>
      </c>
      <c r="J189" s="53">
        <v>0</v>
      </c>
      <c r="K189" s="53">
        <f t="shared" si="52"/>
        <v>255</v>
      </c>
      <c r="L189" s="53">
        <v>0</v>
      </c>
      <c r="M189" s="54" t="s">
        <v>218</v>
      </c>
      <c r="N189" s="75">
        <f t="shared" si="51"/>
        <v>3</v>
      </c>
      <c r="O189" s="107"/>
      <c r="P189" s="154" t="s">
        <v>1153</v>
      </c>
      <c r="Q189" s="157"/>
      <c r="R189" s="49" t="s">
        <v>1154</v>
      </c>
      <c r="S189" s="59" t="s">
        <v>218</v>
      </c>
      <c r="T189" s="60" t="s">
        <v>218</v>
      </c>
      <c r="U189" s="60" t="s">
        <v>218</v>
      </c>
      <c r="V189" s="61"/>
      <c r="W189" s="61"/>
      <c r="X189" s="61"/>
      <c r="Y189" s="61"/>
      <c r="Z189" s="61"/>
      <c r="AA189" s="61"/>
    </row>
    <row r="190" ht="38.25" outlineLevel="1" spans="1:27">
      <c r="A190" s="157"/>
      <c r="B190" s="157"/>
      <c r="C190" s="49" t="s">
        <v>1155</v>
      </c>
      <c r="D190" s="74" t="s">
        <v>473</v>
      </c>
      <c r="E190" s="51" t="str">
        <f t="shared" si="53"/>
        <v>77-78</v>
      </c>
      <c r="F190" s="64">
        <f t="shared" si="50"/>
        <v>608</v>
      </c>
      <c r="G190" s="53">
        <v>16</v>
      </c>
      <c r="H190" s="65">
        <v>1</v>
      </c>
      <c r="I190" s="53">
        <v>0</v>
      </c>
      <c r="J190" s="53">
        <v>0</v>
      </c>
      <c r="K190" s="53">
        <f t="shared" si="52"/>
        <v>65535</v>
      </c>
      <c r="L190" s="53">
        <v>0</v>
      </c>
      <c r="M190" s="54" t="s">
        <v>421</v>
      </c>
      <c r="N190" s="75">
        <f t="shared" si="51"/>
        <v>5</v>
      </c>
      <c r="O190" s="107"/>
      <c r="P190" s="65"/>
      <c r="Q190" s="157"/>
      <c r="R190" s="49" t="s">
        <v>1156</v>
      </c>
      <c r="S190" s="59" t="s">
        <v>218</v>
      </c>
      <c r="T190" s="60" t="s">
        <v>218</v>
      </c>
      <c r="U190" s="60" t="s">
        <v>218</v>
      </c>
      <c r="V190" s="61"/>
      <c r="W190" s="61"/>
      <c r="X190" s="61"/>
      <c r="Y190" s="61"/>
      <c r="Z190" s="61"/>
      <c r="AA190" s="61"/>
    </row>
    <row r="191" ht="38.25" outlineLevel="1" spans="1:27">
      <c r="A191" s="157"/>
      <c r="B191" s="157"/>
      <c r="C191" s="49" t="s">
        <v>1157</v>
      </c>
      <c r="D191" s="74" t="s">
        <v>477</v>
      </c>
      <c r="E191" s="51" t="str">
        <f t="shared" si="53"/>
        <v>79-80</v>
      </c>
      <c r="F191" s="64">
        <f t="shared" si="50"/>
        <v>624</v>
      </c>
      <c r="G191" s="53">
        <v>16</v>
      </c>
      <c r="H191" s="65">
        <v>1</v>
      </c>
      <c r="I191" s="53">
        <v>0</v>
      </c>
      <c r="J191" s="53">
        <v>0</v>
      </c>
      <c r="K191" s="53">
        <f t="shared" si="52"/>
        <v>65535</v>
      </c>
      <c r="L191" s="53">
        <v>0</v>
      </c>
      <c r="M191" s="54" t="s">
        <v>421</v>
      </c>
      <c r="N191" s="75">
        <f t="shared" si="51"/>
        <v>5</v>
      </c>
      <c r="O191" s="107"/>
      <c r="P191" s="65"/>
      <c r="Q191" s="157"/>
      <c r="R191" s="49" t="s">
        <v>1158</v>
      </c>
      <c r="S191" s="59" t="s">
        <v>218</v>
      </c>
      <c r="T191" s="60" t="s">
        <v>218</v>
      </c>
      <c r="U191" s="60" t="s">
        <v>218</v>
      </c>
      <c r="V191" s="61"/>
      <c r="W191" s="61"/>
      <c r="X191" s="61"/>
      <c r="Y191" s="61"/>
      <c r="Z191" s="61"/>
      <c r="AA191" s="61"/>
    </row>
    <row r="192" ht="25.5" outlineLevel="1" spans="1:27">
      <c r="A192" s="157"/>
      <c r="B192" s="157"/>
      <c r="C192" s="73" t="s">
        <v>1159</v>
      </c>
      <c r="D192" s="125" t="s">
        <v>767</v>
      </c>
      <c r="E192" s="51" t="str">
        <f t="shared" si="53"/>
        <v>81-84</v>
      </c>
      <c r="F192" s="64">
        <f t="shared" si="50"/>
        <v>640</v>
      </c>
      <c r="G192" s="53">
        <v>32</v>
      </c>
      <c r="H192" s="53">
        <v>1</v>
      </c>
      <c r="I192" s="53">
        <v>0</v>
      </c>
      <c r="J192" s="53">
        <v>0</v>
      </c>
      <c r="K192" s="53">
        <f t="shared" si="52"/>
        <v>4294967295</v>
      </c>
      <c r="L192" s="53">
        <v>0</v>
      </c>
      <c r="M192" s="54" t="s">
        <v>652</v>
      </c>
      <c r="N192" s="75">
        <f t="shared" si="51"/>
        <v>10</v>
      </c>
      <c r="O192" s="107"/>
      <c r="P192" s="65" t="s">
        <v>1160</v>
      </c>
      <c r="Q192" s="157"/>
      <c r="R192" s="74" t="s">
        <v>1161</v>
      </c>
      <c r="S192" s="59" t="s">
        <v>218</v>
      </c>
      <c r="T192" s="60" t="s">
        <v>218</v>
      </c>
      <c r="U192" s="60" t="s">
        <v>218</v>
      </c>
      <c r="V192" s="61"/>
      <c r="W192" s="61"/>
      <c r="X192" s="61"/>
      <c r="Y192" s="61"/>
      <c r="Z192" s="61"/>
      <c r="AA192" s="61"/>
    </row>
    <row r="193" ht="25.5" outlineLevel="1" spans="1:27">
      <c r="A193" s="157"/>
      <c r="B193" s="157"/>
      <c r="C193" s="73" t="s">
        <v>1162</v>
      </c>
      <c r="D193" s="125" t="s">
        <v>771</v>
      </c>
      <c r="E193" s="51" t="str">
        <f t="shared" si="53"/>
        <v>85-88</v>
      </c>
      <c r="F193" s="64">
        <f t="shared" si="50"/>
        <v>672</v>
      </c>
      <c r="G193" s="53">
        <v>32</v>
      </c>
      <c r="H193" s="53">
        <v>1</v>
      </c>
      <c r="I193" s="53">
        <v>0</v>
      </c>
      <c r="J193" s="53">
        <v>0</v>
      </c>
      <c r="K193" s="53">
        <f t="shared" si="52"/>
        <v>4294967295</v>
      </c>
      <c r="L193" s="53">
        <v>0</v>
      </c>
      <c r="M193" s="54" t="s">
        <v>519</v>
      </c>
      <c r="N193" s="75">
        <f t="shared" si="51"/>
        <v>10</v>
      </c>
      <c r="O193" s="107"/>
      <c r="P193" s="65" t="s">
        <v>1163</v>
      </c>
      <c r="Q193" s="157"/>
      <c r="R193" s="74" t="s">
        <v>1164</v>
      </c>
      <c r="S193" s="59" t="s">
        <v>218</v>
      </c>
      <c r="T193" s="60" t="s">
        <v>218</v>
      </c>
      <c r="U193" s="60" t="s">
        <v>218</v>
      </c>
      <c r="V193" s="61"/>
      <c r="W193" s="61"/>
      <c r="X193" s="61"/>
      <c r="Y193" s="61"/>
      <c r="Z193" s="61"/>
      <c r="AA193" s="61"/>
    </row>
    <row r="194" ht="25.5" outlineLevel="1" spans="1:27">
      <c r="A194" s="157"/>
      <c r="B194" s="157"/>
      <c r="C194" s="73" t="s">
        <v>1165</v>
      </c>
      <c r="D194" s="125" t="s">
        <v>757</v>
      </c>
      <c r="E194" s="51" t="str">
        <f t="shared" si="53"/>
        <v>89-92</v>
      </c>
      <c r="F194" s="64">
        <f t="shared" si="50"/>
        <v>704</v>
      </c>
      <c r="G194" s="53">
        <v>32</v>
      </c>
      <c r="H194" s="53">
        <v>1</v>
      </c>
      <c r="I194" s="53">
        <v>0</v>
      </c>
      <c r="J194" s="53">
        <v>0</v>
      </c>
      <c r="K194" s="53">
        <f t="shared" si="52"/>
        <v>4294967295</v>
      </c>
      <c r="L194" s="53">
        <v>0</v>
      </c>
      <c r="M194" s="54" t="s">
        <v>652</v>
      </c>
      <c r="N194" s="75">
        <f t="shared" si="51"/>
        <v>10</v>
      </c>
      <c r="O194" s="107"/>
      <c r="P194" s="65" t="s">
        <v>1166</v>
      </c>
      <c r="Q194" s="157"/>
      <c r="R194" s="74" t="s">
        <v>1167</v>
      </c>
      <c r="S194" s="59" t="s">
        <v>218</v>
      </c>
      <c r="T194" s="60" t="s">
        <v>218</v>
      </c>
      <c r="U194" s="60" t="s">
        <v>218</v>
      </c>
      <c r="V194" s="61"/>
      <c r="W194" s="61"/>
      <c r="X194" s="61"/>
      <c r="Y194" s="61"/>
      <c r="Z194" s="61"/>
      <c r="AA194" s="61"/>
    </row>
    <row r="195" ht="25.5" outlineLevel="1" spans="1:27">
      <c r="A195" s="157"/>
      <c r="B195" s="157"/>
      <c r="C195" s="73" t="s">
        <v>1168</v>
      </c>
      <c r="D195" s="125" t="s">
        <v>762</v>
      </c>
      <c r="E195" s="51" t="str">
        <f t="shared" si="53"/>
        <v>93-96</v>
      </c>
      <c r="F195" s="64">
        <f t="shared" si="50"/>
        <v>736</v>
      </c>
      <c r="G195" s="53">
        <v>32</v>
      </c>
      <c r="H195" s="53">
        <v>1</v>
      </c>
      <c r="I195" s="53">
        <v>0</v>
      </c>
      <c r="J195" s="53">
        <v>0</v>
      </c>
      <c r="K195" s="53">
        <f t="shared" si="52"/>
        <v>4294967295</v>
      </c>
      <c r="L195" s="53">
        <v>0</v>
      </c>
      <c r="M195" s="54" t="s">
        <v>519</v>
      </c>
      <c r="N195" s="75">
        <f t="shared" si="51"/>
        <v>10</v>
      </c>
      <c r="O195" s="107"/>
      <c r="P195" s="65" t="s">
        <v>1169</v>
      </c>
      <c r="Q195" s="157"/>
      <c r="R195" s="74" t="s">
        <v>1170</v>
      </c>
      <c r="S195" s="59" t="s">
        <v>218</v>
      </c>
      <c r="T195" s="60" t="s">
        <v>218</v>
      </c>
      <c r="U195" s="60" t="s">
        <v>218</v>
      </c>
      <c r="V195" s="61"/>
      <c r="W195" s="61"/>
      <c r="X195" s="61"/>
      <c r="Y195" s="61"/>
      <c r="Z195" s="61"/>
      <c r="AA195" s="61"/>
    </row>
    <row r="196" ht="25.5" outlineLevel="1" spans="1:27">
      <c r="A196" s="61"/>
      <c r="B196" s="61"/>
      <c r="C196" s="49" t="s">
        <v>1171</v>
      </c>
      <c r="D196" s="74" t="s">
        <v>1172</v>
      </c>
      <c r="E196" s="51" t="str">
        <f t="shared" si="53"/>
        <v>97-98</v>
      </c>
      <c r="F196" s="64">
        <f t="shared" si="50"/>
        <v>768</v>
      </c>
      <c r="G196" s="53">
        <v>16</v>
      </c>
      <c r="H196" s="65">
        <v>1</v>
      </c>
      <c r="I196" s="53">
        <v>0</v>
      </c>
      <c r="J196" s="53">
        <v>0</v>
      </c>
      <c r="K196" s="53">
        <f t="shared" si="52"/>
        <v>65535</v>
      </c>
      <c r="L196" s="53">
        <v>0</v>
      </c>
      <c r="M196" s="54" t="s">
        <v>519</v>
      </c>
      <c r="N196" s="75">
        <f t="shared" si="51"/>
        <v>5</v>
      </c>
      <c r="O196" s="49"/>
      <c r="P196" s="65" t="s">
        <v>1173</v>
      </c>
      <c r="Q196" s="61"/>
      <c r="R196" s="59" t="s">
        <v>1174</v>
      </c>
      <c r="S196" s="59" t="s">
        <v>218</v>
      </c>
      <c r="T196" s="60" t="s">
        <v>218</v>
      </c>
      <c r="U196" s="60" t="s">
        <v>218</v>
      </c>
      <c r="V196" s="61"/>
      <c r="W196" s="61"/>
      <c r="X196" s="61"/>
      <c r="Y196" s="61"/>
      <c r="Z196" s="61"/>
      <c r="AA196" s="61"/>
    </row>
    <row r="197" ht="25.5" outlineLevel="1" spans="1:27">
      <c r="A197" s="61"/>
      <c r="B197" s="61"/>
      <c r="C197" s="49" t="s">
        <v>1175</v>
      </c>
      <c r="D197" s="74" t="s">
        <v>1176</v>
      </c>
      <c r="E197" s="51" t="str">
        <f t="shared" si="53"/>
        <v>99-100</v>
      </c>
      <c r="F197" s="64">
        <f t="shared" si="50"/>
        <v>784</v>
      </c>
      <c r="G197" s="53">
        <v>16</v>
      </c>
      <c r="H197" s="65">
        <v>1</v>
      </c>
      <c r="I197" s="53">
        <v>0</v>
      </c>
      <c r="J197" s="53">
        <v>0</v>
      </c>
      <c r="K197" s="53">
        <f t="shared" si="52"/>
        <v>65535</v>
      </c>
      <c r="L197" s="53">
        <v>0</v>
      </c>
      <c r="M197" s="54" t="s">
        <v>519</v>
      </c>
      <c r="N197" s="75">
        <f t="shared" si="51"/>
        <v>5</v>
      </c>
      <c r="O197" s="150"/>
      <c r="P197" s="65" t="s">
        <v>1177</v>
      </c>
      <c r="Q197" s="61"/>
      <c r="R197" s="59" t="s">
        <v>1178</v>
      </c>
      <c r="S197" s="59" t="s">
        <v>218</v>
      </c>
      <c r="T197" s="60" t="s">
        <v>218</v>
      </c>
      <c r="U197" s="60" t="s">
        <v>218</v>
      </c>
      <c r="V197" s="61"/>
      <c r="W197" s="61"/>
      <c r="X197" s="61"/>
      <c r="Y197" s="61"/>
      <c r="Z197" s="61"/>
      <c r="AA197" s="61"/>
    </row>
    <row r="198" s="19" customFormat="1" ht="25.5" outlineLevel="1" spans="1:27">
      <c r="A198" s="77"/>
      <c r="B198" s="77"/>
      <c r="C198" s="74" t="s">
        <v>1179</v>
      </c>
      <c r="D198" s="74" t="s">
        <v>1180</v>
      </c>
      <c r="E198" s="63">
        <f t="shared" si="53"/>
        <v>101</v>
      </c>
      <c r="F198" s="64">
        <f t="shared" si="50"/>
        <v>800</v>
      </c>
      <c r="G198" s="65">
        <v>8</v>
      </c>
      <c r="H198" s="65">
        <v>1</v>
      </c>
      <c r="I198" s="65">
        <v>0</v>
      </c>
      <c r="J198" s="65">
        <v>0</v>
      </c>
      <c r="K198" s="65">
        <f t="shared" si="52"/>
        <v>255</v>
      </c>
      <c r="L198" s="65">
        <v>0</v>
      </c>
      <c r="M198" s="66" t="s">
        <v>602</v>
      </c>
      <c r="N198" s="75">
        <f t="shared" si="51"/>
        <v>3</v>
      </c>
      <c r="O198" s="76"/>
      <c r="P198" s="154" t="s">
        <v>1181</v>
      </c>
      <c r="Q198" s="77"/>
      <c r="R198" s="59" t="s">
        <v>1182</v>
      </c>
      <c r="S198" s="59" t="s">
        <v>218</v>
      </c>
      <c r="T198" s="59" t="s">
        <v>218</v>
      </c>
      <c r="U198" s="59" t="s">
        <v>218</v>
      </c>
      <c r="V198" s="77"/>
      <c r="W198" s="77"/>
      <c r="X198" s="77"/>
      <c r="Y198" s="77"/>
      <c r="Z198" s="77"/>
      <c r="AA198" s="77"/>
    </row>
    <row r="199" s="19" customFormat="1" ht="25.5" outlineLevel="1" spans="1:27">
      <c r="A199" s="77"/>
      <c r="B199" s="77"/>
      <c r="C199" s="74" t="s">
        <v>1183</v>
      </c>
      <c r="D199" s="74" t="s">
        <v>1184</v>
      </c>
      <c r="E199" s="63">
        <f t="shared" si="53"/>
        <v>102</v>
      </c>
      <c r="F199" s="64">
        <f t="shared" si="50"/>
        <v>808</v>
      </c>
      <c r="G199" s="65">
        <v>8</v>
      </c>
      <c r="H199" s="65">
        <v>1</v>
      </c>
      <c r="I199" s="65">
        <v>0</v>
      </c>
      <c r="J199" s="65">
        <v>0</v>
      </c>
      <c r="K199" s="65">
        <f t="shared" si="52"/>
        <v>255</v>
      </c>
      <c r="L199" s="65">
        <v>0</v>
      </c>
      <c r="M199" s="66" t="s">
        <v>602</v>
      </c>
      <c r="N199" s="75">
        <f t="shared" si="51"/>
        <v>3</v>
      </c>
      <c r="O199" s="76"/>
      <c r="P199" s="154" t="s">
        <v>1185</v>
      </c>
      <c r="Q199" s="77"/>
      <c r="R199" s="59" t="s">
        <v>1186</v>
      </c>
      <c r="S199" s="59" t="s">
        <v>218</v>
      </c>
      <c r="T199" s="59" t="s">
        <v>218</v>
      </c>
      <c r="U199" s="59" t="s">
        <v>218</v>
      </c>
      <c r="V199" s="77"/>
      <c r="W199" s="77"/>
      <c r="X199" s="77"/>
      <c r="Y199" s="77"/>
      <c r="Z199" s="77"/>
      <c r="AA199" s="77"/>
    </row>
    <row r="200" s="19" customFormat="1" ht="114.75" outlineLevel="1" spans="1:27">
      <c r="A200" s="77"/>
      <c r="B200" s="77"/>
      <c r="C200" s="74" t="s">
        <v>1187</v>
      </c>
      <c r="D200" s="74" t="s">
        <v>398</v>
      </c>
      <c r="E200" s="63">
        <f t="shared" si="53"/>
        <v>103</v>
      </c>
      <c r="F200" s="64">
        <f t="shared" si="50"/>
        <v>816</v>
      </c>
      <c r="G200" s="65">
        <v>8</v>
      </c>
      <c r="H200" s="65">
        <v>1</v>
      </c>
      <c r="I200" s="65">
        <v>0</v>
      </c>
      <c r="J200" s="65">
        <v>0</v>
      </c>
      <c r="K200" s="65">
        <f t="shared" si="52"/>
        <v>255</v>
      </c>
      <c r="L200" s="65">
        <v>0</v>
      </c>
      <c r="M200" s="66" t="s">
        <v>218</v>
      </c>
      <c r="N200" s="75">
        <f t="shared" si="51"/>
        <v>3</v>
      </c>
      <c r="O200" s="76" t="s">
        <v>1188</v>
      </c>
      <c r="P200" s="154" t="s">
        <v>1189</v>
      </c>
      <c r="Q200" s="77"/>
      <c r="R200" s="59" t="s">
        <v>1190</v>
      </c>
      <c r="S200" s="59" t="s">
        <v>218</v>
      </c>
      <c r="T200" s="59" t="s">
        <v>218</v>
      </c>
      <c r="U200" s="59" t="s">
        <v>218</v>
      </c>
      <c r="V200" s="77"/>
      <c r="W200" s="77"/>
      <c r="X200" s="77"/>
      <c r="Y200" s="77"/>
      <c r="Z200" s="77"/>
      <c r="AA200" s="77"/>
    </row>
    <row r="201" s="19" customFormat="1" ht="25.5" outlineLevel="1" spans="1:27">
      <c r="A201" s="74"/>
      <c r="B201" s="74"/>
      <c r="C201" s="70" t="s">
        <v>1191</v>
      </c>
      <c r="D201" s="74" t="s">
        <v>651</v>
      </c>
      <c r="E201" s="63" t="str">
        <f t="shared" si="53"/>
        <v>104-105</v>
      </c>
      <c r="F201" s="64">
        <f t="shared" ref="F201:F202" si="62">F200+G200</f>
        <v>824</v>
      </c>
      <c r="G201" s="65">
        <v>16</v>
      </c>
      <c r="H201" s="65">
        <v>1</v>
      </c>
      <c r="I201" s="65">
        <v>0</v>
      </c>
      <c r="J201" s="65">
        <v>0</v>
      </c>
      <c r="K201" s="65">
        <f t="shared" ref="K201:K215" si="63">(POWER(2,G201)-1)*H201+I201</f>
        <v>65535</v>
      </c>
      <c r="L201" s="65">
        <v>0</v>
      </c>
      <c r="M201" s="66" t="s">
        <v>652</v>
      </c>
      <c r="N201" s="75">
        <f t="shared" ref="N201:N215" si="64">LEN(K201)</f>
        <v>5</v>
      </c>
      <c r="O201" s="76"/>
      <c r="P201" s="66" t="s">
        <v>1192</v>
      </c>
      <c r="Q201" s="107"/>
      <c r="R201" s="74" t="s">
        <v>1193</v>
      </c>
      <c r="S201" s="59" t="s">
        <v>218</v>
      </c>
      <c r="T201" s="59" t="s">
        <v>218</v>
      </c>
      <c r="U201" s="59" t="s">
        <v>218</v>
      </c>
      <c r="V201" s="77"/>
      <c r="W201" s="77"/>
      <c r="X201" s="77"/>
      <c r="Y201" s="77"/>
      <c r="Z201" s="77"/>
      <c r="AA201" s="77"/>
    </row>
    <row r="202" s="19" customFormat="1" ht="25.5" outlineLevel="1" spans="1:27">
      <c r="A202" s="74"/>
      <c r="B202" s="74"/>
      <c r="C202" s="70" t="s">
        <v>1194</v>
      </c>
      <c r="D202" s="74" t="s">
        <v>657</v>
      </c>
      <c r="E202" s="63" t="str">
        <f t="shared" si="53"/>
        <v>106-107</v>
      </c>
      <c r="F202" s="64">
        <f t="shared" si="62"/>
        <v>840</v>
      </c>
      <c r="G202" s="65">
        <v>16</v>
      </c>
      <c r="H202" s="65">
        <v>1</v>
      </c>
      <c r="I202" s="65">
        <v>0</v>
      </c>
      <c r="J202" s="65">
        <v>0</v>
      </c>
      <c r="K202" s="65">
        <f t="shared" si="63"/>
        <v>65535</v>
      </c>
      <c r="L202" s="65">
        <v>0</v>
      </c>
      <c r="M202" s="66" t="s">
        <v>652</v>
      </c>
      <c r="N202" s="75">
        <f t="shared" si="64"/>
        <v>5</v>
      </c>
      <c r="O202" s="76"/>
      <c r="P202" s="66" t="s">
        <v>1195</v>
      </c>
      <c r="Q202" s="107"/>
      <c r="R202" s="74" t="s">
        <v>1196</v>
      </c>
      <c r="S202" s="59" t="s">
        <v>218</v>
      </c>
      <c r="T202" s="59" t="s">
        <v>218</v>
      </c>
      <c r="U202" s="59" t="s">
        <v>218</v>
      </c>
      <c r="V202" s="77"/>
      <c r="W202" s="77"/>
      <c r="X202" s="77"/>
      <c r="Y202" s="77"/>
      <c r="Z202" s="77"/>
      <c r="AA202" s="77"/>
    </row>
    <row r="203" s="19" customFormat="1" ht="25.5" outlineLevel="1" spans="1:27">
      <c r="A203" s="74"/>
      <c r="B203" s="74"/>
      <c r="C203" s="70" t="s">
        <v>1197</v>
      </c>
      <c r="D203" s="70" t="s">
        <v>1198</v>
      </c>
      <c r="E203" s="63" t="str">
        <f t="shared" ref="E203:E207" si="65">IF(INT((F203+G203-1)/8)+1=INT(F203/8)+1,INT(F203/8)+1,INT(F203/8)+1&amp;"-"&amp;INT((F203+G203-1)/8)+1)</f>
        <v>108-109</v>
      </c>
      <c r="F203" s="64">
        <f t="shared" ref="F203:F207" si="66">F202+G202</f>
        <v>856</v>
      </c>
      <c r="G203" s="65">
        <v>16</v>
      </c>
      <c r="H203" s="65">
        <v>0.1</v>
      </c>
      <c r="I203" s="65">
        <v>-40</v>
      </c>
      <c r="J203" s="65">
        <v>-40</v>
      </c>
      <c r="K203" s="65">
        <f t="shared" si="63"/>
        <v>6513.5</v>
      </c>
      <c r="L203" s="65">
        <v>0</v>
      </c>
      <c r="M203" s="66" t="s">
        <v>427</v>
      </c>
      <c r="N203" s="75">
        <f t="shared" si="64"/>
        <v>6</v>
      </c>
      <c r="O203" s="76"/>
      <c r="P203" s="65" t="s">
        <v>1199</v>
      </c>
      <c r="Q203" s="107"/>
      <c r="R203" s="74" t="s">
        <v>1200</v>
      </c>
      <c r="S203" s="59" t="s">
        <v>218</v>
      </c>
      <c r="T203" s="59" t="s">
        <v>218</v>
      </c>
      <c r="U203" s="59" t="s">
        <v>218</v>
      </c>
      <c r="V203" s="77"/>
      <c r="W203" s="77"/>
      <c r="X203" s="77"/>
      <c r="Y203" s="77"/>
      <c r="Z203" s="77"/>
      <c r="AA203" s="77"/>
    </row>
    <row r="204" s="19" customFormat="1" ht="25.5" outlineLevel="1" spans="1:27">
      <c r="A204" s="74"/>
      <c r="B204" s="74"/>
      <c r="C204" s="70" t="s">
        <v>1201</v>
      </c>
      <c r="D204" s="70" t="s">
        <v>1202</v>
      </c>
      <c r="E204" s="63" t="str">
        <f t="shared" si="65"/>
        <v>110-111</v>
      </c>
      <c r="F204" s="64">
        <f t="shared" si="66"/>
        <v>872</v>
      </c>
      <c r="G204" s="65">
        <v>16</v>
      </c>
      <c r="H204" s="65">
        <v>0.1</v>
      </c>
      <c r="I204" s="65">
        <v>-40</v>
      </c>
      <c r="J204" s="65">
        <v>-40</v>
      </c>
      <c r="K204" s="65">
        <f t="shared" si="63"/>
        <v>6513.5</v>
      </c>
      <c r="L204" s="65">
        <v>0</v>
      </c>
      <c r="M204" s="66" t="s">
        <v>427</v>
      </c>
      <c r="N204" s="75">
        <f t="shared" si="64"/>
        <v>6</v>
      </c>
      <c r="O204" s="76"/>
      <c r="P204" s="65" t="s">
        <v>1203</v>
      </c>
      <c r="Q204" s="107"/>
      <c r="R204" s="74" t="s">
        <v>1204</v>
      </c>
      <c r="S204" s="59" t="s">
        <v>218</v>
      </c>
      <c r="T204" s="59" t="s">
        <v>218</v>
      </c>
      <c r="U204" s="59" t="s">
        <v>218</v>
      </c>
      <c r="V204" s="77"/>
      <c r="W204" s="77"/>
      <c r="X204" s="77"/>
      <c r="Y204" s="77"/>
      <c r="Z204" s="77"/>
      <c r="AA204" s="77"/>
    </row>
    <row r="205" s="19" customFormat="1" ht="25.5" outlineLevel="1" spans="1:27">
      <c r="A205" s="107"/>
      <c r="B205" s="107"/>
      <c r="C205" s="70" t="s">
        <v>1205</v>
      </c>
      <c r="D205" s="70" t="s">
        <v>1206</v>
      </c>
      <c r="E205" s="63" t="str">
        <f t="shared" si="65"/>
        <v>112-113</v>
      </c>
      <c r="F205" s="64">
        <f t="shared" si="66"/>
        <v>888</v>
      </c>
      <c r="G205" s="65">
        <v>16</v>
      </c>
      <c r="H205" s="65">
        <v>0.1</v>
      </c>
      <c r="I205" s="65">
        <v>-40</v>
      </c>
      <c r="J205" s="65">
        <v>-40</v>
      </c>
      <c r="K205" s="65">
        <f t="shared" si="63"/>
        <v>6513.5</v>
      </c>
      <c r="L205" s="65">
        <v>0</v>
      </c>
      <c r="M205" s="66" t="s">
        <v>427</v>
      </c>
      <c r="N205" s="75">
        <f t="shared" si="64"/>
        <v>6</v>
      </c>
      <c r="O205" s="107"/>
      <c r="P205" s="65" t="s">
        <v>1207</v>
      </c>
      <c r="Q205" s="107"/>
      <c r="R205" s="74" t="s">
        <v>1208</v>
      </c>
      <c r="S205" s="59" t="s">
        <v>218</v>
      </c>
      <c r="T205" s="59" t="s">
        <v>218</v>
      </c>
      <c r="U205" s="59" t="s">
        <v>218</v>
      </c>
      <c r="V205" s="77"/>
      <c r="W205" s="77"/>
      <c r="X205" s="77"/>
      <c r="Y205" s="77"/>
      <c r="Z205" s="77"/>
      <c r="AA205" s="77"/>
    </row>
    <row r="206" s="19" customFormat="1" ht="25.5" outlineLevel="1" spans="1:27">
      <c r="A206" s="107"/>
      <c r="B206" s="107"/>
      <c r="C206" s="70" t="s">
        <v>1209</v>
      </c>
      <c r="D206" s="70" t="s">
        <v>1210</v>
      </c>
      <c r="E206" s="63" t="str">
        <f t="shared" si="65"/>
        <v>114-115</v>
      </c>
      <c r="F206" s="64">
        <f t="shared" si="66"/>
        <v>904</v>
      </c>
      <c r="G206" s="65">
        <v>16</v>
      </c>
      <c r="H206" s="65">
        <v>0.1</v>
      </c>
      <c r="I206" s="65">
        <v>-40</v>
      </c>
      <c r="J206" s="65">
        <v>-40</v>
      </c>
      <c r="K206" s="65">
        <f t="shared" si="63"/>
        <v>6513.5</v>
      </c>
      <c r="L206" s="65">
        <v>0</v>
      </c>
      <c r="M206" s="66" t="s">
        <v>427</v>
      </c>
      <c r="N206" s="75">
        <f t="shared" si="64"/>
        <v>6</v>
      </c>
      <c r="O206" s="107"/>
      <c r="P206" s="65" t="s">
        <v>1211</v>
      </c>
      <c r="Q206" s="107"/>
      <c r="R206" s="74" t="s">
        <v>1212</v>
      </c>
      <c r="S206" s="59" t="s">
        <v>218</v>
      </c>
      <c r="T206" s="59" t="s">
        <v>218</v>
      </c>
      <c r="U206" s="59" t="s">
        <v>218</v>
      </c>
      <c r="V206" s="77"/>
      <c r="W206" s="77"/>
      <c r="X206" s="77"/>
      <c r="Y206" s="77"/>
      <c r="Z206" s="77"/>
      <c r="AA206" s="77"/>
    </row>
    <row r="207" s="19" customFormat="1" ht="25.5" outlineLevel="1" spans="1:27">
      <c r="A207" s="107"/>
      <c r="B207" s="107"/>
      <c r="C207" s="70" t="s">
        <v>1213</v>
      </c>
      <c r="D207" s="70" t="s">
        <v>1214</v>
      </c>
      <c r="E207" s="63" t="str">
        <f t="shared" si="65"/>
        <v>116-117</v>
      </c>
      <c r="F207" s="64">
        <f t="shared" si="66"/>
        <v>920</v>
      </c>
      <c r="G207" s="65">
        <v>16</v>
      </c>
      <c r="H207" s="65">
        <v>0.1</v>
      </c>
      <c r="I207" s="65">
        <v>-40</v>
      </c>
      <c r="J207" s="65">
        <v>-40</v>
      </c>
      <c r="K207" s="65">
        <f t="shared" si="63"/>
        <v>6513.5</v>
      </c>
      <c r="L207" s="65">
        <v>0</v>
      </c>
      <c r="M207" s="66" t="s">
        <v>427</v>
      </c>
      <c r="N207" s="75">
        <f t="shared" si="64"/>
        <v>6</v>
      </c>
      <c r="O207" s="107"/>
      <c r="P207" s="65" t="s">
        <v>1215</v>
      </c>
      <c r="Q207" s="107"/>
      <c r="R207" s="74" t="s">
        <v>1216</v>
      </c>
      <c r="S207" s="59" t="s">
        <v>218</v>
      </c>
      <c r="T207" s="59" t="s">
        <v>218</v>
      </c>
      <c r="U207" s="59" t="s">
        <v>218</v>
      </c>
      <c r="V207" s="77"/>
      <c r="W207" s="77"/>
      <c r="X207" s="77"/>
      <c r="Y207" s="77"/>
      <c r="Z207" s="77"/>
      <c r="AA207" s="77"/>
    </row>
    <row r="208" s="19" customFormat="1" ht="25.5" outlineLevel="1" spans="1:27">
      <c r="A208" s="107"/>
      <c r="B208" s="107"/>
      <c r="C208" s="70" t="s">
        <v>1217</v>
      </c>
      <c r="D208" s="70" t="s">
        <v>611</v>
      </c>
      <c r="E208" s="63" t="str">
        <f t="shared" ref="E208:E210" si="67">IF(INT((F208+G208-1)/8)+1=INT(F208/8)+1,INT(F208/8)+1,INT(F208/8)+1&amp;"-"&amp;INT((F208+G208-1)/8)+1)</f>
        <v>118-119</v>
      </c>
      <c r="F208" s="64">
        <f t="shared" ref="F208:F210" si="68">F207+G207</f>
        <v>936</v>
      </c>
      <c r="G208" s="65">
        <v>16</v>
      </c>
      <c r="H208" s="65">
        <v>0.1</v>
      </c>
      <c r="I208" s="65">
        <v>-40</v>
      </c>
      <c r="J208" s="65">
        <v>-40</v>
      </c>
      <c r="K208" s="65">
        <f t="shared" si="63"/>
        <v>6513.5</v>
      </c>
      <c r="L208" s="65">
        <v>0</v>
      </c>
      <c r="M208" s="66" t="s">
        <v>427</v>
      </c>
      <c r="N208" s="75">
        <f t="shared" si="64"/>
        <v>6</v>
      </c>
      <c r="O208" s="107"/>
      <c r="P208" s="65" t="s">
        <v>1218</v>
      </c>
      <c r="Q208" s="107"/>
      <c r="R208" s="74" t="s">
        <v>1219</v>
      </c>
      <c r="S208" s="59" t="s">
        <v>218</v>
      </c>
      <c r="T208" s="59" t="s">
        <v>218</v>
      </c>
      <c r="U208" s="59" t="s">
        <v>218</v>
      </c>
      <c r="V208" s="77"/>
      <c r="W208" s="77"/>
      <c r="X208" s="77"/>
      <c r="Y208" s="77"/>
      <c r="Z208" s="77"/>
      <c r="AA208" s="77"/>
    </row>
    <row r="209" s="19" customFormat="1" ht="25.5" outlineLevel="1" spans="1:27">
      <c r="A209" s="107"/>
      <c r="B209" s="107"/>
      <c r="C209" s="70" t="s">
        <v>1220</v>
      </c>
      <c r="D209" s="70" t="s">
        <v>620</v>
      </c>
      <c r="E209" s="63" t="str">
        <f t="shared" si="67"/>
        <v>120-121</v>
      </c>
      <c r="F209" s="64">
        <f t="shared" si="68"/>
        <v>952</v>
      </c>
      <c r="G209" s="65">
        <v>16</v>
      </c>
      <c r="H209" s="65">
        <v>0.1</v>
      </c>
      <c r="I209" s="65">
        <v>-40</v>
      </c>
      <c r="J209" s="65">
        <v>-40</v>
      </c>
      <c r="K209" s="65">
        <f t="shared" si="63"/>
        <v>6513.5</v>
      </c>
      <c r="L209" s="65">
        <v>0</v>
      </c>
      <c r="M209" s="66" t="s">
        <v>427</v>
      </c>
      <c r="N209" s="75">
        <f t="shared" si="64"/>
        <v>6</v>
      </c>
      <c r="O209" s="107"/>
      <c r="P209" s="65" t="s">
        <v>1221</v>
      </c>
      <c r="Q209" s="107"/>
      <c r="R209" s="74" t="s">
        <v>1222</v>
      </c>
      <c r="S209" s="59" t="s">
        <v>218</v>
      </c>
      <c r="T209" s="59" t="s">
        <v>218</v>
      </c>
      <c r="U209" s="59" t="s">
        <v>218</v>
      </c>
      <c r="V209" s="77"/>
      <c r="W209" s="77"/>
      <c r="X209" s="77"/>
      <c r="Y209" s="77"/>
      <c r="Z209" s="77"/>
      <c r="AA209" s="77"/>
    </row>
    <row r="210" s="19" customFormat="1" ht="25.5" outlineLevel="1" spans="1:27">
      <c r="A210" s="107"/>
      <c r="B210" s="107"/>
      <c r="C210" s="70" t="s">
        <v>1223</v>
      </c>
      <c r="D210" s="70" t="s">
        <v>1224</v>
      </c>
      <c r="E210" s="63">
        <f t="shared" si="67"/>
        <v>122</v>
      </c>
      <c r="F210" s="64">
        <f t="shared" si="68"/>
        <v>968</v>
      </c>
      <c r="G210" s="65">
        <v>8</v>
      </c>
      <c r="H210" s="65">
        <v>1</v>
      </c>
      <c r="I210" s="65">
        <v>0</v>
      </c>
      <c r="J210" s="65">
        <v>0</v>
      </c>
      <c r="K210" s="65">
        <f t="shared" si="63"/>
        <v>255</v>
      </c>
      <c r="L210" s="65">
        <v>0</v>
      </c>
      <c r="M210" s="66" t="s">
        <v>218</v>
      </c>
      <c r="N210" s="75">
        <f t="shared" si="64"/>
        <v>3</v>
      </c>
      <c r="O210" s="107"/>
      <c r="P210" s="65" t="s">
        <v>1225</v>
      </c>
      <c r="Q210" s="107"/>
      <c r="R210" s="74" t="s">
        <v>1226</v>
      </c>
      <c r="S210" s="59" t="s">
        <v>218</v>
      </c>
      <c r="T210" s="59" t="s">
        <v>218</v>
      </c>
      <c r="U210" s="59" t="s">
        <v>218</v>
      </c>
      <c r="V210" s="77"/>
      <c r="W210" s="77"/>
      <c r="X210" s="77"/>
      <c r="Y210" s="77"/>
      <c r="Z210" s="77"/>
      <c r="AA210" s="77"/>
    </row>
    <row r="211" s="19" customFormat="1" ht="25.5" outlineLevel="1" spans="1:27">
      <c r="A211" s="107"/>
      <c r="B211" s="107"/>
      <c r="C211" s="70" t="s">
        <v>1227</v>
      </c>
      <c r="D211" s="70" t="s">
        <v>629</v>
      </c>
      <c r="E211" s="63">
        <f t="shared" ref="E211:E215" si="69">IF(INT((F211+G211-1)/8)+1=INT(F211/8)+1,INT(F211/8)+1,INT(F211/8)+1&amp;"-"&amp;INT((F211+G211-1)/8)+1)</f>
        <v>123</v>
      </c>
      <c r="F211" s="64">
        <f t="shared" ref="F211:F215" si="70">F210+G210</f>
        <v>976</v>
      </c>
      <c r="G211" s="65">
        <v>8</v>
      </c>
      <c r="H211" s="65">
        <v>1</v>
      </c>
      <c r="I211" s="65">
        <v>0</v>
      </c>
      <c r="J211" s="65">
        <v>0</v>
      </c>
      <c r="K211" s="65">
        <f t="shared" si="63"/>
        <v>255</v>
      </c>
      <c r="L211" s="65">
        <v>0</v>
      </c>
      <c r="M211" s="66" t="s">
        <v>218</v>
      </c>
      <c r="N211" s="75">
        <f t="shared" si="64"/>
        <v>3</v>
      </c>
      <c r="O211" s="107"/>
      <c r="P211" s="65" t="s">
        <v>1228</v>
      </c>
      <c r="Q211" s="107"/>
      <c r="R211" s="74" t="s">
        <v>1229</v>
      </c>
      <c r="S211" s="59" t="s">
        <v>218</v>
      </c>
      <c r="T211" s="59" t="s">
        <v>218</v>
      </c>
      <c r="U211" s="59" t="s">
        <v>218</v>
      </c>
      <c r="V211" s="77"/>
      <c r="W211" s="77"/>
      <c r="X211" s="77"/>
      <c r="Y211" s="77"/>
      <c r="Z211" s="77"/>
      <c r="AA211" s="77"/>
    </row>
    <row r="212" s="19" customFormat="1" ht="25.5" outlineLevel="1" spans="1:27">
      <c r="A212" s="107"/>
      <c r="B212" s="107"/>
      <c r="C212" s="70" t="s">
        <v>1230</v>
      </c>
      <c r="D212" s="70" t="s">
        <v>1231</v>
      </c>
      <c r="E212" s="63">
        <f t="shared" si="69"/>
        <v>124</v>
      </c>
      <c r="F212" s="64">
        <f t="shared" si="70"/>
        <v>984</v>
      </c>
      <c r="G212" s="65">
        <v>8</v>
      </c>
      <c r="H212" s="65">
        <v>1</v>
      </c>
      <c r="I212" s="65">
        <v>0</v>
      </c>
      <c r="J212" s="65">
        <v>0</v>
      </c>
      <c r="K212" s="65">
        <f t="shared" si="63"/>
        <v>255</v>
      </c>
      <c r="L212" s="65">
        <v>0</v>
      </c>
      <c r="M212" s="66" t="s">
        <v>218</v>
      </c>
      <c r="N212" s="75">
        <f t="shared" si="64"/>
        <v>3</v>
      </c>
      <c r="O212" s="107"/>
      <c r="P212" s="65" t="s">
        <v>1232</v>
      </c>
      <c r="Q212" s="107"/>
      <c r="R212" s="74" t="s">
        <v>1233</v>
      </c>
      <c r="S212" s="59" t="s">
        <v>218</v>
      </c>
      <c r="T212" s="59" t="s">
        <v>218</v>
      </c>
      <c r="U212" s="59" t="s">
        <v>218</v>
      </c>
      <c r="V212" s="77"/>
      <c r="W212" s="77"/>
      <c r="X212" s="77"/>
      <c r="Y212" s="77"/>
      <c r="Z212" s="77"/>
      <c r="AA212" s="77"/>
    </row>
    <row r="213" s="19" customFormat="1" ht="25.5" outlineLevel="1" spans="1:27">
      <c r="A213" s="107"/>
      <c r="B213" s="107"/>
      <c r="C213" s="70" t="s">
        <v>1234</v>
      </c>
      <c r="D213" s="70" t="s">
        <v>1235</v>
      </c>
      <c r="E213" s="63">
        <f t="shared" si="69"/>
        <v>125</v>
      </c>
      <c r="F213" s="64">
        <f t="shared" si="70"/>
        <v>992</v>
      </c>
      <c r="G213" s="65">
        <v>8</v>
      </c>
      <c r="H213" s="65">
        <v>1</v>
      </c>
      <c r="I213" s="65">
        <v>0</v>
      </c>
      <c r="J213" s="65">
        <v>0</v>
      </c>
      <c r="K213" s="65">
        <f t="shared" si="63"/>
        <v>255</v>
      </c>
      <c r="L213" s="65">
        <v>0</v>
      </c>
      <c r="M213" s="66" t="s">
        <v>218</v>
      </c>
      <c r="N213" s="75">
        <f t="shared" si="64"/>
        <v>3</v>
      </c>
      <c r="O213" s="107"/>
      <c r="P213" s="65" t="s">
        <v>1236</v>
      </c>
      <c r="Q213" s="107"/>
      <c r="R213" s="74" t="s">
        <v>1237</v>
      </c>
      <c r="S213" s="59" t="s">
        <v>218</v>
      </c>
      <c r="T213" s="59" t="s">
        <v>218</v>
      </c>
      <c r="U213" s="59" t="s">
        <v>218</v>
      </c>
      <c r="V213" s="77"/>
      <c r="W213" s="77"/>
      <c r="X213" s="77"/>
      <c r="Y213" s="77"/>
      <c r="Z213" s="77"/>
      <c r="AA213" s="77"/>
    </row>
    <row r="214" s="19" customFormat="1" ht="25.5" outlineLevel="1" spans="1:27">
      <c r="A214" s="107"/>
      <c r="B214" s="107"/>
      <c r="C214" s="70" t="s">
        <v>1238</v>
      </c>
      <c r="D214" s="70" t="s">
        <v>633</v>
      </c>
      <c r="E214" s="63">
        <f t="shared" si="69"/>
        <v>126</v>
      </c>
      <c r="F214" s="64">
        <f t="shared" si="70"/>
        <v>1000</v>
      </c>
      <c r="G214" s="65">
        <v>8</v>
      </c>
      <c r="H214" s="65">
        <v>1</v>
      </c>
      <c r="I214" s="65">
        <v>0</v>
      </c>
      <c r="J214" s="65">
        <v>0</v>
      </c>
      <c r="K214" s="65">
        <f t="shared" si="63"/>
        <v>255</v>
      </c>
      <c r="L214" s="65">
        <v>0</v>
      </c>
      <c r="M214" s="66" t="s">
        <v>218</v>
      </c>
      <c r="N214" s="75">
        <f t="shared" si="64"/>
        <v>3</v>
      </c>
      <c r="O214" s="107"/>
      <c r="P214" s="65" t="s">
        <v>1239</v>
      </c>
      <c r="Q214" s="107"/>
      <c r="R214" s="74" t="s">
        <v>1240</v>
      </c>
      <c r="S214" s="59" t="s">
        <v>218</v>
      </c>
      <c r="T214" s="59" t="s">
        <v>218</v>
      </c>
      <c r="U214" s="59" t="s">
        <v>218</v>
      </c>
      <c r="V214" s="77"/>
      <c r="W214" s="77"/>
      <c r="X214" s="77"/>
      <c r="Y214" s="77"/>
      <c r="Z214" s="77"/>
      <c r="AA214" s="77"/>
    </row>
    <row r="215" s="19" customFormat="1" ht="25.5" outlineLevel="1" spans="1:27">
      <c r="A215" s="107"/>
      <c r="B215" s="107"/>
      <c r="C215" s="70" t="s">
        <v>1241</v>
      </c>
      <c r="D215" s="70" t="s">
        <v>1242</v>
      </c>
      <c r="E215" s="63">
        <f t="shared" si="69"/>
        <v>127</v>
      </c>
      <c r="F215" s="64">
        <f t="shared" si="70"/>
        <v>1008</v>
      </c>
      <c r="G215" s="65">
        <v>8</v>
      </c>
      <c r="H215" s="65">
        <v>1</v>
      </c>
      <c r="I215" s="65">
        <v>0</v>
      </c>
      <c r="J215" s="65">
        <v>0</v>
      </c>
      <c r="K215" s="65">
        <f t="shared" si="63"/>
        <v>255</v>
      </c>
      <c r="L215" s="65">
        <v>0</v>
      </c>
      <c r="M215" s="66" t="s">
        <v>218</v>
      </c>
      <c r="N215" s="75">
        <f t="shared" si="64"/>
        <v>3</v>
      </c>
      <c r="O215" s="107"/>
      <c r="P215" s="65" t="s">
        <v>1243</v>
      </c>
      <c r="Q215" s="107"/>
      <c r="R215" s="74" t="s">
        <v>1244</v>
      </c>
      <c r="S215" s="59" t="s">
        <v>218</v>
      </c>
      <c r="T215" s="59" t="s">
        <v>218</v>
      </c>
      <c r="U215" s="59" t="s">
        <v>218</v>
      </c>
      <c r="V215" s="77"/>
      <c r="W215" s="77"/>
      <c r="X215" s="77"/>
      <c r="Y215" s="77"/>
      <c r="Z215" s="77"/>
      <c r="AA215" s="77"/>
    </row>
    <row r="216" spans="1:27">
      <c r="A216" s="41" t="s">
        <v>242</v>
      </c>
      <c r="B216" s="151" t="str">
        <f>VLOOKUP(A216,'Message ID'!A:M,2,FALSE)</f>
        <v>BMS故障列表</v>
      </c>
      <c r="C216" s="41"/>
      <c r="D216" s="41"/>
      <c r="E216" s="43">
        <v>25</v>
      </c>
      <c r="F216" s="45"/>
      <c r="G216" s="45"/>
      <c r="H216" s="45"/>
      <c r="I216" s="45"/>
      <c r="J216" s="45"/>
      <c r="K216" s="45"/>
      <c r="L216" s="45"/>
      <c r="M216" s="45"/>
      <c r="N216" s="43">
        <f>N217*200</f>
        <v>200</v>
      </c>
      <c r="O216" s="41"/>
      <c r="P216" s="45"/>
      <c r="Q216" s="41"/>
      <c r="R216" s="41"/>
      <c r="S216" s="47"/>
      <c r="T216" s="47"/>
      <c r="U216" s="47"/>
      <c r="V216" s="48"/>
      <c r="W216" s="48"/>
      <c r="X216" s="48"/>
      <c r="Y216" s="48"/>
      <c r="Z216" s="48"/>
      <c r="AA216" s="48"/>
    </row>
    <row r="217" ht="25.5" outlineLevel="1" spans="1:27">
      <c r="A217" s="60"/>
      <c r="B217" s="60"/>
      <c r="C217" s="73" t="s">
        <v>1245</v>
      </c>
      <c r="D217" s="70" t="s">
        <v>1246</v>
      </c>
      <c r="E217" s="152" t="s">
        <v>951</v>
      </c>
      <c r="F217" s="65">
        <v>0</v>
      </c>
      <c r="G217" s="75">
        <v>1</v>
      </c>
      <c r="H217" s="75">
        <v>1</v>
      </c>
      <c r="I217" s="75">
        <v>0</v>
      </c>
      <c r="J217" s="75">
        <v>0</v>
      </c>
      <c r="K217" s="66">
        <f>(POWER(2,G217)-1)*H217+I217</f>
        <v>1</v>
      </c>
      <c r="L217" s="75">
        <v>0</v>
      </c>
      <c r="M217" s="65" t="s">
        <v>218</v>
      </c>
      <c r="N217" s="75">
        <f t="shared" si="51"/>
        <v>1</v>
      </c>
      <c r="O217" s="70" t="s">
        <v>1247</v>
      </c>
      <c r="P217" s="65" t="s">
        <v>942</v>
      </c>
      <c r="Q217" s="61"/>
      <c r="R217" s="73" t="s">
        <v>953</v>
      </c>
      <c r="S217" s="59" t="s">
        <v>218</v>
      </c>
      <c r="T217" s="60" t="s">
        <v>218</v>
      </c>
      <c r="U217" s="60" t="s">
        <v>218</v>
      </c>
      <c r="V217" s="61"/>
      <c r="W217" s="61"/>
      <c r="X217" s="61"/>
      <c r="Y217" s="61"/>
      <c r="Z217" s="61"/>
      <c r="AA217" s="61"/>
    </row>
    <row r="218" ht="25.5" spans="1:27">
      <c r="A218" s="41" t="s">
        <v>244</v>
      </c>
      <c r="B218" s="151" t="str">
        <f>VLOOKUP(A218,'Message ID'!A:M,2,FALSE)</f>
        <v>BBMS Control
BBMS控制指令</v>
      </c>
      <c r="C218" s="41"/>
      <c r="D218" s="41"/>
      <c r="E218" s="43">
        <v>7</v>
      </c>
      <c r="F218" s="44"/>
      <c r="G218" s="45"/>
      <c r="H218" s="45"/>
      <c r="I218" s="45"/>
      <c r="J218" s="45"/>
      <c r="K218" s="45"/>
      <c r="L218" s="45"/>
      <c r="M218" s="45"/>
      <c r="N218" s="43">
        <f>SUM(N219:N230)</f>
        <v>22</v>
      </c>
      <c r="O218" s="45"/>
      <c r="P218" s="45"/>
      <c r="Q218" s="46"/>
      <c r="R218" s="41"/>
      <c r="S218" s="47"/>
      <c r="T218" s="47"/>
      <c r="U218" s="47"/>
      <c r="V218" s="48"/>
      <c r="W218" s="48"/>
      <c r="X218" s="48"/>
      <c r="Y218" s="48"/>
      <c r="Z218" s="48"/>
      <c r="AA218" s="48"/>
    </row>
    <row r="219" ht="51" outlineLevel="1" spans="1:27">
      <c r="A219" s="49"/>
      <c r="B219" s="150"/>
      <c r="C219" s="49" t="s">
        <v>1248</v>
      </c>
      <c r="D219" s="49" t="s">
        <v>1249</v>
      </c>
      <c r="E219" s="51">
        <f>IF(INT((F219+G219-1)/8)+1=INT(F219/8)+1,INT(F219/8)+1,INT(F219/8)+1&amp;"-"&amp;INT((F219+G219-1)/8)+1)</f>
        <v>1</v>
      </c>
      <c r="F219" s="52">
        <v>0</v>
      </c>
      <c r="G219" s="53">
        <v>2</v>
      </c>
      <c r="H219" s="53">
        <v>1</v>
      </c>
      <c r="I219" s="53">
        <v>0</v>
      </c>
      <c r="J219" s="53">
        <v>0</v>
      </c>
      <c r="K219" s="53">
        <f t="shared" ref="K219:K230" si="71">(POWER(2,G219)-1)*H219+I219</f>
        <v>3</v>
      </c>
      <c r="L219" s="65">
        <v>0</v>
      </c>
      <c r="M219" s="54" t="s">
        <v>218</v>
      </c>
      <c r="N219" s="75">
        <f t="shared" si="51"/>
        <v>1</v>
      </c>
      <c r="O219" s="150" t="s">
        <v>1250</v>
      </c>
      <c r="P219" s="54"/>
      <c r="Q219" s="150"/>
      <c r="R219" s="49" t="s">
        <v>1251</v>
      </c>
      <c r="S219" s="59" t="s">
        <v>218</v>
      </c>
      <c r="T219" s="60" t="s">
        <v>218</v>
      </c>
      <c r="U219" s="60" t="s">
        <v>1248</v>
      </c>
      <c r="V219" s="61"/>
      <c r="W219" s="61"/>
      <c r="X219" s="61"/>
      <c r="Y219" s="61"/>
      <c r="Z219" s="61"/>
      <c r="AA219" s="61"/>
    </row>
    <row r="220" ht="51" outlineLevel="1" spans="1:27">
      <c r="A220" s="49"/>
      <c r="B220" s="150"/>
      <c r="C220" s="49" t="s">
        <v>1252</v>
      </c>
      <c r="D220" s="49" t="s">
        <v>1253</v>
      </c>
      <c r="E220" s="51">
        <f>IF(INT((F220+G220-1)/8)+1=INT(F220/8)+1,INT(F220/8)+1,INT(F220/8)+1&amp;"-"&amp;INT((F220+G220-1)/8)+1)</f>
        <v>1</v>
      </c>
      <c r="F220" s="52">
        <f>F219+G219</f>
        <v>2</v>
      </c>
      <c r="G220" s="53">
        <v>2</v>
      </c>
      <c r="H220" s="53">
        <v>1</v>
      </c>
      <c r="I220" s="53">
        <v>0</v>
      </c>
      <c r="J220" s="53">
        <v>0</v>
      </c>
      <c r="K220" s="53">
        <f t="shared" si="71"/>
        <v>3</v>
      </c>
      <c r="L220" s="65">
        <v>0</v>
      </c>
      <c r="M220" s="54" t="s">
        <v>218</v>
      </c>
      <c r="N220" s="75">
        <f t="shared" si="51"/>
        <v>1</v>
      </c>
      <c r="O220" s="150" t="s">
        <v>1254</v>
      </c>
      <c r="P220" s="54"/>
      <c r="Q220" s="150"/>
      <c r="R220" s="49" t="s">
        <v>1255</v>
      </c>
      <c r="S220" s="59" t="s">
        <v>218</v>
      </c>
      <c r="T220" s="60" t="s">
        <v>218</v>
      </c>
      <c r="U220" s="60" t="s">
        <v>1252</v>
      </c>
      <c r="V220" s="61"/>
      <c r="W220" s="61"/>
      <c r="X220" s="61"/>
      <c r="Y220" s="61"/>
      <c r="Z220" s="61"/>
      <c r="AA220" s="61"/>
    </row>
    <row r="221" s="20" customFormat="1" ht="25.5" outlineLevel="1" spans="1:27">
      <c r="A221" s="160"/>
      <c r="B221" s="161"/>
      <c r="C221" s="160" t="s">
        <v>449</v>
      </c>
      <c r="D221" s="160" t="s">
        <v>450</v>
      </c>
      <c r="E221" s="80">
        <f t="shared" ref="E221" si="72">IF(INT((F221+G221-1)/8)+1=INT(F221/8)+1,INT(F221/8)+1,INT(F221/8)+1&amp;"-"&amp;INT((F221+G221-1)/8)+1)</f>
        <v>1</v>
      </c>
      <c r="F221" s="81">
        <f t="shared" ref="F221" si="73">F220+G220</f>
        <v>4</v>
      </c>
      <c r="G221" s="162">
        <v>2</v>
      </c>
      <c r="H221" s="162">
        <v>1</v>
      </c>
      <c r="I221" s="162">
        <v>0</v>
      </c>
      <c r="J221" s="162">
        <v>0</v>
      </c>
      <c r="K221" s="162">
        <f t="shared" si="71"/>
        <v>3</v>
      </c>
      <c r="L221" s="162">
        <v>0</v>
      </c>
      <c r="M221" s="163" t="s">
        <v>218</v>
      </c>
      <c r="N221" s="84">
        <v>0</v>
      </c>
      <c r="O221" s="161"/>
      <c r="P221" s="163"/>
      <c r="Q221" s="161"/>
      <c r="R221" s="160" t="s">
        <v>218</v>
      </c>
      <c r="S221" s="164" t="s">
        <v>218</v>
      </c>
      <c r="T221" s="164" t="s">
        <v>218</v>
      </c>
      <c r="U221" s="164" t="s">
        <v>218</v>
      </c>
      <c r="V221" s="165"/>
      <c r="W221" s="165"/>
      <c r="X221" s="165"/>
      <c r="Y221" s="165"/>
      <c r="Z221" s="165"/>
      <c r="AA221" s="165"/>
    </row>
    <row r="222" ht="51" outlineLevel="1" collapsed="1" spans="1:27">
      <c r="A222" s="49"/>
      <c r="B222" s="150"/>
      <c r="C222" s="49" t="s">
        <v>1256</v>
      </c>
      <c r="D222" s="49" t="s">
        <v>1257</v>
      </c>
      <c r="E222" s="63">
        <f t="shared" ref="E222:E226" si="74">IF(INT((F222+G222-1)/8)+1=INT(F222/8)+1,INT(F222/8)+1,INT(F222/8)+1&amp;"-"&amp;INT((F222+G222-1)/8)+1)</f>
        <v>1</v>
      </c>
      <c r="F222" s="64">
        <f t="shared" ref="F222:F226" si="75">F221+G221</f>
        <v>6</v>
      </c>
      <c r="G222" s="53">
        <v>2</v>
      </c>
      <c r="H222" s="53">
        <v>1</v>
      </c>
      <c r="I222" s="53">
        <v>0</v>
      </c>
      <c r="J222" s="53">
        <v>0</v>
      </c>
      <c r="K222" s="53">
        <f t="shared" si="71"/>
        <v>3</v>
      </c>
      <c r="L222" s="65">
        <v>0</v>
      </c>
      <c r="M222" s="54" t="s">
        <v>218</v>
      </c>
      <c r="N222" s="75">
        <f t="shared" ref="N222:N293" si="76">LEN(K222)</f>
        <v>1</v>
      </c>
      <c r="O222" s="150" t="s">
        <v>1254</v>
      </c>
      <c r="P222" s="54"/>
      <c r="Q222" s="150"/>
      <c r="R222" s="49" t="s">
        <v>1258</v>
      </c>
      <c r="S222" s="59" t="s">
        <v>218</v>
      </c>
      <c r="T222" s="60" t="s">
        <v>218</v>
      </c>
      <c r="U222" s="60" t="s">
        <v>1256</v>
      </c>
      <c r="V222" s="61"/>
      <c r="W222" s="61"/>
      <c r="X222" s="61"/>
      <c r="Y222" s="61"/>
      <c r="Z222" s="61"/>
      <c r="AA222" s="61"/>
    </row>
    <row r="223" s="19" customFormat="1" ht="25.5" outlineLevel="1" spans="1:27">
      <c r="A223" s="114"/>
      <c r="B223" s="166"/>
      <c r="C223" s="167" t="s">
        <v>1259</v>
      </c>
      <c r="D223" s="114" t="s">
        <v>1260</v>
      </c>
      <c r="E223" s="63">
        <f t="shared" si="74"/>
        <v>2</v>
      </c>
      <c r="F223" s="64">
        <f t="shared" si="75"/>
        <v>8</v>
      </c>
      <c r="G223" s="168">
        <v>8</v>
      </c>
      <c r="H223" s="168">
        <v>1</v>
      </c>
      <c r="I223" s="168">
        <v>0</v>
      </c>
      <c r="J223" s="168">
        <v>0</v>
      </c>
      <c r="K223" s="168">
        <f t="shared" si="71"/>
        <v>255</v>
      </c>
      <c r="L223" s="168">
        <v>0</v>
      </c>
      <c r="M223" s="169" t="s">
        <v>218</v>
      </c>
      <c r="N223" s="75">
        <f t="shared" si="76"/>
        <v>3</v>
      </c>
      <c r="O223" s="114" t="s">
        <v>1261</v>
      </c>
      <c r="P223" s="169"/>
      <c r="Q223" s="166"/>
      <c r="R223" s="114" t="s">
        <v>1262</v>
      </c>
      <c r="S223" s="167" t="s">
        <v>218</v>
      </c>
      <c r="T223" s="167" t="s">
        <v>218</v>
      </c>
      <c r="U223" s="167" t="s">
        <v>1259</v>
      </c>
      <c r="V223" s="170"/>
      <c r="W223" s="170"/>
      <c r="X223" s="170"/>
      <c r="Y223" s="170"/>
      <c r="Z223" s="170"/>
      <c r="AA223" s="170"/>
    </row>
    <row r="224" s="19" customFormat="1" ht="25.5" outlineLevel="1" spans="1:27">
      <c r="A224" s="114"/>
      <c r="B224" s="166"/>
      <c r="C224" s="167" t="s">
        <v>1263</v>
      </c>
      <c r="D224" s="114" t="s">
        <v>1264</v>
      </c>
      <c r="E224" s="63">
        <f t="shared" si="74"/>
        <v>3</v>
      </c>
      <c r="F224" s="64">
        <f t="shared" si="75"/>
        <v>16</v>
      </c>
      <c r="G224" s="168">
        <v>8</v>
      </c>
      <c r="H224" s="168">
        <v>1</v>
      </c>
      <c r="I224" s="168">
        <v>0</v>
      </c>
      <c r="J224" s="168">
        <v>0</v>
      </c>
      <c r="K224" s="168">
        <f t="shared" si="71"/>
        <v>255</v>
      </c>
      <c r="L224" s="168">
        <v>0</v>
      </c>
      <c r="M224" s="169" t="s">
        <v>482</v>
      </c>
      <c r="N224" s="75">
        <f t="shared" si="76"/>
        <v>3</v>
      </c>
      <c r="O224" s="114" t="s">
        <v>1265</v>
      </c>
      <c r="P224" s="169"/>
      <c r="Q224" s="166"/>
      <c r="R224" s="114" t="s">
        <v>1266</v>
      </c>
      <c r="S224" s="167" t="s">
        <v>218</v>
      </c>
      <c r="T224" s="167" t="s">
        <v>218</v>
      </c>
      <c r="U224" s="167" t="s">
        <v>1267</v>
      </c>
      <c r="V224" s="170"/>
      <c r="W224" s="170"/>
      <c r="X224" s="170"/>
      <c r="Y224" s="170"/>
      <c r="Z224" s="170"/>
      <c r="AA224" s="170"/>
    </row>
    <row r="225" s="19" customFormat="1" ht="25.5" outlineLevel="1" spans="1:27">
      <c r="A225" s="114"/>
      <c r="B225" s="166"/>
      <c r="C225" s="167" t="s">
        <v>1268</v>
      </c>
      <c r="D225" s="114" t="s">
        <v>1269</v>
      </c>
      <c r="E225" s="63">
        <f t="shared" si="74"/>
        <v>4</v>
      </c>
      <c r="F225" s="64">
        <f t="shared" si="75"/>
        <v>24</v>
      </c>
      <c r="G225" s="168">
        <v>5</v>
      </c>
      <c r="H225" s="168">
        <v>1</v>
      </c>
      <c r="I225" s="168">
        <v>0</v>
      </c>
      <c r="J225" s="168">
        <v>0</v>
      </c>
      <c r="K225" s="168">
        <f t="shared" si="71"/>
        <v>31</v>
      </c>
      <c r="L225" s="168">
        <v>0</v>
      </c>
      <c r="M225" s="169" t="s">
        <v>482</v>
      </c>
      <c r="N225" s="75">
        <f t="shared" si="76"/>
        <v>2</v>
      </c>
      <c r="O225" s="114" t="s">
        <v>1270</v>
      </c>
      <c r="P225" s="169"/>
      <c r="Q225" s="166"/>
      <c r="R225" s="114" t="s">
        <v>1271</v>
      </c>
      <c r="S225" s="167" t="s">
        <v>218</v>
      </c>
      <c r="T225" s="167" t="s">
        <v>218</v>
      </c>
      <c r="U225" s="167" t="s">
        <v>1272</v>
      </c>
      <c r="V225" s="170"/>
      <c r="W225" s="170"/>
      <c r="X225" s="170"/>
      <c r="Y225" s="170"/>
      <c r="Z225" s="170"/>
      <c r="AA225" s="170"/>
    </row>
    <row r="226" s="19" customFormat="1" ht="63.75" outlineLevel="1" spans="1:27">
      <c r="A226" s="74"/>
      <c r="B226" s="76"/>
      <c r="C226" s="74" t="s">
        <v>1273</v>
      </c>
      <c r="D226" s="74" t="s">
        <v>1274</v>
      </c>
      <c r="E226" s="63">
        <f t="shared" si="74"/>
        <v>4</v>
      </c>
      <c r="F226" s="64">
        <f t="shared" si="75"/>
        <v>29</v>
      </c>
      <c r="G226" s="65">
        <v>3</v>
      </c>
      <c r="H226" s="65">
        <v>1</v>
      </c>
      <c r="I226" s="65">
        <v>0</v>
      </c>
      <c r="J226" s="65">
        <v>0</v>
      </c>
      <c r="K226" s="65">
        <f t="shared" ref="K226" si="77">(POWER(2,G226)-1)*H226+I226</f>
        <v>7</v>
      </c>
      <c r="L226" s="65">
        <v>0</v>
      </c>
      <c r="M226" s="66" t="s">
        <v>218</v>
      </c>
      <c r="N226" s="75">
        <f t="shared" si="76"/>
        <v>1</v>
      </c>
      <c r="O226" s="76" t="s">
        <v>1275</v>
      </c>
      <c r="P226" s="66"/>
      <c r="Q226" s="76"/>
      <c r="R226" s="74" t="s">
        <v>1276</v>
      </c>
      <c r="S226" s="59" t="s">
        <v>218</v>
      </c>
      <c r="T226" s="59" t="s">
        <v>218</v>
      </c>
      <c r="U226" s="59" t="s">
        <v>1273</v>
      </c>
      <c r="V226" s="77"/>
      <c r="W226" s="77"/>
      <c r="X226" s="77"/>
      <c r="Y226" s="77"/>
      <c r="Z226" s="77"/>
      <c r="AA226" s="77"/>
    </row>
    <row r="227" s="19" customFormat="1" ht="25.5" outlineLevel="1" spans="1:27">
      <c r="A227" s="114"/>
      <c r="B227" s="166"/>
      <c r="C227" s="167" t="s">
        <v>1277</v>
      </c>
      <c r="D227" s="114" t="s">
        <v>1278</v>
      </c>
      <c r="E227" s="63">
        <f t="shared" ref="E227:E230" si="78">IF(INT((F227+G227-1)/8)+1=INT(F227/8)+1,INT(F227/8)+1,INT(F227/8)+1&amp;"-"&amp;INT((F227+G227-1)/8)+1)</f>
        <v>5</v>
      </c>
      <c r="F227" s="64">
        <f t="shared" ref="F227:F230" si="79">F226+G226</f>
        <v>32</v>
      </c>
      <c r="G227" s="168">
        <v>4</v>
      </c>
      <c r="H227" s="168">
        <v>1</v>
      </c>
      <c r="I227" s="168">
        <v>0</v>
      </c>
      <c r="J227" s="168">
        <v>0</v>
      </c>
      <c r="K227" s="168">
        <f t="shared" si="71"/>
        <v>15</v>
      </c>
      <c r="L227" s="168">
        <v>0</v>
      </c>
      <c r="M227" s="169" t="s">
        <v>602</v>
      </c>
      <c r="N227" s="75">
        <f t="shared" si="76"/>
        <v>2</v>
      </c>
      <c r="O227" s="114" t="s">
        <v>1279</v>
      </c>
      <c r="P227" s="169"/>
      <c r="Q227" s="166"/>
      <c r="R227" s="114" t="s">
        <v>1280</v>
      </c>
      <c r="S227" s="167" t="s">
        <v>218</v>
      </c>
      <c r="T227" s="167" t="s">
        <v>218</v>
      </c>
      <c r="U227" s="167" t="s">
        <v>1281</v>
      </c>
      <c r="V227" s="170"/>
      <c r="W227" s="170"/>
      <c r="X227" s="170"/>
      <c r="Y227" s="170"/>
      <c r="Z227" s="170"/>
      <c r="AA227" s="170"/>
    </row>
    <row r="228" s="19" customFormat="1" ht="63.75" outlineLevel="1" spans="1:27">
      <c r="A228" s="114"/>
      <c r="B228" s="166"/>
      <c r="C228" s="167" t="s">
        <v>1282</v>
      </c>
      <c r="D228" s="114" t="s">
        <v>1283</v>
      </c>
      <c r="E228" s="63">
        <f t="shared" si="78"/>
        <v>5</v>
      </c>
      <c r="F228" s="64">
        <f t="shared" si="79"/>
        <v>36</v>
      </c>
      <c r="G228" s="168">
        <v>4</v>
      </c>
      <c r="H228" s="168">
        <v>1</v>
      </c>
      <c r="I228" s="168">
        <v>0</v>
      </c>
      <c r="J228" s="168">
        <v>0</v>
      </c>
      <c r="K228" s="168">
        <f t="shared" si="71"/>
        <v>15</v>
      </c>
      <c r="L228" s="168">
        <v>0</v>
      </c>
      <c r="M228" s="169" t="s">
        <v>602</v>
      </c>
      <c r="N228" s="75">
        <f t="shared" si="76"/>
        <v>2</v>
      </c>
      <c r="O228" s="114" t="s">
        <v>1284</v>
      </c>
      <c r="P228" s="169"/>
      <c r="Q228" s="166"/>
      <c r="R228" s="114" t="s">
        <v>1285</v>
      </c>
      <c r="S228" s="167" t="s">
        <v>218</v>
      </c>
      <c r="T228" s="167" t="s">
        <v>218</v>
      </c>
      <c r="U228" s="167" t="s">
        <v>1286</v>
      </c>
      <c r="V228" s="170"/>
      <c r="W228" s="170"/>
      <c r="X228" s="170"/>
      <c r="Y228" s="170"/>
      <c r="Z228" s="170"/>
      <c r="AA228" s="170"/>
    </row>
    <row r="229" s="19" customFormat="1" ht="38.25" outlineLevel="1" spans="1:27">
      <c r="A229" s="77"/>
      <c r="B229" s="77"/>
      <c r="C229" s="74" t="s">
        <v>1287</v>
      </c>
      <c r="D229" s="74" t="s">
        <v>904</v>
      </c>
      <c r="E229" s="63">
        <f t="shared" si="78"/>
        <v>6</v>
      </c>
      <c r="F229" s="64">
        <f t="shared" si="79"/>
        <v>40</v>
      </c>
      <c r="G229" s="65">
        <v>8</v>
      </c>
      <c r="H229" s="65">
        <v>1</v>
      </c>
      <c r="I229" s="65">
        <v>0</v>
      </c>
      <c r="J229" s="65">
        <v>0</v>
      </c>
      <c r="K229" s="65">
        <f t="shared" si="71"/>
        <v>255</v>
      </c>
      <c r="L229" s="65">
        <v>0</v>
      </c>
      <c r="M229" s="66" t="s">
        <v>506</v>
      </c>
      <c r="N229" s="75">
        <f t="shared" si="76"/>
        <v>3</v>
      </c>
      <c r="O229" s="76" t="s">
        <v>1288</v>
      </c>
      <c r="P229" s="66"/>
      <c r="Q229" s="77"/>
      <c r="R229" s="74" t="s">
        <v>1289</v>
      </c>
      <c r="S229" s="134" t="s">
        <v>218</v>
      </c>
      <c r="T229" s="24" t="s">
        <v>218</v>
      </c>
      <c r="U229" s="171" t="s">
        <v>1290</v>
      </c>
      <c r="V229" s="77"/>
      <c r="W229" s="77"/>
      <c r="X229" s="115"/>
      <c r="Y229" s="77"/>
      <c r="Z229" s="77"/>
      <c r="AA229" s="77"/>
    </row>
    <row r="230" s="19" customFormat="1" ht="38.25" outlineLevel="1" spans="1:27">
      <c r="A230" s="77"/>
      <c r="B230" s="77"/>
      <c r="C230" s="74" t="s">
        <v>1291</v>
      </c>
      <c r="D230" s="74" t="s">
        <v>908</v>
      </c>
      <c r="E230" s="63">
        <f t="shared" si="78"/>
        <v>7</v>
      </c>
      <c r="F230" s="64">
        <f t="shared" si="79"/>
        <v>48</v>
      </c>
      <c r="G230" s="65">
        <v>8</v>
      </c>
      <c r="H230" s="65">
        <v>1</v>
      </c>
      <c r="I230" s="65">
        <v>0</v>
      </c>
      <c r="J230" s="65">
        <v>0</v>
      </c>
      <c r="K230" s="65">
        <f t="shared" si="71"/>
        <v>255</v>
      </c>
      <c r="L230" s="65">
        <v>0</v>
      </c>
      <c r="M230" s="66" t="s">
        <v>506</v>
      </c>
      <c r="N230" s="75">
        <f t="shared" si="76"/>
        <v>3</v>
      </c>
      <c r="O230" s="76" t="s">
        <v>1288</v>
      </c>
      <c r="P230" s="66"/>
      <c r="Q230" s="77"/>
      <c r="R230" s="74" t="s">
        <v>1292</v>
      </c>
      <c r="S230" s="134" t="s">
        <v>218</v>
      </c>
      <c r="T230" s="24" t="s">
        <v>218</v>
      </c>
      <c r="U230" s="171" t="s">
        <v>1293</v>
      </c>
      <c r="V230" s="77"/>
      <c r="W230" s="77"/>
      <c r="X230" s="115"/>
      <c r="Y230" s="77"/>
      <c r="Z230" s="77"/>
      <c r="AA230" s="77"/>
    </row>
    <row r="231" ht="25.5" spans="1:27">
      <c r="A231" s="41" t="s">
        <v>251</v>
      </c>
      <c r="B231" s="41" t="s">
        <v>252</v>
      </c>
      <c r="C231" s="45"/>
      <c r="D231" s="45"/>
      <c r="E231" s="172">
        <v>7</v>
      </c>
      <c r="F231" s="44"/>
      <c r="G231" s="172"/>
      <c r="H231" s="172"/>
      <c r="I231" s="172"/>
      <c r="J231" s="172"/>
      <c r="K231" s="172"/>
      <c r="L231" s="172"/>
      <c r="M231" s="45"/>
      <c r="N231" s="43">
        <f>SUM(N232:N244)</f>
        <v>20</v>
      </c>
      <c r="O231" s="46"/>
      <c r="P231" s="45"/>
      <c r="Q231" s="173"/>
      <c r="R231" s="41"/>
      <c r="S231" s="47"/>
      <c r="T231" s="174"/>
      <c r="U231" s="47"/>
      <c r="V231" s="48"/>
      <c r="W231" s="48"/>
      <c r="X231" s="48"/>
      <c r="Y231" s="48"/>
      <c r="Z231" s="48"/>
      <c r="AA231" s="48"/>
    </row>
    <row r="232" ht="51" outlineLevel="1" spans="1:27">
      <c r="A232" s="49"/>
      <c r="B232" s="150"/>
      <c r="C232" s="49" t="s">
        <v>1294</v>
      </c>
      <c r="D232" s="74" t="s">
        <v>1295</v>
      </c>
      <c r="E232" s="51">
        <f t="shared" ref="E232:E243" si="80">IF(INT((F232+G232-1)/8)+1=INT(F232/8)+1,INT(F232/8)+1,INT(F232/8)+1&amp;"-"&amp;INT((F232+G232-1)/8)+1)</f>
        <v>1</v>
      </c>
      <c r="F232" s="52">
        <v>0</v>
      </c>
      <c r="G232" s="53">
        <v>2</v>
      </c>
      <c r="H232" s="53">
        <v>1</v>
      </c>
      <c r="I232" s="53">
        <v>0</v>
      </c>
      <c r="J232" s="53">
        <v>0</v>
      </c>
      <c r="K232" s="53">
        <f t="shared" ref="K232:K243" si="81">(POWER(2,G232)-1)*H232+I232</f>
        <v>3</v>
      </c>
      <c r="L232" s="65">
        <v>0</v>
      </c>
      <c r="M232" s="54" t="s">
        <v>218</v>
      </c>
      <c r="N232" s="75">
        <f t="shared" si="76"/>
        <v>1</v>
      </c>
      <c r="O232" s="150" t="s">
        <v>1296</v>
      </c>
      <c r="P232" s="54"/>
      <c r="Q232" s="175"/>
      <c r="R232" s="49" t="s">
        <v>218</v>
      </c>
      <c r="S232" s="176" t="s">
        <v>1297</v>
      </c>
      <c r="T232" s="60" t="s">
        <v>1297</v>
      </c>
      <c r="U232" s="60" t="s">
        <v>1294</v>
      </c>
      <c r="V232" s="61"/>
      <c r="W232" s="61"/>
      <c r="X232" s="61"/>
      <c r="Y232" s="61"/>
      <c r="Z232" s="61"/>
      <c r="AA232" s="61"/>
    </row>
    <row r="233" ht="51" outlineLevel="1" spans="1:27">
      <c r="A233" s="49"/>
      <c r="B233" s="150"/>
      <c r="C233" s="49" t="s">
        <v>1298</v>
      </c>
      <c r="D233" s="49" t="s">
        <v>1253</v>
      </c>
      <c r="E233" s="51">
        <f t="shared" si="80"/>
        <v>1</v>
      </c>
      <c r="F233" s="52">
        <f t="shared" ref="F233:F243" si="82">F232+G232</f>
        <v>2</v>
      </c>
      <c r="G233" s="53">
        <v>2</v>
      </c>
      <c r="H233" s="53">
        <v>1</v>
      </c>
      <c r="I233" s="53">
        <v>0</v>
      </c>
      <c r="J233" s="53">
        <v>0</v>
      </c>
      <c r="K233" s="53">
        <f t="shared" si="81"/>
        <v>3</v>
      </c>
      <c r="L233" s="65">
        <v>0</v>
      </c>
      <c r="M233" s="54" t="s">
        <v>218</v>
      </c>
      <c r="N233" s="75">
        <f t="shared" si="76"/>
        <v>1</v>
      </c>
      <c r="O233" s="150" t="s">
        <v>1254</v>
      </c>
      <c r="P233" s="54"/>
      <c r="Q233" s="175"/>
      <c r="R233" s="49" t="s">
        <v>218</v>
      </c>
      <c r="S233" s="59" t="s">
        <v>218</v>
      </c>
      <c r="T233" s="60" t="s">
        <v>1299</v>
      </c>
      <c r="U233" s="60" t="s">
        <v>1298</v>
      </c>
      <c r="V233" s="61"/>
      <c r="W233" s="61"/>
      <c r="X233" s="61"/>
      <c r="Y233" s="61"/>
      <c r="Z233" s="61"/>
      <c r="AA233" s="61"/>
    </row>
    <row r="234" s="20" customFormat="1" ht="25.5" outlineLevel="1" spans="1:27">
      <c r="A234" s="78"/>
      <c r="B234" s="177"/>
      <c r="C234" s="78" t="s">
        <v>449</v>
      </c>
      <c r="D234" s="78" t="s">
        <v>450</v>
      </c>
      <c r="E234" s="80">
        <f t="shared" si="80"/>
        <v>1</v>
      </c>
      <c r="F234" s="81">
        <f t="shared" si="82"/>
        <v>4</v>
      </c>
      <c r="G234" s="82">
        <v>2</v>
      </c>
      <c r="H234" s="82">
        <v>1</v>
      </c>
      <c r="I234" s="82">
        <v>0</v>
      </c>
      <c r="J234" s="82">
        <v>0</v>
      </c>
      <c r="K234" s="82">
        <f t="shared" si="81"/>
        <v>3</v>
      </c>
      <c r="L234" s="82">
        <v>0</v>
      </c>
      <c r="M234" s="83" t="s">
        <v>218</v>
      </c>
      <c r="N234" s="84">
        <v>0</v>
      </c>
      <c r="O234" s="177"/>
      <c r="P234" s="83"/>
      <c r="Q234" s="178"/>
      <c r="R234" s="78" t="s">
        <v>218</v>
      </c>
      <c r="S234" s="85" t="s">
        <v>218</v>
      </c>
      <c r="T234" s="85" t="s">
        <v>218</v>
      </c>
      <c r="U234" s="85" t="s">
        <v>218</v>
      </c>
      <c r="V234" s="86"/>
      <c r="W234" s="86"/>
      <c r="X234" s="86"/>
      <c r="Y234" s="86"/>
      <c r="Z234" s="86"/>
      <c r="AA234" s="86"/>
    </row>
    <row r="235" ht="51" outlineLevel="1" spans="1:27">
      <c r="A235" s="49"/>
      <c r="B235" s="150"/>
      <c r="C235" s="49" t="s">
        <v>1300</v>
      </c>
      <c r="D235" s="74" t="s">
        <v>1301</v>
      </c>
      <c r="E235" s="51">
        <f t="shared" si="80"/>
        <v>1</v>
      </c>
      <c r="F235" s="52">
        <f t="shared" si="82"/>
        <v>6</v>
      </c>
      <c r="G235" s="53">
        <v>2</v>
      </c>
      <c r="H235" s="53">
        <v>1</v>
      </c>
      <c r="I235" s="53">
        <v>0</v>
      </c>
      <c r="J235" s="53">
        <v>0</v>
      </c>
      <c r="K235" s="53">
        <f t="shared" si="81"/>
        <v>3</v>
      </c>
      <c r="L235" s="65">
        <v>0</v>
      </c>
      <c r="M235" s="54" t="s">
        <v>218</v>
      </c>
      <c r="N235" s="75">
        <f t="shared" si="76"/>
        <v>1</v>
      </c>
      <c r="O235" s="150" t="s">
        <v>1254</v>
      </c>
      <c r="P235" s="54"/>
      <c r="Q235" s="175"/>
      <c r="R235" s="49" t="s">
        <v>218</v>
      </c>
      <c r="S235" s="59" t="s">
        <v>218</v>
      </c>
      <c r="T235" s="60" t="s">
        <v>1302</v>
      </c>
      <c r="U235" s="60" t="s">
        <v>1300</v>
      </c>
      <c r="V235" s="61"/>
      <c r="W235" s="61"/>
      <c r="X235" s="61"/>
      <c r="Y235" s="61"/>
      <c r="Z235" s="61"/>
      <c r="AA235" s="61"/>
    </row>
    <row r="236" ht="51" outlineLevel="1" spans="1:27">
      <c r="A236" s="49"/>
      <c r="B236" s="150"/>
      <c r="C236" s="49" t="s">
        <v>1303</v>
      </c>
      <c r="D236" s="49" t="s">
        <v>1304</v>
      </c>
      <c r="E236" s="51">
        <f t="shared" si="80"/>
        <v>2</v>
      </c>
      <c r="F236" s="52">
        <f t="shared" si="82"/>
        <v>8</v>
      </c>
      <c r="G236" s="53">
        <v>2</v>
      </c>
      <c r="H236" s="53">
        <v>1</v>
      </c>
      <c r="I236" s="53">
        <v>0</v>
      </c>
      <c r="J236" s="53">
        <v>0</v>
      </c>
      <c r="K236" s="53">
        <f t="shared" si="81"/>
        <v>3</v>
      </c>
      <c r="L236" s="65">
        <v>0</v>
      </c>
      <c r="M236" s="54" t="s">
        <v>218</v>
      </c>
      <c r="N236" s="75">
        <f t="shared" si="76"/>
        <v>1</v>
      </c>
      <c r="O236" s="179" t="s">
        <v>1296</v>
      </c>
      <c r="P236" s="180"/>
      <c r="Q236" s="179"/>
      <c r="R236" s="49" t="s">
        <v>218</v>
      </c>
      <c r="S236" s="59" t="s">
        <v>218</v>
      </c>
      <c r="T236" s="60" t="s">
        <v>1305</v>
      </c>
      <c r="U236" s="60" t="s">
        <v>1303</v>
      </c>
      <c r="V236" s="61"/>
      <c r="W236" s="61"/>
      <c r="X236" s="61"/>
      <c r="Y236" s="61"/>
      <c r="Z236" s="61"/>
      <c r="AA236" s="61"/>
    </row>
    <row r="237" ht="51" outlineLevel="1" spans="1:27">
      <c r="A237" s="49"/>
      <c r="B237" s="150"/>
      <c r="C237" s="49" t="s">
        <v>1306</v>
      </c>
      <c r="D237" s="74" t="s">
        <v>1307</v>
      </c>
      <c r="E237" s="51">
        <f t="shared" si="80"/>
        <v>2</v>
      </c>
      <c r="F237" s="52">
        <f t="shared" si="82"/>
        <v>10</v>
      </c>
      <c r="G237" s="53">
        <v>2</v>
      </c>
      <c r="H237" s="53">
        <v>1</v>
      </c>
      <c r="I237" s="53">
        <v>0</v>
      </c>
      <c r="J237" s="53">
        <v>0</v>
      </c>
      <c r="K237" s="53">
        <f t="shared" si="81"/>
        <v>3</v>
      </c>
      <c r="L237" s="65">
        <v>0</v>
      </c>
      <c r="M237" s="54" t="s">
        <v>218</v>
      </c>
      <c r="N237" s="75">
        <f t="shared" si="76"/>
        <v>1</v>
      </c>
      <c r="O237" s="150" t="s">
        <v>1254</v>
      </c>
      <c r="P237" s="54"/>
      <c r="Q237" s="150"/>
      <c r="R237" s="49" t="s">
        <v>218</v>
      </c>
      <c r="S237" s="59" t="s">
        <v>218</v>
      </c>
      <c r="T237" s="60" t="s">
        <v>1308</v>
      </c>
      <c r="U237" s="60" t="s">
        <v>1306</v>
      </c>
      <c r="V237" s="61"/>
      <c r="W237" s="61"/>
      <c r="X237" s="61"/>
      <c r="Y237" s="61"/>
      <c r="Z237" s="61"/>
      <c r="AA237" s="61"/>
    </row>
    <row r="238" ht="51" outlineLevel="1" spans="1:27">
      <c r="A238" s="49"/>
      <c r="B238" s="150"/>
      <c r="C238" s="49" t="s">
        <v>1309</v>
      </c>
      <c r="D238" s="74" t="s">
        <v>1310</v>
      </c>
      <c r="E238" s="51">
        <f t="shared" si="80"/>
        <v>2</v>
      </c>
      <c r="F238" s="52">
        <f t="shared" si="82"/>
        <v>12</v>
      </c>
      <c r="G238" s="53">
        <v>4</v>
      </c>
      <c r="H238" s="53">
        <v>1</v>
      </c>
      <c r="I238" s="53">
        <v>0</v>
      </c>
      <c r="J238" s="53">
        <v>0</v>
      </c>
      <c r="K238" s="53">
        <f t="shared" si="81"/>
        <v>15</v>
      </c>
      <c r="L238" s="65">
        <v>0</v>
      </c>
      <c r="M238" s="54" t="s">
        <v>218</v>
      </c>
      <c r="N238" s="75">
        <f t="shared" si="76"/>
        <v>2</v>
      </c>
      <c r="O238" s="150" t="s">
        <v>1250</v>
      </c>
      <c r="P238" s="54"/>
      <c r="Q238" s="150"/>
      <c r="R238" s="49" t="s">
        <v>218</v>
      </c>
      <c r="S238" s="59" t="s">
        <v>218</v>
      </c>
      <c r="T238" s="60" t="s">
        <v>1311</v>
      </c>
      <c r="U238" s="60" t="s">
        <v>1309</v>
      </c>
      <c r="V238" s="61"/>
      <c r="W238" s="61"/>
      <c r="X238" s="61"/>
      <c r="Y238" s="61"/>
      <c r="Z238" s="61"/>
      <c r="AA238" s="61"/>
    </row>
    <row r="239" ht="25.5" outlineLevel="1" spans="1:27">
      <c r="A239" s="49"/>
      <c r="B239" s="150"/>
      <c r="C239" s="49" t="s">
        <v>1312</v>
      </c>
      <c r="D239" s="74" t="s">
        <v>1313</v>
      </c>
      <c r="E239" s="51">
        <f t="shared" si="80"/>
        <v>3</v>
      </c>
      <c r="F239" s="52">
        <f t="shared" si="82"/>
        <v>16</v>
      </c>
      <c r="G239" s="53">
        <v>8</v>
      </c>
      <c r="H239" s="53">
        <v>1</v>
      </c>
      <c r="I239" s="53">
        <v>0</v>
      </c>
      <c r="J239" s="53">
        <v>0</v>
      </c>
      <c r="K239" s="53">
        <f t="shared" si="81"/>
        <v>255</v>
      </c>
      <c r="L239" s="65">
        <v>0</v>
      </c>
      <c r="M239" s="54" t="s">
        <v>218</v>
      </c>
      <c r="N239" s="75">
        <f t="shared" si="76"/>
        <v>3</v>
      </c>
      <c r="O239" s="179" t="s">
        <v>1314</v>
      </c>
      <c r="P239" s="180"/>
      <c r="Q239" s="179" t="s">
        <v>1315</v>
      </c>
      <c r="R239" s="49" t="s">
        <v>218</v>
      </c>
      <c r="S239" s="59" t="s">
        <v>218</v>
      </c>
      <c r="T239" s="49" t="s">
        <v>1316</v>
      </c>
      <c r="U239" s="49" t="s">
        <v>218</v>
      </c>
      <c r="V239" s="150"/>
      <c r="W239" s="150"/>
      <c r="X239" s="150"/>
      <c r="Y239" s="150"/>
      <c r="Z239" s="150"/>
      <c r="AA239" s="150"/>
    </row>
    <row r="240" ht="25.5" outlineLevel="1" spans="1:27">
      <c r="A240" s="49"/>
      <c r="B240" s="150"/>
      <c r="C240" s="49" t="s">
        <v>1317</v>
      </c>
      <c r="D240" s="74" t="s">
        <v>1318</v>
      </c>
      <c r="E240" s="51">
        <f t="shared" si="80"/>
        <v>4</v>
      </c>
      <c r="F240" s="52">
        <f t="shared" si="82"/>
        <v>24</v>
      </c>
      <c r="G240" s="53">
        <v>8</v>
      </c>
      <c r="H240" s="53">
        <v>1</v>
      </c>
      <c r="I240" s="53">
        <v>0</v>
      </c>
      <c r="J240" s="53">
        <v>0</v>
      </c>
      <c r="K240" s="53">
        <f t="shared" si="81"/>
        <v>255</v>
      </c>
      <c r="L240" s="65">
        <v>0</v>
      </c>
      <c r="M240" s="54" t="s">
        <v>218</v>
      </c>
      <c r="N240" s="75">
        <f t="shared" si="76"/>
        <v>3</v>
      </c>
      <c r="O240" s="179" t="s">
        <v>1319</v>
      </c>
      <c r="P240" s="180"/>
      <c r="Q240" s="179" t="s">
        <v>1315</v>
      </c>
      <c r="R240" s="49" t="s">
        <v>218</v>
      </c>
      <c r="S240" s="59" t="s">
        <v>218</v>
      </c>
      <c r="T240" s="60" t="s">
        <v>1320</v>
      </c>
      <c r="U240" s="60" t="s">
        <v>218</v>
      </c>
      <c r="V240" s="61"/>
      <c r="W240" s="61"/>
      <c r="X240" s="61"/>
      <c r="Y240" s="61"/>
      <c r="Z240" s="61"/>
      <c r="AA240" s="61"/>
    </row>
    <row r="241" ht="25.5" outlineLevel="1" spans="1:27">
      <c r="A241" s="49"/>
      <c r="B241" s="150"/>
      <c r="C241" s="49" t="s">
        <v>1321</v>
      </c>
      <c r="D241" s="74" t="s">
        <v>1322</v>
      </c>
      <c r="E241" s="51">
        <f t="shared" si="80"/>
        <v>5</v>
      </c>
      <c r="F241" s="52">
        <f t="shared" si="82"/>
        <v>32</v>
      </c>
      <c r="G241" s="53">
        <v>8</v>
      </c>
      <c r="H241" s="53">
        <v>1</v>
      </c>
      <c r="I241" s="53">
        <v>0</v>
      </c>
      <c r="J241" s="53">
        <v>0</v>
      </c>
      <c r="K241" s="53">
        <f t="shared" si="81"/>
        <v>255</v>
      </c>
      <c r="L241" s="65">
        <v>0</v>
      </c>
      <c r="M241" s="54" t="s">
        <v>218</v>
      </c>
      <c r="N241" s="75">
        <f t="shared" si="76"/>
        <v>3</v>
      </c>
      <c r="O241" s="181" t="s">
        <v>1323</v>
      </c>
      <c r="P241" s="180"/>
      <c r="Q241" s="179"/>
      <c r="R241" s="49" t="s">
        <v>218</v>
      </c>
      <c r="S241" s="59" t="s">
        <v>218</v>
      </c>
      <c r="T241" s="60"/>
      <c r="U241" s="60" t="s">
        <v>1321</v>
      </c>
      <c r="V241" s="61"/>
      <c r="W241" s="61"/>
      <c r="X241" s="61"/>
      <c r="Y241" s="61"/>
      <c r="Z241" s="61"/>
      <c r="AA241" s="61"/>
    </row>
    <row r="242" ht="25.5" outlineLevel="1" spans="1:27">
      <c r="A242" s="49"/>
      <c r="B242" s="150"/>
      <c r="C242" s="74" t="s">
        <v>1324</v>
      </c>
      <c r="D242" s="74" t="s">
        <v>970</v>
      </c>
      <c r="E242" s="51">
        <f t="shared" si="80"/>
        <v>6</v>
      </c>
      <c r="F242" s="52">
        <f t="shared" si="82"/>
        <v>40</v>
      </c>
      <c r="G242" s="53">
        <v>6</v>
      </c>
      <c r="H242" s="53">
        <v>1</v>
      </c>
      <c r="I242" s="53">
        <v>0</v>
      </c>
      <c r="J242" s="53">
        <v>0</v>
      </c>
      <c r="K242" s="53">
        <f t="shared" si="81"/>
        <v>63</v>
      </c>
      <c r="L242" s="65">
        <v>0</v>
      </c>
      <c r="M242" s="54" t="s">
        <v>218</v>
      </c>
      <c r="N242" s="75">
        <f t="shared" si="76"/>
        <v>2</v>
      </c>
      <c r="O242" s="116" t="s">
        <v>1325</v>
      </c>
      <c r="P242" s="180"/>
      <c r="Q242" s="179" t="s">
        <v>1326</v>
      </c>
      <c r="R242" s="49" t="s">
        <v>218</v>
      </c>
      <c r="S242" s="59" t="s">
        <v>218</v>
      </c>
      <c r="T242" s="70" t="s">
        <v>1327</v>
      </c>
      <c r="U242" s="60" t="s">
        <v>218</v>
      </c>
      <c r="V242" s="61"/>
      <c r="W242" s="61"/>
      <c r="X242" s="61"/>
      <c r="Y242" s="61"/>
      <c r="Z242" s="61"/>
      <c r="AA242" s="61"/>
    </row>
    <row r="243" ht="51" outlineLevel="1" spans="1:27">
      <c r="A243" s="182"/>
      <c r="B243" s="183"/>
      <c r="C243" s="182" t="s">
        <v>1328</v>
      </c>
      <c r="D243" s="114" t="s">
        <v>1329</v>
      </c>
      <c r="E243" s="184">
        <f t="shared" si="80"/>
        <v>6</v>
      </c>
      <c r="F243" s="185">
        <f t="shared" si="82"/>
        <v>46</v>
      </c>
      <c r="G243" s="186">
        <v>2</v>
      </c>
      <c r="H243" s="186">
        <v>1</v>
      </c>
      <c r="I243" s="186">
        <v>0</v>
      </c>
      <c r="J243" s="186">
        <v>0</v>
      </c>
      <c r="K243" s="186">
        <f t="shared" si="81"/>
        <v>3</v>
      </c>
      <c r="L243" s="168">
        <v>0</v>
      </c>
      <c r="M243" s="187" t="s">
        <v>218</v>
      </c>
      <c r="N243" s="188">
        <f t="shared" si="76"/>
        <v>1</v>
      </c>
      <c r="O243" s="189" t="s">
        <v>1254</v>
      </c>
      <c r="P243" s="190"/>
      <c r="Q243" s="189" t="s">
        <v>1326</v>
      </c>
      <c r="R243" s="182" t="s">
        <v>218</v>
      </c>
      <c r="S243" s="167" t="s">
        <v>218</v>
      </c>
      <c r="T243" s="191" t="s">
        <v>1330</v>
      </c>
      <c r="U243" s="191" t="s">
        <v>218</v>
      </c>
      <c r="V243" s="192"/>
      <c r="W243" s="192"/>
      <c r="X243" s="192"/>
      <c r="Y243" s="192"/>
      <c r="Z243" s="192"/>
      <c r="AA243" s="192"/>
    </row>
    <row r="244" s="19" customFormat="1" ht="63.75" outlineLevel="1" spans="1:27">
      <c r="A244" s="74"/>
      <c r="B244" s="76"/>
      <c r="C244" s="74" t="s">
        <v>1331</v>
      </c>
      <c r="D244" s="74" t="s">
        <v>1274</v>
      </c>
      <c r="E244" s="63">
        <f t="shared" ref="E244" si="83">IF(INT((F244+G244-1)/8)+1=INT(F244/8)+1,INT(F244/8)+1,INT(F244/8)+1&amp;"-"&amp;INT((F244+G244-1)/8)+1)</f>
        <v>7</v>
      </c>
      <c r="F244" s="64">
        <f t="shared" ref="F244" si="84">F243+G243</f>
        <v>48</v>
      </c>
      <c r="G244" s="65">
        <v>3</v>
      </c>
      <c r="H244" s="65">
        <v>1</v>
      </c>
      <c r="I244" s="65">
        <v>0</v>
      </c>
      <c r="J244" s="65">
        <v>0</v>
      </c>
      <c r="K244" s="65">
        <f t="shared" ref="K244" si="85">(POWER(2,G244)-1)*H244+I244</f>
        <v>7</v>
      </c>
      <c r="L244" s="65">
        <v>0</v>
      </c>
      <c r="M244" s="66" t="s">
        <v>218</v>
      </c>
      <c r="N244" s="75">
        <f t="shared" ref="N244" si="86">LEN(K244)</f>
        <v>1</v>
      </c>
      <c r="O244" s="76" t="s">
        <v>1332</v>
      </c>
      <c r="P244" s="66"/>
      <c r="Q244" s="193"/>
      <c r="R244" s="74" t="s">
        <v>218</v>
      </c>
      <c r="S244" s="59" t="s">
        <v>218</v>
      </c>
      <c r="T244" s="59" t="s">
        <v>1333</v>
      </c>
      <c r="U244" s="59" t="s">
        <v>1331</v>
      </c>
      <c r="V244" s="77"/>
      <c r="W244" s="77"/>
      <c r="X244" s="77"/>
      <c r="Y244" s="77"/>
      <c r="Z244" s="77"/>
      <c r="AA244" s="77"/>
    </row>
    <row r="245" s="22" customFormat="1" spans="1:27">
      <c r="A245" s="194" t="s">
        <v>258</v>
      </c>
      <c r="B245" s="194" t="s">
        <v>1334</v>
      </c>
      <c r="C245" s="195"/>
      <c r="D245" s="196"/>
      <c r="E245" s="197">
        <v>4</v>
      </c>
      <c r="F245" s="197"/>
      <c r="G245" s="195"/>
      <c r="H245" s="195"/>
      <c r="I245" s="195"/>
      <c r="J245" s="195"/>
      <c r="K245" s="195"/>
      <c r="L245" s="195"/>
      <c r="M245" s="195"/>
      <c r="N245" s="198">
        <f>SUM(N246:N248)</f>
        <v>7</v>
      </c>
      <c r="O245" s="195"/>
      <c r="P245" s="197"/>
      <c r="Q245" s="195"/>
      <c r="R245" s="199"/>
      <c r="S245" s="199"/>
      <c r="T245" s="199"/>
      <c r="U245" s="199"/>
      <c r="V245" s="195"/>
      <c r="W245" s="195"/>
      <c r="X245" s="195"/>
      <c r="Y245" s="195"/>
      <c r="Z245" s="195"/>
      <c r="AA245" s="195"/>
    </row>
    <row r="246" s="23" customFormat="1" ht="51" outlineLevel="1" spans="1:27">
      <c r="A246" s="200"/>
      <c r="B246" s="200"/>
      <c r="C246" s="201" t="s">
        <v>1335</v>
      </c>
      <c r="D246" s="202" t="s">
        <v>1336</v>
      </c>
      <c r="E246" s="203">
        <f>IF(INT((F246+G246-1)/8)+1=INT(F246/8)+1,INT(F246/8)+1,INT(F246/8)+1&amp;"-"&amp;INT((F246+G246-1)/8)+1)</f>
        <v>1</v>
      </c>
      <c r="F246" s="204">
        <v>0</v>
      </c>
      <c r="G246" s="204">
        <v>8</v>
      </c>
      <c r="H246" s="204">
        <v>1</v>
      </c>
      <c r="I246" s="204">
        <v>0</v>
      </c>
      <c r="J246" s="204">
        <v>0</v>
      </c>
      <c r="K246" s="204">
        <f>(POWER(2,G246)-1)*H246+I246</f>
        <v>255</v>
      </c>
      <c r="L246" s="204">
        <v>0</v>
      </c>
      <c r="M246" s="205" t="s">
        <v>218</v>
      </c>
      <c r="N246" s="75">
        <f t="shared" si="76"/>
        <v>3</v>
      </c>
      <c r="O246" s="206" t="s">
        <v>1337</v>
      </c>
      <c r="P246" s="204"/>
      <c r="Q246" s="200"/>
      <c r="R246" s="201" t="s">
        <v>218</v>
      </c>
      <c r="S246" s="207" t="s">
        <v>218</v>
      </c>
      <c r="T246" s="201" t="s">
        <v>1338</v>
      </c>
      <c r="U246" s="207" t="s">
        <v>1338</v>
      </c>
      <c r="V246" s="200"/>
      <c r="W246" s="200"/>
      <c r="X246" s="200"/>
      <c r="Y246" s="200"/>
      <c r="Z246" s="200"/>
      <c r="AA246" s="200"/>
    </row>
    <row r="247" s="23" customFormat="1" ht="25.5" outlineLevel="1" spans="1:27">
      <c r="A247" s="200"/>
      <c r="B247" s="200"/>
      <c r="C247" s="201" t="s">
        <v>1339</v>
      </c>
      <c r="D247" s="202" t="s">
        <v>1340</v>
      </c>
      <c r="E247" s="203">
        <f>IF(INT((F247+G247-1)/8)+1=INT(F247/8)+1,INT(F247/8)+1,INT(F247/8)+1&amp;"-"&amp;INT((F247+G247-1)/8)+1)</f>
        <v>2</v>
      </c>
      <c r="F247" s="208">
        <f>F246+G246</f>
        <v>8</v>
      </c>
      <c r="G247" s="204">
        <v>8</v>
      </c>
      <c r="H247" s="204">
        <v>1</v>
      </c>
      <c r="I247" s="204">
        <v>0</v>
      </c>
      <c r="J247" s="204">
        <v>0</v>
      </c>
      <c r="K247" s="204">
        <f>(POWER(2,G247)-1)*H247+I247</f>
        <v>255</v>
      </c>
      <c r="L247" s="204">
        <v>0</v>
      </c>
      <c r="M247" s="205" t="s">
        <v>427</v>
      </c>
      <c r="N247" s="75">
        <f t="shared" si="76"/>
        <v>3</v>
      </c>
      <c r="O247" s="209"/>
      <c r="P247" s="205"/>
      <c r="Q247" s="200"/>
      <c r="R247" s="201" t="s">
        <v>218</v>
      </c>
      <c r="S247" s="207" t="s">
        <v>218</v>
      </c>
      <c r="T247" s="201" t="s">
        <v>1341</v>
      </c>
      <c r="U247" s="207" t="s">
        <v>1341</v>
      </c>
      <c r="V247" s="200"/>
      <c r="W247" s="200"/>
      <c r="X247" s="200"/>
      <c r="Y247" s="200"/>
      <c r="Z247" s="200"/>
      <c r="AA247" s="200"/>
    </row>
    <row r="248" s="23" customFormat="1" ht="25.5" outlineLevel="1" spans="1:27">
      <c r="A248" s="210"/>
      <c r="B248" s="210"/>
      <c r="C248" s="211" t="s">
        <v>1342</v>
      </c>
      <c r="D248" s="212" t="s">
        <v>1343</v>
      </c>
      <c r="E248" s="213">
        <f>IF(INT((F248+G248-1)/8)+1=INT(F248/8)+1,INT(F248/8)+1,INT(F248/8)+1&amp;"-"&amp;INT((F248+G248-1)/8)+1)</f>
        <v>3</v>
      </c>
      <c r="F248" s="214">
        <f>F247+G247</f>
        <v>16</v>
      </c>
      <c r="G248" s="215">
        <v>8</v>
      </c>
      <c r="H248" s="215">
        <v>1</v>
      </c>
      <c r="I248" s="215">
        <v>0</v>
      </c>
      <c r="J248" s="215">
        <v>0</v>
      </c>
      <c r="K248" s="216">
        <v>1</v>
      </c>
      <c r="L248" s="215">
        <v>0</v>
      </c>
      <c r="M248" s="217" t="s">
        <v>482</v>
      </c>
      <c r="N248" s="188">
        <f t="shared" si="76"/>
        <v>1</v>
      </c>
      <c r="O248" s="218"/>
      <c r="P248" s="217"/>
      <c r="Q248" s="210"/>
      <c r="R248" s="219" t="s">
        <v>218</v>
      </c>
      <c r="S248" s="220" t="s">
        <v>218</v>
      </c>
      <c r="T248" s="219" t="s">
        <v>1344</v>
      </c>
      <c r="U248" s="220" t="s">
        <v>1344</v>
      </c>
      <c r="V248" s="210"/>
      <c r="W248" s="210"/>
      <c r="X248" s="210"/>
      <c r="Y248" s="210"/>
      <c r="Z248" s="210"/>
      <c r="AA248" s="210"/>
    </row>
    <row r="249" s="24" customFormat="1" ht="25.5" outlineLevel="1" spans="1:27">
      <c r="A249" s="221"/>
      <c r="B249" s="221"/>
      <c r="C249" s="209" t="s">
        <v>1345</v>
      </c>
      <c r="D249" s="202" t="s">
        <v>1346</v>
      </c>
      <c r="E249" s="203">
        <f>IF(INT((F249+G249-1)/8)+1=INT(F249/8)+1,INT(F249/8)+1,INT(F249/8)+1&amp;"-"&amp;INT((F249+G249-1)/8)+1)</f>
        <v>4</v>
      </c>
      <c r="F249" s="208">
        <f>F248+G248</f>
        <v>24</v>
      </c>
      <c r="G249" s="204">
        <v>8</v>
      </c>
      <c r="H249" s="204">
        <v>1</v>
      </c>
      <c r="I249" s="204">
        <v>0</v>
      </c>
      <c r="J249" s="204">
        <v>0</v>
      </c>
      <c r="K249" s="204">
        <f>(POWER(2,G249)-1)*H249+I249</f>
        <v>255</v>
      </c>
      <c r="L249" s="204">
        <v>0</v>
      </c>
      <c r="M249" s="205" t="s">
        <v>602</v>
      </c>
      <c r="N249" s="222">
        <f t="shared" si="76"/>
        <v>3</v>
      </c>
      <c r="O249" s="209"/>
      <c r="P249" s="205"/>
      <c r="Q249" s="221" t="s">
        <v>1347</v>
      </c>
      <c r="R249" s="207" t="s">
        <v>218</v>
      </c>
      <c r="S249" s="207" t="s">
        <v>218</v>
      </c>
      <c r="T249" s="207" t="s">
        <v>218</v>
      </c>
      <c r="U249" s="207" t="s">
        <v>218</v>
      </c>
      <c r="V249" s="221"/>
      <c r="W249" s="221"/>
      <c r="X249" s="221"/>
      <c r="Y249" s="221"/>
      <c r="Z249" s="221"/>
      <c r="AA249" s="221"/>
    </row>
    <row r="250" s="22" customFormat="1" spans="1:27">
      <c r="A250" s="194" t="s">
        <v>264</v>
      </c>
      <c r="B250" s="194" t="s">
        <v>265</v>
      </c>
      <c r="C250" s="195"/>
      <c r="D250" s="196"/>
      <c r="E250" s="223">
        <v>1</v>
      </c>
      <c r="F250" s="197"/>
      <c r="G250" s="195"/>
      <c r="H250" s="195"/>
      <c r="I250" s="195"/>
      <c r="J250" s="195"/>
      <c r="K250" s="195"/>
      <c r="L250" s="195"/>
      <c r="M250" s="195"/>
      <c r="N250" s="198">
        <f>SUM(N251)</f>
        <v>1</v>
      </c>
      <c r="O250" s="195"/>
      <c r="P250" s="224"/>
      <c r="Q250" s="195"/>
      <c r="R250" s="199"/>
      <c r="S250" s="199"/>
      <c r="T250" s="199"/>
      <c r="U250" s="199"/>
      <c r="V250" s="195"/>
      <c r="W250" s="195"/>
      <c r="X250" s="195"/>
      <c r="Y250" s="195"/>
      <c r="Z250" s="195"/>
      <c r="AA250" s="195"/>
    </row>
    <row r="251" ht="38.25" outlineLevel="1" spans="1:27">
      <c r="A251" s="225"/>
      <c r="B251" s="226"/>
      <c r="C251" s="225" t="s">
        <v>1348</v>
      </c>
      <c r="D251" s="209" t="s">
        <v>1349</v>
      </c>
      <c r="E251" s="227">
        <f>IF(INT((F251+G251-1)/8)+1=INT(F251/8)+1,INT(F251/8)+1,INT(F251/8)+1&amp;"-"&amp;INT((F251+G251-1)/8)+1)</f>
        <v>1</v>
      </c>
      <c r="F251" s="228">
        <v>0</v>
      </c>
      <c r="G251" s="229">
        <v>3</v>
      </c>
      <c r="H251" s="229">
        <v>1</v>
      </c>
      <c r="I251" s="229">
        <v>0</v>
      </c>
      <c r="J251" s="229">
        <v>0</v>
      </c>
      <c r="K251" s="229">
        <f>(POWER(2,G251)-1)*H251+I251</f>
        <v>7</v>
      </c>
      <c r="L251" s="229">
        <v>0</v>
      </c>
      <c r="M251" s="230" t="s">
        <v>218</v>
      </c>
      <c r="N251" s="75">
        <f t="shared" si="76"/>
        <v>1</v>
      </c>
      <c r="O251" s="231" t="s">
        <v>1350</v>
      </c>
      <c r="P251" s="232"/>
      <c r="Q251" s="231"/>
      <c r="R251" s="201" t="s">
        <v>218</v>
      </c>
      <c r="S251" s="207" t="s">
        <v>218</v>
      </c>
      <c r="T251" s="201" t="s">
        <v>1351</v>
      </c>
      <c r="U251" s="201" t="s">
        <v>1352</v>
      </c>
      <c r="V251" s="200"/>
      <c r="W251" s="200"/>
      <c r="X251" s="200"/>
      <c r="Y251" s="200"/>
      <c r="Z251" s="200"/>
      <c r="AA251" s="200"/>
    </row>
    <row r="252" spans="1:27">
      <c r="A252" s="41" t="s">
        <v>267</v>
      </c>
      <c r="B252" s="41" t="s">
        <v>268</v>
      </c>
      <c r="C252" s="41"/>
      <c r="D252" s="41"/>
      <c r="E252" s="43">
        <v>16</v>
      </c>
      <c r="F252" s="44"/>
      <c r="G252" s="45"/>
      <c r="H252" s="45"/>
      <c r="I252" s="45"/>
      <c r="J252" s="45"/>
      <c r="K252" s="45"/>
      <c r="L252" s="45"/>
      <c r="M252" s="45"/>
      <c r="N252" s="43">
        <f>SUM(N253:N263)</f>
        <v>42</v>
      </c>
      <c r="O252" s="45"/>
      <c r="P252" s="45"/>
      <c r="Q252" s="46"/>
      <c r="R252" s="41"/>
      <c r="S252" s="47"/>
      <c r="T252" s="47"/>
      <c r="U252" s="47"/>
      <c r="V252" s="48"/>
      <c r="W252" s="48"/>
      <c r="X252" s="48"/>
      <c r="Y252" s="48"/>
      <c r="Z252" s="48"/>
      <c r="AA252" s="48"/>
    </row>
    <row r="253" ht="89.25" outlineLevel="1" spans="1:27">
      <c r="A253" s="61"/>
      <c r="B253" s="61"/>
      <c r="C253" s="60" t="s">
        <v>1353</v>
      </c>
      <c r="D253" s="74" t="s">
        <v>1354</v>
      </c>
      <c r="E253" s="63">
        <f t="shared" ref="E253:E263" si="87">IF(INT((F253+G253-1)/8)+1=INT(F253/8)+1,INT(F253/8)+1,INT(F253/8)+1&amp;"-"&amp;INT((F253+G253-1)/8)+1)</f>
        <v>1</v>
      </c>
      <c r="F253" s="65">
        <v>0</v>
      </c>
      <c r="G253" s="65">
        <v>8</v>
      </c>
      <c r="H253" s="65">
        <v>1</v>
      </c>
      <c r="I253" s="65">
        <v>0</v>
      </c>
      <c r="J253" s="65">
        <v>0</v>
      </c>
      <c r="K253" s="65">
        <f t="shared" ref="K253:K263" si="88">(POWER(2,G253)-1)*H253+I253</f>
        <v>255</v>
      </c>
      <c r="L253" s="65">
        <v>0</v>
      </c>
      <c r="M253" s="66" t="s">
        <v>218</v>
      </c>
      <c r="N253" s="75">
        <f t="shared" si="76"/>
        <v>3</v>
      </c>
      <c r="O253" s="74" t="s">
        <v>1355</v>
      </c>
      <c r="P253" s="66"/>
      <c r="Q253" s="77"/>
      <c r="R253" s="59" t="s">
        <v>218</v>
      </c>
      <c r="S253" s="59" t="s">
        <v>218</v>
      </c>
      <c r="T253" s="60" t="s">
        <v>218</v>
      </c>
      <c r="U253" s="60" t="s">
        <v>1356</v>
      </c>
      <c r="V253" s="61"/>
      <c r="W253" s="61"/>
      <c r="X253" s="61"/>
      <c r="Y253" s="61"/>
      <c r="Z253" s="61"/>
      <c r="AA253" s="61"/>
    </row>
    <row r="254" ht="25.5" outlineLevel="1" collapsed="1" spans="1:27">
      <c r="A254" s="61"/>
      <c r="B254" s="61"/>
      <c r="C254" s="60" t="s">
        <v>1357</v>
      </c>
      <c r="D254" s="70" t="s">
        <v>1358</v>
      </c>
      <c r="E254" s="63" t="str">
        <f t="shared" si="87"/>
        <v>2-5</v>
      </c>
      <c r="F254" s="64">
        <f t="shared" ref="F254:F263" si="89">F253+G253</f>
        <v>8</v>
      </c>
      <c r="G254" s="65">
        <v>32</v>
      </c>
      <c r="H254" s="65">
        <v>1</v>
      </c>
      <c r="I254" s="65">
        <v>0</v>
      </c>
      <c r="J254" s="65">
        <v>0</v>
      </c>
      <c r="K254" s="65">
        <f t="shared" si="88"/>
        <v>4294967295</v>
      </c>
      <c r="L254" s="65">
        <v>0</v>
      </c>
      <c r="M254" s="66" t="s">
        <v>218</v>
      </c>
      <c r="N254" s="75">
        <f t="shared" si="76"/>
        <v>10</v>
      </c>
      <c r="O254" s="66"/>
      <c r="P254" s="66"/>
      <c r="Q254" s="77"/>
      <c r="R254" s="59" t="s">
        <v>218</v>
      </c>
      <c r="S254" s="59" t="s">
        <v>218</v>
      </c>
      <c r="T254" s="60" t="s">
        <v>218</v>
      </c>
      <c r="U254" s="60" t="s">
        <v>1359</v>
      </c>
      <c r="V254" s="61"/>
      <c r="W254" s="61"/>
      <c r="X254" s="61"/>
      <c r="Y254" s="61"/>
      <c r="Z254" s="61"/>
      <c r="AA254" s="61"/>
    </row>
    <row r="255" ht="25.5" outlineLevel="1" spans="1:27">
      <c r="A255" s="157"/>
      <c r="B255" s="157"/>
      <c r="C255" s="49" t="s">
        <v>1360</v>
      </c>
      <c r="D255" s="70" t="s">
        <v>1361</v>
      </c>
      <c r="E255" s="63">
        <f t="shared" si="87"/>
        <v>6</v>
      </c>
      <c r="F255" s="64">
        <f t="shared" si="89"/>
        <v>40</v>
      </c>
      <c r="G255" s="65">
        <v>8</v>
      </c>
      <c r="H255" s="65">
        <v>1</v>
      </c>
      <c r="I255" s="65">
        <v>0</v>
      </c>
      <c r="J255" s="65">
        <v>0</v>
      </c>
      <c r="K255" s="65">
        <f t="shared" si="88"/>
        <v>255</v>
      </c>
      <c r="L255" s="65">
        <v>0</v>
      </c>
      <c r="M255" s="66" t="s">
        <v>218</v>
      </c>
      <c r="N255" s="75">
        <f t="shared" si="76"/>
        <v>3</v>
      </c>
      <c r="O255" s="107" t="s">
        <v>1362</v>
      </c>
      <c r="P255" s="65"/>
      <c r="Q255" s="107"/>
      <c r="R255" s="59" t="s">
        <v>218</v>
      </c>
      <c r="S255" s="59" t="s">
        <v>218</v>
      </c>
      <c r="T255" s="60" t="s">
        <v>218</v>
      </c>
      <c r="U255" s="60" t="s">
        <v>1363</v>
      </c>
      <c r="V255" s="61"/>
      <c r="W255" s="61"/>
      <c r="X255" s="61"/>
      <c r="Y255" s="61"/>
      <c r="Z255" s="61"/>
      <c r="AA255" s="61"/>
    </row>
    <row r="256" ht="25.5" outlineLevel="1" collapsed="1" spans="1:27">
      <c r="A256" s="61"/>
      <c r="B256" s="61"/>
      <c r="C256" s="60" t="s">
        <v>1364</v>
      </c>
      <c r="D256" s="70" t="s">
        <v>1365</v>
      </c>
      <c r="E256" s="63">
        <f t="shared" si="87"/>
        <v>7</v>
      </c>
      <c r="F256" s="64">
        <f t="shared" si="89"/>
        <v>48</v>
      </c>
      <c r="G256" s="65">
        <v>8</v>
      </c>
      <c r="H256" s="65">
        <v>1</v>
      </c>
      <c r="I256" s="65">
        <v>0</v>
      </c>
      <c r="J256" s="65">
        <v>0</v>
      </c>
      <c r="K256" s="65">
        <f t="shared" si="88"/>
        <v>255</v>
      </c>
      <c r="L256" s="65">
        <v>0</v>
      </c>
      <c r="M256" s="66" t="s">
        <v>506</v>
      </c>
      <c r="N256" s="75">
        <f t="shared" si="76"/>
        <v>3</v>
      </c>
      <c r="O256" s="74"/>
      <c r="P256" s="66"/>
      <c r="Q256" s="77"/>
      <c r="R256" s="59" t="s">
        <v>218</v>
      </c>
      <c r="S256" s="59" t="s">
        <v>218</v>
      </c>
      <c r="T256" s="60" t="s">
        <v>218</v>
      </c>
      <c r="U256" s="60" t="s">
        <v>1366</v>
      </c>
      <c r="V256" s="61"/>
      <c r="W256" s="61"/>
      <c r="X256" s="61"/>
      <c r="Y256" s="61"/>
      <c r="Z256" s="61"/>
      <c r="AA256" s="61"/>
    </row>
    <row r="257" ht="25.5" outlineLevel="1" spans="1:27">
      <c r="A257" s="157"/>
      <c r="B257" s="157"/>
      <c r="C257" s="49" t="s">
        <v>1367</v>
      </c>
      <c r="D257" s="70" t="s">
        <v>1368</v>
      </c>
      <c r="E257" s="63">
        <f t="shared" si="87"/>
        <v>8</v>
      </c>
      <c r="F257" s="64">
        <f t="shared" si="89"/>
        <v>56</v>
      </c>
      <c r="G257" s="65">
        <v>8</v>
      </c>
      <c r="H257" s="65">
        <v>1</v>
      </c>
      <c r="I257" s="65">
        <v>0</v>
      </c>
      <c r="J257" s="65">
        <v>0</v>
      </c>
      <c r="K257" s="65">
        <f t="shared" si="88"/>
        <v>255</v>
      </c>
      <c r="L257" s="65">
        <v>0</v>
      </c>
      <c r="M257" s="66" t="s">
        <v>218</v>
      </c>
      <c r="N257" s="75">
        <f t="shared" si="76"/>
        <v>3</v>
      </c>
      <c r="O257" s="107" t="s">
        <v>1362</v>
      </c>
      <c r="P257" s="65"/>
      <c r="Q257" s="107"/>
      <c r="R257" s="59" t="s">
        <v>218</v>
      </c>
      <c r="S257" s="59" t="s">
        <v>218</v>
      </c>
      <c r="T257" s="60" t="s">
        <v>218</v>
      </c>
      <c r="U257" s="60" t="s">
        <v>1369</v>
      </c>
      <c r="V257" s="61"/>
      <c r="W257" s="61"/>
      <c r="X257" s="61"/>
      <c r="Y257" s="61"/>
      <c r="Z257" s="61"/>
      <c r="AA257" s="61"/>
    </row>
    <row r="258" ht="25.5" outlineLevel="1" spans="1:27">
      <c r="A258" s="61"/>
      <c r="B258" s="61"/>
      <c r="C258" s="60" t="s">
        <v>1370</v>
      </c>
      <c r="D258" s="70" t="s">
        <v>1371</v>
      </c>
      <c r="E258" s="63">
        <f t="shared" si="87"/>
        <v>9</v>
      </c>
      <c r="F258" s="64">
        <f t="shared" si="89"/>
        <v>64</v>
      </c>
      <c r="G258" s="65">
        <v>8</v>
      </c>
      <c r="H258" s="65">
        <v>1</v>
      </c>
      <c r="I258" s="65">
        <v>0</v>
      </c>
      <c r="J258" s="65">
        <v>0</v>
      </c>
      <c r="K258" s="65">
        <f t="shared" si="88"/>
        <v>255</v>
      </c>
      <c r="L258" s="65">
        <v>0</v>
      </c>
      <c r="M258" s="66" t="s">
        <v>506</v>
      </c>
      <c r="N258" s="75">
        <f t="shared" si="76"/>
        <v>3</v>
      </c>
      <c r="O258" s="74"/>
      <c r="P258" s="66"/>
      <c r="Q258" s="77"/>
      <c r="R258" s="59" t="s">
        <v>218</v>
      </c>
      <c r="S258" s="59" t="s">
        <v>218</v>
      </c>
      <c r="T258" s="60" t="s">
        <v>218</v>
      </c>
      <c r="U258" s="60" t="s">
        <v>1372</v>
      </c>
      <c r="V258" s="61"/>
      <c r="W258" s="61"/>
      <c r="X258" s="61"/>
      <c r="Y258" s="61"/>
      <c r="Z258" s="61"/>
      <c r="AA258" s="61"/>
    </row>
    <row r="259" ht="25.5" outlineLevel="1" spans="1:27">
      <c r="A259" s="61"/>
      <c r="B259" s="61"/>
      <c r="C259" s="49" t="s">
        <v>1373</v>
      </c>
      <c r="D259" s="74" t="s">
        <v>1374</v>
      </c>
      <c r="E259" s="63">
        <f t="shared" si="87"/>
        <v>10</v>
      </c>
      <c r="F259" s="64">
        <f t="shared" si="89"/>
        <v>72</v>
      </c>
      <c r="G259" s="65">
        <v>8</v>
      </c>
      <c r="H259" s="65">
        <v>1</v>
      </c>
      <c r="I259" s="65">
        <v>0</v>
      </c>
      <c r="J259" s="65">
        <v>0</v>
      </c>
      <c r="K259" s="65">
        <f t="shared" si="88"/>
        <v>255</v>
      </c>
      <c r="L259" s="65">
        <v>0</v>
      </c>
      <c r="M259" s="66" t="s">
        <v>218</v>
      </c>
      <c r="N259" s="75">
        <f t="shared" si="76"/>
        <v>3</v>
      </c>
      <c r="O259" s="74" t="s">
        <v>1375</v>
      </c>
      <c r="P259" s="66"/>
      <c r="Q259" s="77"/>
      <c r="R259" s="74" t="s">
        <v>218</v>
      </c>
      <c r="S259" s="59" t="s">
        <v>218</v>
      </c>
      <c r="T259" s="60" t="s">
        <v>218</v>
      </c>
      <c r="U259" s="60" t="s">
        <v>1376</v>
      </c>
      <c r="V259" s="61"/>
      <c r="W259" s="61"/>
      <c r="X259" s="61"/>
      <c r="Y259" s="61"/>
      <c r="Z259" s="61"/>
      <c r="AA259" s="61"/>
    </row>
    <row r="260" ht="25.5" outlineLevel="1" spans="1:27">
      <c r="A260" s="157"/>
      <c r="B260" s="157"/>
      <c r="C260" s="49" t="s">
        <v>1377</v>
      </c>
      <c r="D260" s="70" t="s">
        <v>1378</v>
      </c>
      <c r="E260" s="63" t="str">
        <f t="shared" si="87"/>
        <v>11-12</v>
      </c>
      <c r="F260" s="64">
        <f t="shared" si="89"/>
        <v>80</v>
      </c>
      <c r="G260" s="65">
        <v>16</v>
      </c>
      <c r="H260" s="65">
        <v>1</v>
      </c>
      <c r="I260" s="65">
        <v>0</v>
      </c>
      <c r="J260" s="65">
        <v>0</v>
      </c>
      <c r="K260" s="65">
        <f t="shared" si="88"/>
        <v>65535</v>
      </c>
      <c r="L260" s="65">
        <v>0</v>
      </c>
      <c r="M260" s="66" t="s">
        <v>218</v>
      </c>
      <c r="N260" s="75">
        <f t="shared" si="76"/>
        <v>5</v>
      </c>
      <c r="O260" s="66"/>
      <c r="P260" s="66"/>
      <c r="Q260" s="107"/>
      <c r="R260" s="74" t="s">
        <v>218</v>
      </c>
      <c r="S260" s="59" t="s">
        <v>218</v>
      </c>
      <c r="T260" s="60" t="s">
        <v>218</v>
      </c>
      <c r="U260" s="60" t="s">
        <v>1379</v>
      </c>
      <c r="V260" s="61"/>
      <c r="W260" s="61"/>
      <c r="X260" s="61"/>
      <c r="Y260" s="61"/>
      <c r="Z260" s="61"/>
      <c r="AA260" s="61"/>
    </row>
    <row r="261" ht="25.5" outlineLevel="1" spans="1:27">
      <c r="A261" s="61"/>
      <c r="B261" s="61"/>
      <c r="C261" s="60" t="s">
        <v>1380</v>
      </c>
      <c r="D261" s="70" t="s">
        <v>1381</v>
      </c>
      <c r="E261" s="63" t="str">
        <f t="shared" si="87"/>
        <v>13-14</v>
      </c>
      <c r="F261" s="64">
        <f t="shared" si="89"/>
        <v>96</v>
      </c>
      <c r="G261" s="65">
        <v>16</v>
      </c>
      <c r="H261" s="65">
        <v>1</v>
      </c>
      <c r="I261" s="65">
        <v>0</v>
      </c>
      <c r="J261" s="65">
        <v>0</v>
      </c>
      <c r="K261" s="65">
        <f t="shared" si="88"/>
        <v>65535</v>
      </c>
      <c r="L261" s="65">
        <v>0</v>
      </c>
      <c r="M261" s="66" t="s">
        <v>455</v>
      </c>
      <c r="N261" s="75">
        <f t="shared" si="76"/>
        <v>5</v>
      </c>
      <c r="O261" s="74"/>
      <c r="P261" s="66"/>
      <c r="Q261" s="77"/>
      <c r="R261" s="74" t="s">
        <v>218</v>
      </c>
      <c r="S261" s="59" t="s">
        <v>218</v>
      </c>
      <c r="T261" s="60" t="s">
        <v>218</v>
      </c>
      <c r="U261" s="60" t="s">
        <v>1382</v>
      </c>
      <c r="V261" s="61"/>
      <c r="W261" s="61"/>
      <c r="X261" s="61"/>
      <c r="Y261" s="61"/>
      <c r="Z261" s="61"/>
      <c r="AA261" s="61"/>
    </row>
    <row r="262" ht="38.25" outlineLevel="1" collapsed="1" spans="1:27">
      <c r="A262" s="61"/>
      <c r="B262" s="61"/>
      <c r="C262" s="60" t="s">
        <v>1383</v>
      </c>
      <c r="D262" s="70" t="s">
        <v>1384</v>
      </c>
      <c r="E262" s="63">
        <f t="shared" si="87"/>
        <v>15</v>
      </c>
      <c r="F262" s="64">
        <f t="shared" si="89"/>
        <v>112</v>
      </c>
      <c r="G262" s="65">
        <v>8</v>
      </c>
      <c r="H262" s="65">
        <v>1</v>
      </c>
      <c r="I262" s="65">
        <v>0</v>
      </c>
      <c r="J262" s="65">
        <v>0</v>
      </c>
      <c r="K262" s="65">
        <f t="shared" si="88"/>
        <v>255</v>
      </c>
      <c r="L262" s="65">
        <v>0</v>
      </c>
      <c r="M262" s="66" t="s">
        <v>218</v>
      </c>
      <c r="N262" s="75">
        <f t="shared" si="76"/>
        <v>3</v>
      </c>
      <c r="O262" s="74" t="s">
        <v>1385</v>
      </c>
      <c r="P262" s="66"/>
      <c r="Q262" s="77"/>
      <c r="R262" s="74" t="s">
        <v>218</v>
      </c>
      <c r="S262" s="59" t="s">
        <v>218</v>
      </c>
      <c r="T262" s="60" t="s">
        <v>218</v>
      </c>
      <c r="U262" s="60" t="s">
        <v>1386</v>
      </c>
      <c r="V262" s="61"/>
      <c r="W262" s="61"/>
      <c r="X262" s="61"/>
      <c r="Y262" s="61"/>
      <c r="Z262" s="61"/>
      <c r="AA262" s="61"/>
    </row>
    <row r="263" s="19" customFormat="1" ht="51" outlineLevel="1" spans="1:27">
      <c r="A263" s="114"/>
      <c r="B263" s="166"/>
      <c r="C263" s="114" t="s">
        <v>1387</v>
      </c>
      <c r="D263" s="114" t="s">
        <v>1388</v>
      </c>
      <c r="E263" s="63">
        <f t="shared" si="87"/>
        <v>16</v>
      </c>
      <c r="F263" s="64">
        <f t="shared" si="89"/>
        <v>120</v>
      </c>
      <c r="G263" s="168">
        <v>2</v>
      </c>
      <c r="H263" s="168">
        <v>1</v>
      </c>
      <c r="I263" s="168">
        <v>0</v>
      </c>
      <c r="J263" s="168">
        <v>0</v>
      </c>
      <c r="K263" s="168">
        <f t="shared" si="88"/>
        <v>3</v>
      </c>
      <c r="L263" s="168">
        <v>0</v>
      </c>
      <c r="M263" s="169" t="s">
        <v>218</v>
      </c>
      <c r="N263" s="75">
        <f t="shared" si="76"/>
        <v>1</v>
      </c>
      <c r="O263" s="233" t="s">
        <v>1389</v>
      </c>
      <c r="P263" s="234"/>
      <c r="Q263" s="233"/>
      <c r="R263" s="167" t="s">
        <v>218</v>
      </c>
      <c r="S263" s="167" t="s">
        <v>218</v>
      </c>
      <c r="T263" s="167" t="s">
        <v>218</v>
      </c>
      <c r="U263" s="167" t="s">
        <v>1387</v>
      </c>
      <c r="V263" s="170"/>
      <c r="W263" s="170"/>
      <c r="X263" s="170"/>
      <c r="Y263" s="170"/>
      <c r="Z263" s="170"/>
      <c r="AA263" s="170"/>
    </row>
    <row r="264" s="22" customFormat="1" spans="1:27">
      <c r="A264" s="235" t="s">
        <v>270</v>
      </c>
      <c r="B264" s="235" t="s">
        <v>271</v>
      </c>
      <c r="C264" s="235"/>
      <c r="D264" s="235"/>
      <c r="E264" s="236">
        <v>3</v>
      </c>
      <c r="F264" s="237"/>
      <c r="G264" s="238"/>
      <c r="H264" s="238"/>
      <c r="I264" s="238"/>
      <c r="J264" s="238"/>
      <c r="K264" s="238"/>
      <c r="L264" s="238"/>
      <c r="M264" s="238"/>
      <c r="N264" s="43">
        <f>SUM(N265:N267)</f>
        <v>7</v>
      </c>
      <c r="O264" s="238"/>
      <c r="P264" s="239"/>
      <c r="Q264" s="240"/>
      <c r="R264" s="235"/>
      <c r="S264" s="241"/>
      <c r="T264" s="241"/>
      <c r="U264" s="241"/>
      <c r="V264" s="242"/>
      <c r="W264" s="242"/>
      <c r="X264" s="242"/>
      <c r="Y264" s="242"/>
      <c r="Z264" s="242"/>
      <c r="AA264" s="242"/>
    </row>
    <row r="265" ht="25.5" outlineLevel="1" spans="1:27">
      <c r="A265" s="243"/>
      <c r="B265" s="243"/>
      <c r="C265" s="244" t="s">
        <v>1390</v>
      </c>
      <c r="D265" s="245" t="s">
        <v>1391</v>
      </c>
      <c r="E265" s="246">
        <f>IF(INT((F265+G265-1)/8)+1=INT(F265/8)+1,INT(F265/8)+1,INT(F265/8)+1&amp;"-"&amp;INT((F265+G265-1)/8)+1)</f>
        <v>1</v>
      </c>
      <c r="F265" s="247">
        <v>0</v>
      </c>
      <c r="G265" s="248">
        <v>8</v>
      </c>
      <c r="H265" s="248">
        <v>1</v>
      </c>
      <c r="I265" s="248">
        <v>0</v>
      </c>
      <c r="J265" s="248">
        <v>0</v>
      </c>
      <c r="K265" s="249">
        <v>1</v>
      </c>
      <c r="L265" s="248">
        <v>0</v>
      </c>
      <c r="M265" s="250" t="s">
        <v>482</v>
      </c>
      <c r="N265" s="75">
        <f t="shared" si="76"/>
        <v>1</v>
      </c>
      <c r="O265" s="251" t="s">
        <v>1392</v>
      </c>
      <c r="P265" s="252"/>
      <c r="Q265" s="243"/>
      <c r="R265" s="244" t="s">
        <v>218</v>
      </c>
      <c r="S265" s="253" t="s">
        <v>218</v>
      </c>
      <c r="T265" s="244" t="s">
        <v>218</v>
      </c>
      <c r="U265" s="244" t="s">
        <v>1393</v>
      </c>
      <c r="V265" s="243"/>
      <c r="W265" s="243"/>
      <c r="X265" s="243"/>
      <c r="Y265" s="243"/>
      <c r="Z265" s="243"/>
      <c r="AA265" s="243"/>
    </row>
    <row r="266" ht="63.75" outlineLevel="1" spans="1:27">
      <c r="A266" s="61"/>
      <c r="B266" s="61"/>
      <c r="C266" s="60" t="s">
        <v>1394</v>
      </c>
      <c r="D266" s="70" t="s">
        <v>1395</v>
      </c>
      <c r="E266" s="63">
        <f>IF(INT((F266+G266-1)/8)+1=INT(F266/8)+1,INT(F266/8)+1,INT(F266/8)+1&amp;"-"&amp;INT((F266+G266-1)/8)+1)</f>
        <v>2</v>
      </c>
      <c r="F266" s="64">
        <f>F265+G265</f>
        <v>8</v>
      </c>
      <c r="G266" s="65">
        <v>8</v>
      </c>
      <c r="H266" s="65">
        <v>1</v>
      </c>
      <c r="I266" s="65">
        <v>0</v>
      </c>
      <c r="J266" s="65">
        <v>0</v>
      </c>
      <c r="K266" s="65">
        <f>(POWER(2,G266)-1)*H266+I266</f>
        <v>255</v>
      </c>
      <c r="L266" s="65">
        <v>0</v>
      </c>
      <c r="M266" s="66" t="s">
        <v>218</v>
      </c>
      <c r="N266" s="75">
        <f t="shared" si="76"/>
        <v>3</v>
      </c>
      <c r="O266" s="49" t="s">
        <v>1396</v>
      </c>
      <c r="P266" s="54"/>
      <c r="Q266" s="61"/>
      <c r="R266" s="244" t="s">
        <v>218</v>
      </c>
      <c r="S266" s="253" t="s">
        <v>218</v>
      </c>
      <c r="T266" s="244" t="s">
        <v>218</v>
      </c>
      <c r="U266" s="60" t="s">
        <v>1397</v>
      </c>
      <c r="V266" s="61"/>
      <c r="W266" s="61"/>
      <c r="X266" s="61"/>
      <c r="Y266" s="61"/>
      <c r="Z266" s="61"/>
      <c r="AA266" s="61"/>
    </row>
    <row r="267" ht="63.75" outlineLevel="1" spans="1:27">
      <c r="A267" s="61"/>
      <c r="B267" s="61"/>
      <c r="C267" s="60" t="s">
        <v>1398</v>
      </c>
      <c r="D267" s="70" t="s">
        <v>1399</v>
      </c>
      <c r="E267" s="63">
        <f>IF(INT((F267+G267-1)/8)+1=INT(F267/8)+1,INT(F267/8)+1,INT(F267/8)+1&amp;"-"&amp;INT((F267+G267-1)/8)+1)</f>
        <v>3</v>
      </c>
      <c r="F267" s="64">
        <f>F266+G266</f>
        <v>16</v>
      </c>
      <c r="G267" s="65">
        <v>8</v>
      </c>
      <c r="H267" s="65">
        <v>1</v>
      </c>
      <c r="I267" s="65">
        <v>0</v>
      </c>
      <c r="J267" s="65">
        <v>0</v>
      </c>
      <c r="K267" s="65">
        <f>(POWER(2,G267)-1)*H267+I267</f>
        <v>255</v>
      </c>
      <c r="L267" s="65">
        <v>0</v>
      </c>
      <c r="M267" s="66" t="s">
        <v>218</v>
      </c>
      <c r="N267" s="75">
        <f t="shared" si="76"/>
        <v>3</v>
      </c>
      <c r="O267" s="49" t="s">
        <v>1400</v>
      </c>
      <c r="P267" s="54"/>
      <c r="Q267" s="61"/>
      <c r="R267" s="244" t="s">
        <v>218</v>
      </c>
      <c r="S267" s="253" t="s">
        <v>218</v>
      </c>
      <c r="T267" s="244" t="s">
        <v>218</v>
      </c>
      <c r="U267" s="60" t="s">
        <v>1401</v>
      </c>
      <c r="V267" s="61"/>
      <c r="W267" s="61"/>
      <c r="X267" s="61"/>
      <c r="Y267" s="61"/>
      <c r="Z267" s="61"/>
      <c r="AA267" s="61"/>
    </row>
    <row r="268" s="25" customFormat="1" spans="1:27">
      <c r="A268" s="235" t="s">
        <v>273</v>
      </c>
      <c r="B268" s="254" t="s">
        <v>1402</v>
      </c>
      <c r="D268" s="255"/>
      <c r="E268" s="256">
        <v>12</v>
      </c>
      <c r="F268" s="257"/>
      <c r="N268" s="43">
        <f>SUM(N269:N281)</f>
        <v>34</v>
      </c>
      <c r="P268" s="257"/>
      <c r="R268" s="258"/>
      <c r="S268" s="258"/>
      <c r="T268" s="258"/>
      <c r="U268" s="258"/>
    </row>
    <row r="269" s="26" customFormat="1" ht="25.5" outlineLevel="1" collapsed="1" spans="1:27">
      <c r="C269" s="207" t="s">
        <v>1403</v>
      </c>
      <c r="D269" s="202" t="s">
        <v>1404</v>
      </c>
      <c r="E269" s="203">
        <f t="shared" ref="E269:E283" si="90">IF(INT((F269+G269-1)/8)+1=INT(F269/8)+1,INT(F269/8)+1,INT(F269/8)+1&amp;"-"&amp;INT((F269+G269-1)/8)+1)</f>
        <v>1</v>
      </c>
      <c r="F269" s="208">
        <v>0</v>
      </c>
      <c r="G269" s="222">
        <v>8</v>
      </c>
      <c r="H269" s="222">
        <v>1</v>
      </c>
      <c r="I269" s="222">
        <v>-40</v>
      </c>
      <c r="J269" s="222">
        <v>-40</v>
      </c>
      <c r="K269" s="222">
        <f>(POWER(2,G269)-1)*H269+I269</f>
        <v>215</v>
      </c>
      <c r="L269" s="204">
        <v>0</v>
      </c>
      <c r="M269" s="204" t="s">
        <v>427</v>
      </c>
      <c r="N269" s="75">
        <f t="shared" si="76"/>
        <v>3</v>
      </c>
      <c r="O269" s="259"/>
      <c r="P269" s="204" t="s">
        <v>1405</v>
      </c>
      <c r="R269" s="207" t="s">
        <v>1406</v>
      </c>
      <c r="S269" s="260" t="s">
        <v>218</v>
      </c>
      <c r="T269" s="261" t="s">
        <v>218</v>
      </c>
      <c r="U269" s="261" t="s">
        <v>218</v>
      </c>
    </row>
    <row r="270" s="26" customFormat="1" ht="25.5" outlineLevel="1" spans="1:27">
      <c r="C270" s="207" t="s">
        <v>1407</v>
      </c>
      <c r="D270" s="202" t="s">
        <v>1408</v>
      </c>
      <c r="E270" s="203">
        <f t="shared" si="90"/>
        <v>2</v>
      </c>
      <c r="F270" s="208">
        <f t="shared" ref="F270:F283" si="91">F269+G269</f>
        <v>8</v>
      </c>
      <c r="G270" s="222">
        <v>8</v>
      </c>
      <c r="H270" s="222">
        <v>1</v>
      </c>
      <c r="I270" s="222">
        <v>-40</v>
      </c>
      <c r="J270" s="222">
        <v>-40</v>
      </c>
      <c r="K270" s="222">
        <f t="shared" ref="K270:K283" si="92">(POWER(2,G270)-1)*H270+I270</f>
        <v>215</v>
      </c>
      <c r="L270" s="204">
        <v>0</v>
      </c>
      <c r="M270" s="204" t="s">
        <v>427</v>
      </c>
      <c r="N270" s="75">
        <f t="shared" si="76"/>
        <v>3</v>
      </c>
      <c r="O270" s="259"/>
      <c r="P270" s="204" t="s">
        <v>1409</v>
      </c>
      <c r="R270" s="207" t="s">
        <v>1410</v>
      </c>
      <c r="S270" s="260" t="s">
        <v>218</v>
      </c>
      <c r="T270" s="261" t="s">
        <v>218</v>
      </c>
      <c r="U270" s="261" t="s">
        <v>218</v>
      </c>
    </row>
    <row r="271" s="26" customFormat="1" ht="25.5" outlineLevel="1" spans="1:27">
      <c r="C271" s="207" t="s">
        <v>1411</v>
      </c>
      <c r="D271" s="202" t="s">
        <v>1412</v>
      </c>
      <c r="E271" s="203">
        <f t="shared" si="90"/>
        <v>3</v>
      </c>
      <c r="F271" s="208">
        <f t="shared" si="91"/>
        <v>16</v>
      </c>
      <c r="G271" s="222">
        <v>8</v>
      </c>
      <c r="H271" s="222">
        <v>1</v>
      </c>
      <c r="I271" s="222">
        <v>-40</v>
      </c>
      <c r="J271" s="222">
        <v>-40</v>
      </c>
      <c r="K271" s="222">
        <f t="shared" si="92"/>
        <v>215</v>
      </c>
      <c r="L271" s="204">
        <v>0</v>
      </c>
      <c r="M271" s="204" t="s">
        <v>427</v>
      </c>
      <c r="N271" s="75">
        <f t="shared" si="76"/>
        <v>3</v>
      </c>
      <c r="O271" s="259"/>
      <c r="P271" s="204" t="s">
        <v>1413</v>
      </c>
      <c r="R271" s="207" t="s">
        <v>1414</v>
      </c>
      <c r="S271" s="260" t="s">
        <v>218</v>
      </c>
      <c r="T271" s="261" t="s">
        <v>218</v>
      </c>
      <c r="U271" s="261" t="s">
        <v>218</v>
      </c>
    </row>
    <row r="272" s="26" customFormat="1" ht="25.5" outlineLevel="1" spans="1:27">
      <c r="C272" s="207" t="s">
        <v>1415</v>
      </c>
      <c r="D272" s="202" t="s">
        <v>1416</v>
      </c>
      <c r="E272" s="203">
        <f t="shared" si="90"/>
        <v>4</v>
      </c>
      <c r="F272" s="208">
        <f t="shared" si="91"/>
        <v>24</v>
      </c>
      <c r="G272" s="222">
        <v>8</v>
      </c>
      <c r="H272" s="222">
        <v>1</v>
      </c>
      <c r="I272" s="222">
        <v>-40</v>
      </c>
      <c r="J272" s="222">
        <v>-40</v>
      </c>
      <c r="K272" s="222">
        <f t="shared" si="92"/>
        <v>215</v>
      </c>
      <c r="L272" s="204">
        <v>0</v>
      </c>
      <c r="M272" s="204" t="s">
        <v>427</v>
      </c>
      <c r="N272" s="75">
        <f t="shared" si="76"/>
        <v>3</v>
      </c>
      <c r="O272" s="259"/>
      <c r="P272" s="204" t="s">
        <v>1417</v>
      </c>
      <c r="R272" s="207" t="s">
        <v>1418</v>
      </c>
      <c r="S272" s="260" t="s">
        <v>218</v>
      </c>
      <c r="T272" s="261" t="s">
        <v>218</v>
      </c>
      <c r="U272" s="261" t="s">
        <v>218</v>
      </c>
    </row>
    <row r="273" s="26" customFormat="1" ht="25.5" outlineLevel="1" spans="1:27">
      <c r="C273" s="207" t="s">
        <v>1419</v>
      </c>
      <c r="D273" s="202" t="s">
        <v>1420</v>
      </c>
      <c r="E273" s="203">
        <f t="shared" si="90"/>
        <v>5</v>
      </c>
      <c r="F273" s="208">
        <f t="shared" si="91"/>
        <v>32</v>
      </c>
      <c r="G273" s="262">
        <v>8</v>
      </c>
      <c r="H273" s="222">
        <v>1</v>
      </c>
      <c r="I273" s="222">
        <v>-40</v>
      </c>
      <c r="J273" s="222">
        <v>-40</v>
      </c>
      <c r="K273" s="222">
        <f t="shared" si="92"/>
        <v>215</v>
      </c>
      <c r="L273" s="204">
        <v>0</v>
      </c>
      <c r="M273" s="204" t="s">
        <v>427</v>
      </c>
      <c r="N273" s="75">
        <f t="shared" si="76"/>
        <v>3</v>
      </c>
      <c r="O273" s="259"/>
      <c r="P273" s="204" t="s">
        <v>1421</v>
      </c>
      <c r="R273" s="207" t="s">
        <v>1422</v>
      </c>
      <c r="S273" s="260" t="s">
        <v>218</v>
      </c>
      <c r="T273" s="261" t="s">
        <v>218</v>
      </c>
      <c r="U273" s="261" t="s">
        <v>218</v>
      </c>
    </row>
    <row r="274" s="26" customFormat="1" ht="25.5" outlineLevel="1" spans="1:27">
      <c r="C274" s="207" t="s">
        <v>1423</v>
      </c>
      <c r="D274" s="202" t="s">
        <v>1424</v>
      </c>
      <c r="E274" s="203">
        <f t="shared" si="90"/>
        <v>6</v>
      </c>
      <c r="F274" s="208">
        <f t="shared" si="91"/>
        <v>40</v>
      </c>
      <c r="G274" s="262">
        <v>8</v>
      </c>
      <c r="H274" s="222">
        <v>1</v>
      </c>
      <c r="I274" s="222">
        <v>-40</v>
      </c>
      <c r="J274" s="222">
        <v>-40</v>
      </c>
      <c r="K274" s="222">
        <f t="shared" si="92"/>
        <v>215</v>
      </c>
      <c r="L274" s="204">
        <v>0</v>
      </c>
      <c r="M274" s="204" t="s">
        <v>427</v>
      </c>
      <c r="N274" s="75">
        <f t="shared" si="76"/>
        <v>3</v>
      </c>
      <c r="O274" s="259"/>
      <c r="P274" s="204" t="s">
        <v>1425</v>
      </c>
      <c r="R274" s="207" t="s">
        <v>1426</v>
      </c>
      <c r="S274" s="260" t="s">
        <v>218</v>
      </c>
      <c r="T274" s="261" t="s">
        <v>218</v>
      </c>
      <c r="U274" s="261" t="s">
        <v>218</v>
      </c>
    </row>
    <row r="275" s="26" customFormat="1" ht="25.5" outlineLevel="1" spans="1:27">
      <c r="C275" s="207" t="s">
        <v>1427</v>
      </c>
      <c r="D275" s="202" t="s">
        <v>1428</v>
      </c>
      <c r="E275" s="203">
        <f t="shared" si="90"/>
        <v>7</v>
      </c>
      <c r="F275" s="208">
        <f t="shared" si="91"/>
        <v>48</v>
      </c>
      <c r="G275" s="262">
        <v>8</v>
      </c>
      <c r="H275" s="222">
        <v>1</v>
      </c>
      <c r="I275" s="222">
        <v>-40</v>
      </c>
      <c r="J275" s="222">
        <v>-40</v>
      </c>
      <c r="K275" s="222">
        <f t="shared" si="92"/>
        <v>215</v>
      </c>
      <c r="L275" s="204">
        <v>0</v>
      </c>
      <c r="M275" s="204" t="s">
        <v>427</v>
      </c>
      <c r="N275" s="75">
        <f t="shared" si="76"/>
        <v>3</v>
      </c>
      <c r="O275" s="259"/>
      <c r="P275" s="204" t="s">
        <v>1429</v>
      </c>
      <c r="R275" s="207" t="s">
        <v>1430</v>
      </c>
      <c r="S275" s="260" t="s">
        <v>218</v>
      </c>
      <c r="T275" s="261" t="s">
        <v>218</v>
      </c>
      <c r="U275" s="261" t="s">
        <v>218</v>
      </c>
    </row>
    <row r="276" s="26" customFormat="1" ht="25.5" outlineLevel="1" spans="1:27">
      <c r="C276" s="207" t="s">
        <v>1431</v>
      </c>
      <c r="D276" s="202" t="s">
        <v>1432</v>
      </c>
      <c r="E276" s="203">
        <f t="shared" si="90"/>
        <v>8</v>
      </c>
      <c r="F276" s="208">
        <f t="shared" si="91"/>
        <v>56</v>
      </c>
      <c r="G276" s="262">
        <v>8</v>
      </c>
      <c r="H276" s="222">
        <v>0.1</v>
      </c>
      <c r="I276" s="262">
        <v>0</v>
      </c>
      <c r="J276" s="262">
        <v>0</v>
      </c>
      <c r="K276" s="222">
        <f t="shared" si="92"/>
        <v>25.5</v>
      </c>
      <c r="L276" s="204">
        <v>0</v>
      </c>
      <c r="M276" s="204" t="s">
        <v>1433</v>
      </c>
      <c r="N276" s="75">
        <f t="shared" si="76"/>
        <v>4</v>
      </c>
      <c r="O276" s="259"/>
      <c r="P276" s="204" t="s">
        <v>1434</v>
      </c>
      <c r="R276" s="207" t="s">
        <v>1435</v>
      </c>
      <c r="S276" s="260" t="s">
        <v>218</v>
      </c>
      <c r="T276" s="261" t="s">
        <v>218</v>
      </c>
      <c r="U276" s="261" t="s">
        <v>218</v>
      </c>
    </row>
    <row r="277" s="26" customFormat="1" ht="25.5" outlineLevel="1" spans="1:27">
      <c r="C277" s="207" t="s">
        <v>1436</v>
      </c>
      <c r="D277" s="202" t="s">
        <v>1437</v>
      </c>
      <c r="E277" s="203">
        <f t="shared" si="90"/>
        <v>9</v>
      </c>
      <c r="F277" s="208">
        <f t="shared" si="91"/>
        <v>64</v>
      </c>
      <c r="G277" s="262">
        <v>8</v>
      </c>
      <c r="H277" s="222">
        <v>0.1</v>
      </c>
      <c r="I277" s="262">
        <v>0</v>
      </c>
      <c r="J277" s="262">
        <v>0</v>
      </c>
      <c r="K277" s="222">
        <f t="shared" si="92"/>
        <v>25.5</v>
      </c>
      <c r="L277" s="204">
        <v>0</v>
      </c>
      <c r="M277" s="204" t="s">
        <v>1433</v>
      </c>
      <c r="N277" s="75">
        <f t="shared" si="76"/>
        <v>4</v>
      </c>
      <c r="O277" s="259"/>
      <c r="P277" s="204" t="s">
        <v>1438</v>
      </c>
      <c r="R277" s="207" t="s">
        <v>1439</v>
      </c>
      <c r="S277" s="260" t="s">
        <v>218</v>
      </c>
      <c r="T277" s="261" t="s">
        <v>218</v>
      </c>
      <c r="U277" s="261" t="s">
        <v>218</v>
      </c>
    </row>
    <row r="278" s="26" customFormat="1" ht="63.75" outlineLevel="1" spans="1:27">
      <c r="C278" s="207" t="s">
        <v>1440</v>
      </c>
      <c r="D278" s="202" t="s">
        <v>1441</v>
      </c>
      <c r="E278" s="203">
        <f t="shared" si="90"/>
        <v>10</v>
      </c>
      <c r="F278" s="208">
        <f t="shared" si="91"/>
        <v>72</v>
      </c>
      <c r="G278" s="262">
        <v>2</v>
      </c>
      <c r="H278" s="222">
        <v>1</v>
      </c>
      <c r="I278" s="262">
        <v>0</v>
      </c>
      <c r="J278" s="262">
        <v>0</v>
      </c>
      <c r="K278" s="222">
        <f t="shared" si="92"/>
        <v>3</v>
      </c>
      <c r="L278" s="204">
        <v>0</v>
      </c>
      <c r="M278" s="204" t="s">
        <v>218</v>
      </c>
      <c r="N278" s="75">
        <f t="shared" si="76"/>
        <v>1</v>
      </c>
      <c r="O278" s="259" t="s">
        <v>1442</v>
      </c>
      <c r="P278" s="204" t="s">
        <v>1443</v>
      </c>
      <c r="R278" s="207" t="s">
        <v>1444</v>
      </c>
      <c r="S278" s="260" t="s">
        <v>218</v>
      </c>
      <c r="T278" s="261" t="s">
        <v>218</v>
      </c>
      <c r="U278" s="261" t="s">
        <v>218</v>
      </c>
    </row>
    <row r="279" s="26" customFormat="1" ht="25.5" outlineLevel="1" spans="1:27">
      <c r="C279" s="207" t="s">
        <v>1445</v>
      </c>
      <c r="D279" s="202" t="s">
        <v>1446</v>
      </c>
      <c r="E279" s="203">
        <f t="shared" si="90"/>
        <v>10</v>
      </c>
      <c r="F279" s="208">
        <f t="shared" si="91"/>
        <v>74</v>
      </c>
      <c r="G279" s="262">
        <v>6</v>
      </c>
      <c r="H279" s="222">
        <v>1</v>
      </c>
      <c r="I279" s="262">
        <v>0</v>
      </c>
      <c r="J279" s="262">
        <v>0</v>
      </c>
      <c r="K279" s="222">
        <f t="shared" si="92"/>
        <v>63</v>
      </c>
      <c r="L279" s="204">
        <v>0</v>
      </c>
      <c r="M279" s="204" t="s">
        <v>218</v>
      </c>
      <c r="N279" s="75">
        <f t="shared" si="76"/>
        <v>2</v>
      </c>
      <c r="O279" s="259"/>
      <c r="P279" s="204" t="s">
        <v>1447</v>
      </c>
      <c r="R279" s="207" t="s">
        <v>1448</v>
      </c>
      <c r="S279" s="260" t="s">
        <v>218</v>
      </c>
      <c r="T279" s="261" t="s">
        <v>218</v>
      </c>
      <c r="U279" s="261" t="s">
        <v>218</v>
      </c>
    </row>
    <row r="280" s="26" customFormat="1" ht="63.75" outlineLevel="1" spans="1:27">
      <c r="C280" s="207" t="s">
        <v>1449</v>
      </c>
      <c r="D280" s="202" t="s">
        <v>1450</v>
      </c>
      <c r="E280" s="203">
        <f t="shared" si="90"/>
        <v>11</v>
      </c>
      <c r="F280" s="208">
        <f t="shared" si="91"/>
        <v>80</v>
      </c>
      <c r="G280" s="263">
        <v>2</v>
      </c>
      <c r="H280" s="75">
        <v>1</v>
      </c>
      <c r="I280" s="75">
        <v>0</v>
      </c>
      <c r="J280" s="75">
        <v>0</v>
      </c>
      <c r="K280" s="222">
        <f t="shared" si="92"/>
        <v>3</v>
      </c>
      <c r="L280" s="204">
        <v>0</v>
      </c>
      <c r="M280" s="204" t="s">
        <v>218</v>
      </c>
      <c r="N280" s="75">
        <f t="shared" si="76"/>
        <v>1</v>
      </c>
      <c r="O280" s="259" t="s">
        <v>1451</v>
      </c>
      <c r="P280" s="204" t="s">
        <v>1452</v>
      </c>
      <c r="R280" s="207" t="s">
        <v>1453</v>
      </c>
      <c r="S280" s="260" t="s">
        <v>218</v>
      </c>
      <c r="T280" s="261" t="s">
        <v>218</v>
      </c>
      <c r="U280" s="261" t="s">
        <v>218</v>
      </c>
    </row>
    <row r="281" s="26" customFormat="1" ht="63.75" outlineLevel="1" collapsed="1" spans="1:27">
      <c r="C281" s="207" t="s">
        <v>1454</v>
      </c>
      <c r="D281" s="202" t="s">
        <v>1455</v>
      </c>
      <c r="E281" s="203">
        <f t="shared" si="90"/>
        <v>11</v>
      </c>
      <c r="F281" s="208">
        <f t="shared" si="91"/>
        <v>82</v>
      </c>
      <c r="G281" s="262">
        <v>2</v>
      </c>
      <c r="H281" s="222">
        <v>1</v>
      </c>
      <c r="I281" s="262">
        <v>0</v>
      </c>
      <c r="J281" s="262">
        <v>0</v>
      </c>
      <c r="K281" s="222">
        <f t="shared" si="92"/>
        <v>3</v>
      </c>
      <c r="L281" s="204">
        <v>0</v>
      </c>
      <c r="M281" s="204" t="s">
        <v>218</v>
      </c>
      <c r="N281" s="75">
        <f t="shared" si="76"/>
        <v>1</v>
      </c>
      <c r="O281" s="259" t="s">
        <v>1451</v>
      </c>
      <c r="P281" s="204" t="s">
        <v>1456</v>
      </c>
      <c r="R281" s="207" t="s">
        <v>1457</v>
      </c>
      <c r="S281" s="260" t="s">
        <v>218</v>
      </c>
      <c r="T281" s="261" t="s">
        <v>218</v>
      </c>
      <c r="U281" s="261" t="s">
        <v>218</v>
      </c>
    </row>
    <row r="282" s="24" customFormat="1" ht="25.5" outlineLevel="1" spans="1:27">
      <c r="A282" s="221"/>
      <c r="B282" s="221"/>
      <c r="C282" s="209" t="s">
        <v>1345</v>
      </c>
      <c r="D282" s="202" t="s">
        <v>1346</v>
      </c>
      <c r="E282" s="203">
        <f t="shared" si="90"/>
        <v>11</v>
      </c>
      <c r="F282" s="208">
        <f t="shared" si="91"/>
        <v>84</v>
      </c>
      <c r="G282" s="204">
        <v>4</v>
      </c>
      <c r="H282" s="204">
        <v>1</v>
      </c>
      <c r="I282" s="204">
        <v>0</v>
      </c>
      <c r="J282" s="204">
        <v>0</v>
      </c>
      <c r="K282" s="204">
        <f t="shared" si="92"/>
        <v>15</v>
      </c>
      <c r="L282" s="204">
        <v>0</v>
      </c>
      <c r="M282" s="205" t="s">
        <v>602</v>
      </c>
      <c r="N282" s="222">
        <f t="shared" ref="N282:N283" si="93">LEN(K282)</f>
        <v>2</v>
      </c>
      <c r="O282" s="209"/>
      <c r="P282" s="205"/>
      <c r="Q282" s="221" t="s">
        <v>1347</v>
      </c>
      <c r="R282" s="207" t="s">
        <v>218</v>
      </c>
      <c r="S282" s="207" t="s">
        <v>218</v>
      </c>
      <c r="T282" s="207" t="s">
        <v>218</v>
      </c>
      <c r="U282" s="207" t="s">
        <v>218</v>
      </c>
      <c r="V282" s="221"/>
      <c r="W282" s="221"/>
      <c r="X282" s="221"/>
      <c r="Y282" s="221"/>
      <c r="Z282" s="221"/>
      <c r="AA282" s="221"/>
    </row>
    <row r="283" s="24" customFormat="1" ht="51" outlineLevel="1" spans="1:27">
      <c r="A283" s="221"/>
      <c r="B283" s="221"/>
      <c r="C283" s="209" t="s">
        <v>1458</v>
      </c>
      <c r="D283" s="202" t="s">
        <v>1459</v>
      </c>
      <c r="E283" s="203">
        <f t="shared" si="90"/>
        <v>12</v>
      </c>
      <c r="F283" s="208">
        <f t="shared" si="91"/>
        <v>88</v>
      </c>
      <c r="G283" s="204">
        <v>8</v>
      </c>
      <c r="H283" s="204">
        <v>1</v>
      </c>
      <c r="I283" s="204">
        <v>0</v>
      </c>
      <c r="J283" s="204">
        <v>0</v>
      </c>
      <c r="K283" s="204">
        <f t="shared" si="92"/>
        <v>255</v>
      </c>
      <c r="L283" s="204">
        <v>0</v>
      </c>
      <c r="M283" s="205" t="s">
        <v>602</v>
      </c>
      <c r="N283" s="264">
        <f t="shared" si="93"/>
        <v>3</v>
      </c>
      <c r="O283" s="209" t="s">
        <v>1460</v>
      </c>
      <c r="P283" s="205"/>
      <c r="Q283" s="221"/>
      <c r="R283" s="207" t="s">
        <v>1461</v>
      </c>
      <c r="S283" s="207" t="s">
        <v>218</v>
      </c>
      <c r="T283" s="207" t="s">
        <v>218</v>
      </c>
      <c r="U283" s="207" t="s">
        <v>218</v>
      </c>
      <c r="V283" s="221"/>
      <c r="W283" s="221"/>
      <c r="X283" s="221"/>
      <c r="Y283" s="221"/>
      <c r="Z283" s="221"/>
      <c r="AA283" s="221"/>
    </row>
    <row r="284" s="25" customFormat="1" spans="1:27">
      <c r="A284" s="194" t="s">
        <v>277</v>
      </c>
      <c r="B284" s="194" t="s">
        <v>1462</v>
      </c>
      <c r="D284" s="255"/>
      <c r="E284" s="256">
        <v>36</v>
      </c>
      <c r="F284" s="257"/>
      <c r="N284" s="43">
        <f>SUM(N285:N302)</f>
        <v>67</v>
      </c>
      <c r="O284" s="265"/>
      <c r="P284" s="265"/>
      <c r="R284" s="258"/>
      <c r="S284" s="258"/>
      <c r="T284" s="258"/>
      <c r="U284" s="258"/>
    </row>
    <row r="285" s="24" customFormat="1" ht="26" customHeight="1" outlineLevel="1" spans="1:27">
      <c r="C285" s="201" t="s">
        <v>1463</v>
      </c>
      <c r="D285" s="259" t="s">
        <v>1464</v>
      </c>
      <c r="E285" s="203" t="str">
        <f t="shared" ref="E285:E302" si="94">IF(INT((F285+G285-1)/8)+1=INT(F285/8)+1,INT(F285/8)+1,INT(F285/8)+1&amp;"-"&amp;INT((F285+G285-1)/8)+1)</f>
        <v>1-2</v>
      </c>
      <c r="F285" s="204">
        <v>0</v>
      </c>
      <c r="G285" s="204">
        <v>16</v>
      </c>
      <c r="H285" s="204">
        <v>1</v>
      </c>
      <c r="I285" s="204">
        <v>0</v>
      </c>
      <c r="J285" s="204">
        <v>0</v>
      </c>
      <c r="K285" s="266">
        <v>4500</v>
      </c>
      <c r="L285" s="204">
        <v>0</v>
      </c>
      <c r="M285" s="204" t="s">
        <v>440</v>
      </c>
      <c r="N285" s="204">
        <f t="shared" si="76"/>
        <v>4</v>
      </c>
      <c r="O285" s="204"/>
      <c r="P285" s="204"/>
      <c r="R285" s="260" t="s">
        <v>218</v>
      </c>
      <c r="S285" s="260" t="s">
        <v>218</v>
      </c>
      <c r="T285" s="260" t="s">
        <v>218</v>
      </c>
      <c r="U285" s="201" t="s">
        <v>1463</v>
      </c>
    </row>
    <row r="286" s="24" customFormat="1" ht="26" customHeight="1" outlineLevel="1" collapsed="1" spans="1:27">
      <c r="C286" s="207" t="s">
        <v>1465</v>
      </c>
      <c r="D286" s="202" t="s">
        <v>1466</v>
      </c>
      <c r="E286" s="203" t="str">
        <f t="shared" si="94"/>
        <v>3-4</v>
      </c>
      <c r="F286" s="204">
        <f t="shared" ref="F286:F302" si="95">F285+G285</f>
        <v>16</v>
      </c>
      <c r="G286" s="204">
        <v>16</v>
      </c>
      <c r="H286" s="204">
        <v>1</v>
      </c>
      <c r="I286" s="204">
        <v>0</v>
      </c>
      <c r="J286" s="204">
        <v>0</v>
      </c>
      <c r="K286" s="266">
        <v>4500</v>
      </c>
      <c r="L286" s="204">
        <v>0</v>
      </c>
      <c r="M286" s="204" t="s">
        <v>440</v>
      </c>
      <c r="N286" s="204">
        <f t="shared" si="76"/>
        <v>4</v>
      </c>
      <c r="O286" s="202" t="s">
        <v>1467</v>
      </c>
      <c r="P286" s="204"/>
      <c r="R286" s="260" t="s">
        <v>218</v>
      </c>
      <c r="S286" s="260" t="s">
        <v>218</v>
      </c>
      <c r="T286" s="260" t="s">
        <v>218</v>
      </c>
      <c r="U286" s="207" t="s">
        <v>1465</v>
      </c>
    </row>
    <row r="287" s="24" customFormat="1" ht="26" customHeight="1" outlineLevel="1" spans="1:27">
      <c r="C287" s="207" t="s">
        <v>1468</v>
      </c>
      <c r="D287" s="202" t="s">
        <v>1469</v>
      </c>
      <c r="E287" s="203" t="str">
        <f t="shared" si="94"/>
        <v>5-6</v>
      </c>
      <c r="F287" s="204">
        <f t="shared" si="95"/>
        <v>32</v>
      </c>
      <c r="G287" s="204">
        <v>16</v>
      </c>
      <c r="H287" s="204">
        <v>1</v>
      </c>
      <c r="I287" s="204">
        <v>0</v>
      </c>
      <c r="J287" s="204">
        <v>0</v>
      </c>
      <c r="K287" s="266">
        <v>4500</v>
      </c>
      <c r="L287" s="204">
        <v>0</v>
      </c>
      <c r="M287" s="204" t="s">
        <v>440</v>
      </c>
      <c r="N287" s="204">
        <f t="shared" si="76"/>
        <v>4</v>
      </c>
      <c r="O287" s="204"/>
      <c r="P287" s="204"/>
      <c r="R287" s="260" t="s">
        <v>218</v>
      </c>
      <c r="S287" s="260" t="s">
        <v>218</v>
      </c>
      <c r="T287" s="260" t="s">
        <v>218</v>
      </c>
      <c r="U287" s="207" t="s">
        <v>1468</v>
      </c>
    </row>
    <row r="288" s="24" customFormat="1" ht="26" customHeight="1" outlineLevel="1" spans="1:27">
      <c r="C288" s="207" t="s">
        <v>1470</v>
      </c>
      <c r="D288" s="202" t="s">
        <v>1471</v>
      </c>
      <c r="E288" s="203" t="str">
        <f t="shared" si="94"/>
        <v>7-8</v>
      </c>
      <c r="F288" s="204">
        <f t="shared" si="95"/>
        <v>48</v>
      </c>
      <c r="G288" s="204">
        <v>16</v>
      </c>
      <c r="H288" s="204">
        <v>1</v>
      </c>
      <c r="I288" s="204">
        <v>0</v>
      </c>
      <c r="J288" s="204">
        <v>0</v>
      </c>
      <c r="K288" s="266">
        <v>4500</v>
      </c>
      <c r="L288" s="204">
        <v>0</v>
      </c>
      <c r="M288" s="204" t="s">
        <v>440</v>
      </c>
      <c r="N288" s="204">
        <f t="shared" si="76"/>
        <v>4</v>
      </c>
      <c r="O288" s="204"/>
      <c r="P288" s="204"/>
      <c r="R288" s="260" t="s">
        <v>218</v>
      </c>
      <c r="S288" s="260" t="s">
        <v>218</v>
      </c>
      <c r="T288" s="260" t="s">
        <v>218</v>
      </c>
      <c r="U288" s="207" t="s">
        <v>1470</v>
      </c>
    </row>
    <row r="289" s="24" customFormat="1" ht="26" customHeight="1" outlineLevel="1" collapsed="1" spans="1:21">
      <c r="C289" s="207" t="s">
        <v>1472</v>
      </c>
      <c r="D289" s="202" t="s">
        <v>1473</v>
      </c>
      <c r="E289" s="203" t="str">
        <f t="shared" si="94"/>
        <v>9-10</v>
      </c>
      <c r="F289" s="204">
        <f t="shared" si="95"/>
        <v>64</v>
      </c>
      <c r="G289" s="204">
        <v>16</v>
      </c>
      <c r="H289" s="204">
        <v>1</v>
      </c>
      <c r="I289" s="204">
        <v>0</v>
      </c>
      <c r="J289" s="204">
        <v>0</v>
      </c>
      <c r="K289" s="266">
        <v>4500</v>
      </c>
      <c r="L289" s="204">
        <v>0</v>
      </c>
      <c r="M289" s="204" t="s">
        <v>440</v>
      </c>
      <c r="N289" s="204">
        <f t="shared" si="76"/>
        <v>4</v>
      </c>
      <c r="O289" s="204"/>
      <c r="P289" s="204"/>
      <c r="R289" s="260" t="s">
        <v>218</v>
      </c>
      <c r="S289" s="260" t="s">
        <v>218</v>
      </c>
      <c r="T289" s="260" t="s">
        <v>218</v>
      </c>
      <c r="U289" s="207" t="s">
        <v>1472</v>
      </c>
    </row>
    <row r="290" s="24" customFormat="1" ht="26" customHeight="1" outlineLevel="1" spans="1:21">
      <c r="C290" s="207" t="s">
        <v>1474</v>
      </c>
      <c r="D290" s="202" t="s">
        <v>1475</v>
      </c>
      <c r="E290" s="203" t="str">
        <f t="shared" si="94"/>
        <v>11-12</v>
      </c>
      <c r="F290" s="204">
        <f t="shared" si="95"/>
        <v>80</v>
      </c>
      <c r="G290" s="204">
        <v>16</v>
      </c>
      <c r="H290" s="204">
        <v>1</v>
      </c>
      <c r="I290" s="204">
        <v>0</v>
      </c>
      <c r="J290" s="204">
        <v>0</v>
      </c>
      <c r="K290" s="266">
        <v>4500</v>
      </c>
      <c r="L290" s="204">
        <v>0</v>
      </c>
      <c r="M290" s="204" t="s">
        <v>440</v>
      </c>
      <c r="N290" s="204">
        <f t="shared" si="76"/>
        <v>4</v>
      </c>
      <c r="O290" s="204"/>
      <c r="P290" s="204"/>
      <c r="R290" s="260" t="s">
        <v>218</v>
      </c>
      <c r="S290" s="260" t="s">
        <v>218</v>
      </c>
      <c r="T290" s="260" t="s">
        <v>218</v>
      </c>
      <c r="U290" s="207" t="s">
        <v>1474</v>
      </c>
    </row>
    <row r="291" s="24" customFormat="1" ht="26" customHeight="1" outlineLevel="1" spans="1:21">
      <c r="C291" s="207" t="s">
        <v>1476</v>
      </c>
      <c r="D291" s="202" t="s">
        <v>1477</v>
      </c>
      <c r="E291" s="203" t="str">
        <f t="shared" si="94"/>
        <v>13-14</v>
      </c>
      <c r="F291" s="204">
        <f t="shared" si="95"/>
        <v>96</v>
      </c>
      <c r="G291" s="204">
        <v>16</v>
      </c>
      <c r="H291" s="204">
        <v>1</v>
      </c>
      <c r="I291" s="204">
        <v>0</v>
      </c>
      <c r="J291" s="204">
        <v>0</v>
      </c>
      <c r="K291" s="266">
        <v>4500</v>
      </c>
      <c r="L291" s="204">
        <v>0</v>
      </c>
      <c r="M291" s="204" t="s">
        <v>440</v>
      </c>
      <c r="N291" s="204">
        <f t="shared" si="76"/>
        <v>4</v>
      </c>
      <c r="O291" s="204"/>
      <c r="P291" s="204"/>
      <c r="R291" s="260" t="s">
        <v>218</v>
      </c>
      <c r="S291" s="260" t="s">
        <v>218</v>
      </c>
      <c r="T291" s="260" t="s">
        <v>218</v>
      </c>
      <c r="U291" s="207" t="s">
        <v>1476</v>
      </c>
    </row>
    <row r="292" s="24" customFormat="1" ht="26" customHeight="1" outlineLevel="1" spans="1:21">
      <c r="C292" s="207" t="s">
        <v>1478</v>
      </c>
      <c r="D292" s="202" t="s">
        <v>1479</v>
      </c>
      <c r="E292" s="203" t="str">
        <f t="shared" si="94"/>
        <v>15-16</v>
      </c>
      <c r="F292" s="204">
        <f t="shared" si="95"/>
        <v>112</v>
      </c>
      <c r="G292" s="204">
        <v>16</v>
      </c>
      <c r="H292" s="204">
        <v>1</v>
      </c>
      <c r="I292" s="204">
        <v>0</v>
      </c>
      <c r="J292" s="204">
        <v>0</v>
      </c>
      <c r="K292" s="266">
        <v>4500</v>
      </c>
      <c r="L292" s="204">
        <v>0</v>
      </c>
      <c r="M292" s="204" t="s">
        <v>440</v>
      </c>
      <c r="N292" s="204">
        <f t="shared" si="76"/>
        <v>4</v>
      </c>
      <c r="O292" s="202" t="s">
        <v>1480</v>
      </c>
      <c r="P292" s="204"/>
      <c r="R292" s="260" t="s">
        <v>218</v>
      </c>
      <c r="S292" s="260" t="s">
        <v>218</v>
      </c>
      <c r="T292" s="260" t="s">
        <v>218</v>
      </c>
      <c r="U292" s="207" t="s">
        <v>1478</v>
      </c>
    </row>
    <row r="293" s="24" customFormat="1" ht="26" customHeight="1" outlineLevel="1" spans="1:21">
      <c r="C293" s="207" t="s">
        <v>1481</v>
      </c>
      <c r="D293" s="202" t="s">
        <v>1482</v>
      </c>
      <c r="E293" s="203" t="str">
        <f t="shared" si="94"/>
        <v>17-18</v>
      </c>
      <c r="F293" s="204">
        <f t="shared" si="95"/>
        <v>128</v>
      </c>
      <c r="G293" s="204">
        <v>16</v>
      </c>
      <c r="H293" s="204">
        <v>1</v>
      </c>
      <c r="I293" s="204">
        <v>0</v>
      </c>
      <c r="J293" s="204">
        <v>0</v>
      </c>
      <c r="K293" s="266">
        <v>4500</v>
      </c>
      <c r="L293" s="204">
        <v>0</v>
      </c>
      <c r="M293" s="204" t="s">
        <v>440</v>
      </c>
      <c r="N293" s="204">
        <f t="shared" si="76"/>
        <v>4</v>
      </c>
      <c r="O293" s="204"/>
      <c r="P293" s="204"/>
      <c r="R293" s="260" t="s">
        <v>218</v>
      </c>
      <c r="S293" s="260" t="s">
        <v>218</v>
      </c>
      <c r="T293" s="260" t="s">
        <v>218</v>
      </c>
      <c r="U293" s="201" t="s">
        <v>1481</v>
      </c>
    </row>
    <row r="294" s="24" customFormat="1" ht="26" customHeight="1" outlineLevel="1" spans="1:21">
      <c r="C294" s="207" t="s">
        <v>1483</v>
      </c>
      <c r="D294" s="202" t="s">
        <v>1484</v>
      </c>
      <c r="E294" s="203" t="str">
        <f t="shared" si="94"/>
        <v>19-20</v>
      </c>
      <c r="F294" s="204">
        <f t="shared" si="95"/>
        <v>144</v>
      </c>
      <c r="G294" s="204">
        <v>16</v>
      </c>
      <c r="H294" s="204">
        <v>1</v>
      </c>
      <c r="I294" s="204">
        <v>0</v>
      </c>
      <c r="J294" s="204">
        <v>0</v>
      </c>
      <c r="K294" s="266">
        <v>4500</v>
      </c>
      <c r="L294" s="204">
        <v>0</v>
      </c>
      <c r="M294" s="204" t="s">
        <v>440</v>
      </c>
      <c r="N294" s="204">
        <f t="shared" ref="N294:N357" si="96">LEN(K294)</f>
        <v>4</v>
      </c>
      <c r="O294" s="204"/>
      <c r="P294" s="204"/>
      <c r="R294" s="260" t="s">
        <v>218</v>
      </c>
      <c r="S294" s="260" t="s">
        <v>218</v>
      </c>
      <c r="T294" s="260" t="s">
        <v>218</v>
      </c>
      <c r="U294" s="201" t="s">
        <v>1483</v>
      </c>
    </row>
    <row r="295" s="24" customFormat="1" ht="26" customHeight="1" outlineLevel="1" spans="1:21">
      <c r="C295" s="207" t="s">
        <v>1485</v>
      </c>
      <c r="D295" s="202" t="s">
        <v>1486</v>
      </c>
      <c r="E295" s="203" t="str">
        <f t="shared" si="94"/>
        <v>21-22</v>
      </c>
      <c r="F295" s="204">
        <f t="shared" si="95"/>
        <v>160</v>
      </c>
      <c r="G295" s="204">
        <v>16</v>
      </c>
      <c r="H295" s="204">
        <v>1</v>
      </c>
      <c r="I295" s="204">
        <v>0</v>
      </c>
      <c r="J295" s="204">
        <v>0</v>
      </c>
      <c r="K295" s="266">
        <v>4500</v>
      </c>
      <c r="L295" s="204">
        <v>0</v>
      </c>
      <c r="M295" s="204" t="s">
        <v>440</v>
      </c>
      <c r="N295" s="204">
        <f t="shared" si="96"/>
        <v>4</v>
      </c>
      <c r="O295" s="204"/>
      <c r="P295" s="204"/>
      <c r="R295" s="260" t="s">
        <v>218</v>
      </c>
      <c r="S295" s="260" t="s">
        <v>218</v>
      </c>
      <c r="T295" s="260" t="s">
        <v>218</v>
      </c>
      <c r="U295" s="201" t="s">
        <v>1485</v>
      </c>
    </row>
    <row r="296" s="24" customFormat="1" ht="26" customHeight="1" outlineLevel="1" spans="1:21">
      <c r="C296" s="207" t="s">
        <v>1487</v>
      </c>
      <c r="D296" s="202" t="s">
        <v>1488</v>
      </c>
      <c r="E296" s="203" t="str">
        <f t="shared" si="94"/>
        <v>23-24</v>
      </c>
      <c r="F296" s="204">
        <f t="shared" si="95"/>
        <v>176</v>
      </c>
      <c r="G296" s="204">
        <v>16</v>
      </c>
      <c r="H296" s="204">
        <v>1</v>
      </c>
      <c r="I296" s="204">
        <v>0</v>
      </c>
      <c r="J296" s="204">
        <v>0</v>
      </c>
      <c r="K296" s="266">
        <v>4500</v>
      </c>
      <c r="L296" s="204">
        <v>0</v>
      </c>
      <c r="M296" s="204" t="s">
        <v>440</v>
      </c>
      <c r="N296" s="204">
        <f t="shared" si="96"/>
        <v>4</v>
      </c>
      <c r="O296" s="204"/>
      <c r="P296" s="204"/>
      <c r="R296" s="260" t="s">
        <v>218</v>
      </c>
      <c r="S296" s="260" t="s">
        <v>218</v>
      </c>
      <c r="T296" s="260" t="s">
        <v>218</v>
      </c>
      <c r="U296" s="207" t="s">
        <v>1487</v>
      </c>
    </row>
    <row r="297" s="24" customFormat="1" ht="26" customHeight="1" outlineLevel="1" spans="1:21">
      <c r="C297" s="207" t="s">
        <v>1489</v>
      </c>
      <c r="D297" s="202" t="s">
        <v>1490</v>
      </c>
      <c r="E297" s="203" t="str">
        <f t="shared" si="94"/>
        <v>25-26</v>
      </c>
      <c r="F297" s="204">
        <f t="shared" si="95"/>
        <v>192</v>
      </c>
      <c r="G297" s="204">
        <v>16</v>
      </c>
      <c r="H297" s="204">
        <v>1</v>
      </c>
      <c r="I297" s="204">
        <v>0</v>
      </c>
      <c r="J297" s="204">
        <v>0</v>
      </c>
      <c r="K297" s="266">
        <v>4500</v>
      </c>
      <c r="L297" s="204">
        <v>0</v>
      </c>
      <c r="M297" s="204" t="s">
        <v>440</v>
      </c>
      <c r="N297" s="204">
        <f t="shared" si="96"/>
        <v>4</v>
      </c>
      <c r="O297" s="204"/>
      <c r="P297" s="204"/>
      <c r="R297" s="260" t="s">
        <v>218</v>
      </c>
      <c r="S297" s="260" t="s">
        <v>218</v>
      </c>
      <c r="T297" s="260" t="s">
        <v>218</v>
      </c>
      <c r="U297" s="207" t="s">
        <v>1489</v>
      </c>
    </row>
    <row r="298" s="24" customFormat="1" ht="26" customHeight="1" outlineLevel="1" spans="1:21">
      <c r="C298" s="207" t="s">
        <v>1491</v>
      </c>
      <c r="D298" s="202" t="s">
        <v>1492</v>
      </c>
      <c r="E298" s="203" t="str">
        <f t="shared" si="94"/>
        <v>27-28</v>
      </c>
      <c r="F298" s="204">
        <f t="shared" si="95"/>
        <v>208</v>
      </c>
      <c r="G298" s="204">
        <v>16</v>
      </c>
      <c r="H298" s="204">
        <v>1</v>
      </c>
      <c r="I298" s="204">
        <v>0</v>
      </c>
      <c r="J298" s="204">
        <v>0</v>
      </c>
      <c r="K298" s="266">
        <v>500</v>
      </c>
      <c r="L298" s="204">
        <v>0</v>
      </c>
      <c r="M298" s="204" t="s">
        <v>440</v>
      </c>
      <c r="N298" s="204">
        <f t="shared" si="96"/>
        <v>3</v>
      </c>
      <c r="O298" s="204"/>
      <c r="P298" s="204"/>
      <c r="R298" s="260" t="s">
        <v>218</v>
      </c>
      <c r="S298" s="260" t="s">
        <v>218</v>
      </c>
      <c r="T298" s="260" t="s">
        <v>218</v>
      </c>
      <c r="U298" s="201" t="s">
        <v>1491</v>
      </c>
    </row>
    <row r="299" s="24" customFormat="1" ht="26" customHeight="1" outlineLevel="1" spans="1:21">
      <c r="C299" s="207" t="s">
        <v>1493</v>
      </c>
      <c r="D299" s="202" t="s">
        <v>1494</v>
      </c>
      <c r="E299" s="203" t="str">
        <f t="shared" si="94"/>
        <v>29-30</v>
      </c>
      <c r="F299" s="204">
        <f t="shared" si="95"/>
        <v>224</v>
      </c>
      <c r="G299" s="204">
        <v>16</v>
      </c>
      <c r="H299" s="204">
        <v>1</v>
      </c>
      <c r="I299" s="204">
        <v>0</v>
      </c>
      <c r="J299" s="204">
        <v>0</v>
      </c>
      <c r="K299" s="266">
        <v>500</v>
      </c>
      <c r="L299" s="204">
        <v>0</v>
      </c>
      <c r="M299" s="204" t="s">
        <v>440</v>
      </c>
      <c r="N299" s="204">
        <f t="shared" si="96"/>
        <v>3</v>
      </c>
      <c r="O299" s="204"/>
      <c r="P299" s="204"/>
      <c r="R299" s="260" t="s">
        <v>218</v>
      </c>
      <c r="S299" s="260" t="s">
        <v>218</v>
      </c>
      <c r="T299" s="260" t="s">
        <v>218</v>
      </c>
      <c r="U299" s="201" t="s">
        <v>1493</v>
      </c>
    </row>
    <row r="300" s="24" customFormat="1" ht="26" customHeight="1" outlineLevel="1" spans="1:21">
      <c r="C300" s="207" t="s">
        <v>1495</v>
      </c>
      <c r="D300" s="202" t="s">
        <v>1496</v>
      </c>
      <c r="E300" s="203" t="str">
        <f t="shared" si="94"/>
        <v>31-32</v>
      </c>
      <c r="F300" s="204">
        <f t="shared" si="95"/>
        <v>240</v>
      </c>
      <c r="G300" s="204">
        <v>16</v>
      </c>
      <c r="H300" s="204">
        <v>1</v>
      </c>
      <c r="I300" s="204">
        <v>0</v>
      </c>
      <c r="J300" s="204">
        <v>0</v>
      </c>
      <c r="K300" s="266">
        <v>500</v>
      </c>
      <c r="L300" s="204">
        <v>0</v>
      </c>
      <c r="M300" s="204" t="s">
        <v>440</v>
      </c>
      <c r="N300" s="204">
        <f t="shared" si="96"/>
        <v>3</v>
      </c>
      <c r="O300" s="204"/>
      <c r="P300" s="204"/>
      <c r="R300" s="260" t="s">
        <v>218</v>
      </c>
      <c r="S300" s="260" t="s">
        <v>218</v>
      </c>
      <c r="T300" s="260" t="s">
        <v>218</v>
      </c>
      <c r="U300" s="201" t="s">
        <v>1495</v>
      </c>
    </row>
    <row r="301" s="24" customFormat="1" ht="26" customHeight="1" outlineLevel="1" spans="1:21">
      <c r="C301" s="207" t="s">
        <v>1497</v>
      </c>
      <c r="D301" s="202" t="s">
        <v>1498</v>
      </c>
      <c r="E301" s="203" t="str">
        <f t="shared" si="94"/>
        <v>33-34</v>
      </c>
      <c r="F301" s="204">
        <f t="shared" si="95"/>
        <v>256</v>
      </c>
      <c r="G301" s="204">
        <v>16</v>
      </c>
      <c r="H301" s="204">
        <v>1</v>
      </c>
      <c r="I301" s="204">
        <v>0</v>
      </c>
      <c r="J301" s="204">
        <v>0</v>
      </c>
      <c r="K301" s="266">
        <v>500</v>
      </c>
      <c r="L301" s="204">
        <v>0</v>
      </c>
      <c r="M301" s="204" t="s">
        <v>440</v>
      </c>
      <c r="N301" s="204">
        <f t="shared" si="96"/>
        <v>3</v>
      </c>
      <c r="O301" s="204"/>
      <c r="P301" s="204"/>
      <c r="R301" s="260" t="s">
        <v>218</v>
      </c>
      <c r="S301" s="260" t="s">
        <v>218</v>
      </c>
      <c r="T301" s="260" t="s">
        <v>218</v>
      </c>
      <c r="U301" s="201" t="s">
        <v>1497</v>
      </c>
    </row>
    <row r="302" s="24" customFormat="1" ht="26" customHeight="1" outlineLevel="1" spans="1:21">
      <c r="C302" s="207" t="s">
        <v>1499</v>
      </c>
      <c r="D302" s="202" t="s">
        <v>1500</v>
      </c>
      <c r="E302" s="203" t="str">
        <f t="shared" si="94"/>
        <v>35-36</v>
      </c>
      <c r="F302" s="204">
        <f t="shared" si="95"/>
        <v>272</v>
      </c>
      <c r="G302" s="204">
        <v>16</v>
      </c>
      <c r="H302" s="204">
        <v>1</v>
      </c>
      <c r="I302" s="204">
        <v>0</v>
      </c>
      <c r="J302" s="204">
        <v>0</v>
      </c>
      <c r="K302" s="266">
        <v>500</v>
      </c>
      <c r="L302" s="204">
        <v>0</v>
      </c>
      <c r="M302" s="204" t="s">
        <v>440</v>
      </c>
      <c r="N302" s="204">
        <f t="shared" si="96"/>
        <v>3</v>
      </c>
      <c r="O302" s="204"/>
      <c r="P302" s="204"/>
      <c r="R302" s="260" t="s">
        <v>218</v>
      </c>
      <c r="S302" s="260" t="s">
        <v>218</v>
      </c>
      <c r="T302" s="260" t="s">
        <v>218</v>
      </c>
      <c r="U302" s="201" t="s">
        <v>1499</v>
      </c>
    </row>
    <row r="303" s="25" customFormat="1" spans="1:21">
      <c r="A303" s="41" t="s">
        <v>282</v>
      </c>
      <c r="B303" s="41" t="s">
        <v>1501</v>
      </c>
      <c r="D303" s="255"/>
      <c r="E303" s="256">
        <v>20</v>
      </c>
      <c r="F303" s="257"/>
      <c r="G303" s="257"/>
      <c r="H303" s="257"/>
      <c r="I303" s="257"/>
      <c r="J303" s="257"/>
      <c r="K303" s="257"/>
      <c r="L303" s="257"/>
      <c r="M303" s="257"/>
      <c r="N303" s="43">
        <f>SUM(N304:N313)</f>
        <v>10</v>
      </c>
      <c r="O303" s="265"/>
      <c r="P303" s="265"/>
      <c r="R303" s="258"/>
      <c r="S303" s="258"/>
      <c r="T303" s="258"/>
      <c r="U303" s="258"/>
    </row>
    <row r="304" s="24" customFormat="1" ht="25.5" outlineLevel="1" spans="1:21">
      <c r="C304" s="201" t="s">
        <v>1502</v>
      </c>
      <c r="D304" s="202" t="s">
        <v>1503</v>
      </c>
      <c r="E304" s="203" t="str">
        <f t="shared" ref="E304:E313" si="97">IF(INT((F304+G304-1)/8)+1=INT(F304/8)+1,INT(F304/8)+1,INT(F304/8)+1&amp;"-"&amp;INT((F304+G304-1)/8)+1)</f>
        <v>1-2</v>
      </c>
      <c r="F304" s="204">
        <v>0</v>
      </c>
      <c r="G304" s="204">
        <v>16</v>
      </c>
      <c r="H304" s="204">
        <v>0.01</v>
      </c>
      <c r="I304" s="204">
        <v>0</v>
      </c>
      <c r="J304" s="204">
        <v>0</v>
      </c>
      <c r="K304" s="266">
        <v>5</v>
      </c>
      <c r="L304" s="204">
        <v>0</v>
      </c>
      <c r="M304" s="204" t="s">
        <v>405</v>
      </c>
      <c r="N304" s="204">
        <f t="shared" si="96"/>
        <v>1</v>
      </c>
      <c r="O304" s="204"/>
      <c r="P304" s="204"/>
      <c r="R304" s="260" t="s">
        <v>218</v>
      </c>
      <c r="S304" s="260" t="s">
        <v>218</v>
      </c>
      <c r="T304" s="260" t="s">
        <v>218</v>
      </c>
      <c r="U304" s="201" t="s">
        <v>1502</v>
      </c>
    </row>
    <row r="305" s="24" customFormat="1" ht="25.5" outlineLevel="1" spans="1:21">
      <c r="C305" s="201" t="s">
        <v>1504</v>
      </c>
      <c r="D305" s="202" t="s">
        <v>1505</v>
      </c>
      <c r="E305" s="203" t="str">
        <f t="shared" si="97"/>
        <v>3-4</v>
      </c>
      <c r="F305" s="204">
        <f t="shared" ref="F305:F313" si="98">F304+G304</f>
        <v>16</v>
      </c>
      <c r="G305" s="204">
        <v>16</v>
      </c>
      <c r="H305" s="204">
        <v>0.01</v>
      </c>
      <c r="I305" s="204">
        <v>0</v>
      </c>
      <c r="J305" s="204">
        <v>0</v>
      </c>
      <c r="K305" s="266">
        <v>5</v>
      </c>
      <c r="L305" s="204">
        <v>0</v>
      </c>
      <c r="M305" s="204" t="s">
        <v>405</v>
      </c>
      <c r="N305" s="204">
        <f t="shared" si="96"/>
        <v>1</v>
      </c>
      <c r="O305" s="204"/>
      <c r="P305" s="204"/>
      <c r="R305" s="260" t="s">
        <v>218</v>
      </c>
      <c r="S305" s="260" t="s">
        <v>218</v>
      </c>
      <c r="T305" s="260" t="s">
        <v>218</v>
      </c>
      <c r="U305" s="201" t="s">
        <v>1504</v>
      </c>
    </row>
    <row r="306" s="24" customFormat="1" ht="25.5" outlineLevel="1" spans="1:21">
      <c r="C306" s="201" t="s">
        <v>1506</v>
      </c>
      <c r="D306" s="202" t="s">
        <v>1507</v>
      </c>
      <c r="E306" s="203" t="str">
        <f t="shared" si="97"/>
        <v>5-6</v>
      </c>
      <c r="F306" s="204">
        <f t="shared" si="98"/>
        <v>32</v>
      </c>
      <c r="G306" s="204">
        <v>16</v>
      </c>
      <c r="H306" s="204">
        <v>0.01</v>
      </c>
      <c r="I306" s="204">
        <v>0</v>
      </c>
      <c r="J306" s="204">
        <v>0</v>
      </c>
      <c r="K306" s="266">
        <v>5</v>
      </c>
      <c r="L306" s="204">
        <v>0</v>
      </c>
      <c r="M306" s="204" t="s">
        <v>405</v>
      </c>
      <c r="N306" s="204">
        <f t="shared" si="96"/>
        <v>1</v>
      </c>
      <c r="O306" s="204"/>
      <c r="P306" s="204"/>
      <c r="R306" s="260" t="s">
        <v>218</v>
      </c>
      <c r="S306" s="260" t="s">
        <v>218</v>
      </c>
      <c r="T306" s="260" t="s">
        <v>218</v>
      </c>
      <c r="U306" s="201" t="s">
        <v>1506</v>
      </c>
    </row>
    <row r="307" s="24" customFormat="1" ht="25.5" outlineLevel="1" spans="1:21">
      <c r="C307" s="201" t="s">
        <v>1508</v>
      </c>
      <c r="D307" s="202" t="s">
        <v>1509</v>
      </c>
      <c r="E307" s="203" t="str">
        <f t="shared" si="97"/>
        <v>7-8</v>
      </c>
      <c r="F307" s="204">
        <f t="shared" si="98"/>
        <v>48</v>
      </c>
      <c r="G307" s="204">
        <v>16</v>
      </c>
      <c r="H307" s="204">
        <v>0.01</v>
      </c>
      <c r="I307" s="204">
        <v>0</v>
      </c>
      <c r="J307" s="204">
        <v>0</v>
      </c>
      <c r="K307" s="266">
        <v>5</v>
      </c>
      <c r="L307" s="204">
        <v>0</v>
      </c>
      <c r="M307" s="204" t="s">
        <v>405</v>
      </c>
      <c r="N307" s="204">
        <f t="shared" si="96"/>
        <v>1</v>
      </c>
      <c r="O307" s="204"/>
      <c r="P307" s="204"/>
      <c r="R307" s="260" t="s">
        <v>218</v>
      </c>
      <c r="S307" s="260" t="s">
        <v>218</v>
      </c>
      <c r="T307" s="260" t="s">
        <v>218</v>
      </c>
      <c r="U307" s="201" t="s">
        <v>1508</v>
      </c>
    </row>
    <row r="308" s="24" customFormat="1" ht="25.5" outlineLevel="1" spans="1:21">
      <c r="C308" s="201" t="s">
        <v>1510</v>
      </c>
      <c r="D308" s="202" t="s">
        <v>1511</v>
      </c>
      <c r="E308" s="203" t="str">
        <f t="shared" si="97"/>
        <v>9-10</v>
      </c>
      <c r="F308" s="204">
        <f t="shared" si="98"/>
        <v>64</v>
      </c>
      <c r="G308" s="204">
        <v>16</v>
      </c>
      <c r="H308" s="204">
        <v>0.01</v>
      </c>
      <c r="I308" s="204">
        <v>0</v>
      </c>
      <c r="J308" s="204">
        <v>0</v>
      </c>
      <c r="K308" s="266">
        <v>5</v>
      </c>
      <c r="L308" s="204">
        <v>0</v>
      </c>
      <c r="M308" s="204" t="s">
        <v>405</v>
      </c>
      <c r="N308" s="204">
        <f t="shared" si="96"/>
        <v>1</v>
      </c>
      <c r="O308" s="204"/>
      <c r="P308" s="204"/>
      <c r="R308" s="260" t="s">
        <v>218</v>
      </c>
      <c r="S308" s="260" t="s">
        <v>218</v>
      </c>
      <c r="T308" s="260" t="s">
        <v>218</v>
      </c>
      <c r="U308" s="201" t="s">
        <v>1510</v>
      </c>
    </row>
    <row r="309" s="24" customFormat="1" ht="25.5" outlineLevel="1" spans="1:21">
      <c r="C309" s="201" t="s">
        <v>1512</v>
      </c>
      <c r="D309" s="202" t="s">
        <v>1513</v>
      </c>
      <c r="E309" s="203" t="str">
        <f t="shared" si="97"/>
        <v>11-12</v>
      </c>
      <c r="F309" s="204">
        <f t="shared" si="98"/>
        <v>80</v>
      </c>
      <c r="G309" s="204">
        <v>16</v>
      </c>
      <c r="H309" s="204">
        <v>0.01</v>
      </c>
      <c r="I309" s="204">
        <v>0</v>
      </c>
      <c r="J309" s="204">
        <v>0</v>
      </c>
      <c r="K309" s="266">
        <v>5</v>
      </c>
      <c r="L309" s="204">
        <v>0</v>
      </c>
      <c r="M309" s="204" t="s">
        <v>405</v>
      </c>
      <c r="N309" s="204">
        <f t="shared" si="96"/>
        <v>1</v>
      </c>
      <c r="O309" s="204"/>
      <c r="P309" s="204"/>
      <c r="R309" s="260" t="s">
        <v>218</v>
      </c>
      <c r="S309" s="260" t="s">
        <v>218</v>
      </c>
      <c r="T309" s="260" t="s">
        <v>218</v>
      </c>
      <c r="U309" s="201" t="s">
        <v>1512</v>
      </c>
    </row>
    <row r="310" s="24" customFormat="1" ht="25.5" outlineLevel="1" spans="1:21">
      <c r="C310" s="201" t="s">
        <v>1514</v>
      </c>
      <c r="D310" s="202" t="s">
        <v>1515</v>
      </c>
      <c r="E310" s="203" t="str">
        <f t="shared" si="97"/>
        <v>13-14</v>
      </c>
      <c r="F310" s="204">
        <f t="shared" si="98"/>
        <v>96</v>
      </c>
      <c r="G310" s="204">
        <v>16</v>
      </c>
      <c r="H310" s="204">
        <v>0.01</v>
      </c>
      <c r="I310" s="204">
        <v>0</v>
      </c>
      <c r="J310" s="204">
        <v>0</v>
      </c>
      <c r="K310" s="266">
        <v>5</v>
      </c>
      <c r="L310" s="204">
        <v>0</v>
      </c>
      <c r="M310" s="204" t="s">
        <v>405</v>
      </c>
      <c r="N310" s="204">
        <f t="shared" si="96"/>
        <v>1</v>
      </c>
      <c r="O310" s="204"/>
      <c r="P310" s="204"/>
      <c r="R310" s="260" t="s">
        <v>218</v>
      </c>
      <c r="S310" s="260" t="s">
        <v>218</v>
      </c>
      <c r="T310" s="260" t="s">
        <v>218</v>
      </c>
      <c r="U310" s="201" t="s">
        <v>1514</v>
      </c>
    </row>
    <row r="311" s="24" customFormat="1" ht="25.5" outlineLevel="1" spans="1:21">
      <c r="C311" s="201" t="s">
        <v>1516</v>
      </c>
      <c r="D311" s="202" t="s">
        <v>1517</v>
      </c>
      <c r="E311" s="203" t="str">
        <f t="shared" si="97"/>
        <v>15-16</v>
      </c>
      <c r="F311" s="204">
        <f t="shared" si="98"/>
        <v>112</v>
      </c>
      <c r="G311" s="204">
        <v>16</v>
      </c>
      <c r="H311" s="204">
        <v>0.01</v>
      </c>
      <c r="I311" s="204">
        <v>0</v>
      </c>
      <c r="J311" s="204">
        <v>0</v>
      </c>
      <c r="K311" s="266">
        <v>5</v>
      </c>
      <c r="L311" s="204">
        <v>0</v>
      </c>
      <c r="M311" s="204" t="s">
        <v>405</v>
      </c>
      <c r="N311" s="204">
        <f t="shared" si="96"/>
        <v>1</v>
      </c>
      <c r="O311" s="204"/>
      <c r="P311" s="204"/>
      <c r="R311" s="260" t="s">
        <v>218</v>
      </c>
      <c r="S311" s="260" t="s">
        <v>218</v>
      </c>
      <c r="T311" s="260" t="s">
        <v>218</v>
      </c>
      <c r="U311" s="201" t="s">
        <v>1516</v>
      </c>
    </row>
    <row r="312" s="24" customFormat="1" ht="25.5" outlineLevel="1" spans="1:21">
      <c r="C312" s="201" t="s">
        <v>1518</v>
      </c>
      <c r="D312" s="202" t="s">
        <v>1519</v>
      </c>
      <c r="E312" s="203" t="str">
        <f t="shared" si="97"/>
        <v>17-18</v>
      </c>
      <c r="F312" s="204">
        <f t="shared" si="98"/>
        <v>128</v>
      </c>
      <c r="G312" s="204">
        <v>16</v>
      </c>
      <c r="H312" s="204">
        <v>0.01</v>
      </c>
      <c r="I312" s="204">
        <v>0</v>
      </c>
      <c r="J312" s="204">
        <v>0</v>
      </c>
      <c r="K312" s="266">
        <v>5</v>
      </c>
      <c r="L312" s="204">
        <v>0</v>
      </c>
      <c r="M312" s="204" t="s">
        <v>405</v>
      </c>
      <c r="N312" s="204">
        <f t="shared" si="96"/>
        <v>1</v>
      </c>
      <c r="O312" s="204"/>
      <c r="P312" s="204"/>
      <c r="R312" s="260" t="s">
        <v>218</v>
      </c>
      <c r="S312" s="260" t="s">
        <v>218</v>
      </c>
      <c r="T312" s="260" t="s">
        <v>218</v>
      </c>
      <c r="U312" s="201" t="s">
        <v>1518</v>
      </c>
    </row>
    <row r="313" s="24" customFormat="1" ht="25.5" outlineLevel="1" spans="1:21">
      <c r="C313" s="201" t="s">
        <v>1520</v>
      </c>
      <c r="D313" s="202" t="s">
        <v>1521</v>
      </c>
      <c r="E313" s="203" t="str">
        <f t="shared" si="97"/>
        <v>19-20</v>
      </c>
      <c r="F313" s="204">
        <f t="shared" si="98"/>
        <v>144</v>
      </c>
      <c r="G313" s="204">
        <v>16</v>
      </c>
      <c r="H313" s="204">
        <v>0.01</v>
      </c>
      <c r="I313" s="204">
        <v>0</v>
      </c>
      <c r="J313" s="204">
        <v>0</v>
      </c>
      <c r="K313" s="266">
        <v>5</v>
      </c>
      <c r="L313" s="204">
        <v>0</v>
      </c>
      <c r="M313" s="204" t="s">
        <v>405</v>
      </c>
      <c r="N313" s="204">
        <f t="shared" si="96"/>
        <v>1</v>
      </c>
      <c r="O313" s="204"/>
      <c r="P313" s="204"/>
      <c r="R313" s="260" t="s">
        <v>218</v>
      </c>
      <c r="S313" s="260" t="s">
        <v>218</v>
      </c>
      <c r="T313" s="260" t="s">
        <v>218</v>
      </c>
      <c r="U313" s="201" t="s">
        <v>1520</v>
      </c>
    </row>
    <row r="314" s="25" customFormat="1" ht="15" customHeight="1" spans="1:21">
      <c r="A314" s="41" t="s">
        <v>286</v>
      </c>
      <c r="B314" s="41" t="s">
        <v>1522</v>
      </c>
      <c r="D314" s="255"/>
      <c r="E314" s="256">
        <v>20</v>
      </c>
      <c r="F314" s="257"/>
      <c r="G314" s="257"/>
      <c r="H314" s="257"/>
      <c r="I314" s="257"/>
      <c r="J314" s="257"/>
      <c r="K314" s="257"/>
      <c r="L314" s="257"/>
      <c r="M314" s="257"/>
      <c r="N314" s="43">
        <f>SUM(N315:N324)</f>
        <v>60</v>
      </c>
      <c r="O314" s="265"/>
      <c r="P314" s="265"/>
      <c r="R314" s="258"/>
      <c r="S314" s="258"/>
      <c r="T314" s="258"/>
      <c r="U314" s="258"/>
    </row>
    <row r="315" s="24" customFormat="1" ht="25.5" outlineLevel="1" spans="1:21">
      <c r="C315" s="207" t="s">
        <v>1523</v>
      </c>
      <c r="D315" s="202" t="s">
        <v>1524</v>
      </c>
      <c r="E315" s="203" t="str">
        <f t="shared" ref="E315:E324" si="99">IF(INT((F315+G315-1)/8)+1=INT(F315/8)+1,INT(F315/8)+1,INT(F315/8)+1&amp;"-"&amp;INT((F315+G315-1)/8)+1)</f>
        <v>1-2</v>
      </c>
      <c r="F315" s="204">
        <v>0</v>
      </c>
      <c r="G315" s="204">
        <v>16</v>
      </c>
      <c r="H315" s="204">
        <v>0.1</v>
      </c>
      <c r="I315" s="204">
        <v>0</v>
      </c>
      <c r="J315" s="204">
        <v>0</v>
      </c>
      <c r="K315" s="204">
        <f>(POWER(2,G315)-1)*H315+I315</f>
        <v>6553.5</v>
      </c>
      <c r="L315" s="204">
        <v>0</v>
      </c>
      <c r="M315" s="204" t="s">
        <v>416</v>
      </c>
      <c r="N315" s="204">
        <f t="shared" si="96"/>
        <v>6</v>
      </c>
      <c r="O315" s="204"/>
      <c r="P315" s="204"/>
      <c r="R315" s="260" t="s">
        <v>218</v>
      </c>
      <c r="S315" s="260" t="s">
        <v>218</v>
      </c>
      <c r="T315" s="260" t="s">
        <v>218</v>
      </c>
      <c r="U315" s="207" t="s">
        <v>1523</v>
      </c>
    </row>
    <row r="316" s="24" customFormat="1" ht="25.5" outlineLevel="1" spans="1:21">
      <c r="C316" s="207" t="s">
        <v>1525</v>
      </c>
      <c r="D316" s="202" t="s">
        <v>1526</v>
      </c>
      <c r="E316" s="203" t="str">
        <f t="shared" si="99"/>
        <v>3-4</v>
      </c>
      <c r="F316" s="204">
        <f t="shared" ref="F316:F324" si="100">F315+G315</f>
        <v>16</v>
      </c>
      <c r="G316" s="204">
        <v>16</v>
      </c>
      <c r="H316" s="204">
        <v>0.1</v>
      </c>
      <c r="I316" s="204">
        <v>0</v>
      </c>
      <c r="J316" s="204">
        <v>0</v>
      </c>
      <c r="K316" s="204">
        <f t="shared" ref="K316:K324" si="101">(POWER(2,G316)-1)*H316+I316</f>
        <v>6553.5</v>
      </c>
      <c r="L316" s="204">
        <v>0</v>
      </c>
      <c r="M316" s="204" t="s">
        <v>416</v>
      </c>
      <c r="N316" s="204">
        <f t="shared" si="96"/>
        <v>6</v>
      </c>
      <c r="O316" s="204"/>
      <c r="P316" s="204"/>
      <c r="R316" s="260" t="s">
        <v>218</v>
      </c>
      <c r="S316" s="260" t="s">
        <v>218</v>
      </c>
      <c r="T316" s="260" t="s">
        <v>218</v>
      </c>
      <c r="U316" s="207" t="s">
        <v>1525</v>
      </c>
    </row>
    <row r="317" s="24" customFormat="1" ht="25.5" outlineLevel="1" spans="1:21">
      <c r="C317" s="207" t="s">
        <v>1527</v>
      </c>
      <c r="D317" s="202" t="s">
        <v>1528</v>
      </c>
      <c r="E317" s="203" t="str">
        <f t="shared" si="99"/>
        <v>5-6</v>
      </c>
      <c r="F317" s="204">
        <f t="shared" si="100"/>
        <v>32</v>
      </c>
      <c r="G317" s="204">
        <v>16</v>
      </c>
      <c r="H317" s="204">
        <v>0.1</v>
      </c>
      <c r="I317" s="204">
        <v>0</v>
      </c>
      <c r="J317" s="204">
        <v>0</v>
      </c>
      <c r="K317" s="204">
        <f t="shared" si="101"/>
        <v>6553.5</v>
      </c>
      <c r="L317" s="204">
        <v>0</v>
      </c>
      <c r="M317" s="204" t="s">
        <v>416</v>
      </c>
      <c r="N317" s="204">
        <f t="shared" si="96"/>
        <v>6</v>
      </c>
      <c r="O317" s="204"/>
      <c r="P317" s="204"/>
      <c r="R317" s="260" t="s">
        <v>218</v>
      </c>
      <c r="S317" s="260" t="s">
        <v>218</v>
      </c>
      <c r="T317" s="260" t="s">
        <v>218</v>
      </c>
      <c r="U317" s="207" t="s">
        <v>1527</v>
      </c>
    </row>
    <row r="318" s="24" customFormat="1" ht="25.5" outlineLevel="1" spans="1:21">
      <c r="C318" s="207" t="s">
        <v>1529</v>
      </c>
      <c r="D318" s="202" t="s">
        <v>1530</v>
      </c>
      <c r="E318" s="203" t="str">
        <f t="shared" si="99"/>
        <v>7-8</v>
      </c>
      <c r="F318" s="204">
        <f t="shared" si="100"/>
        <v>48</v>
      </c>
      <c r="G318" s="204">
        <v>16</v>
      </c>
      <c r="H318" s="204">
        <v>0.1</v>
      </c>
      <c r="I318" s="204">
        <v>0</v>
      </c>
      <c r="J318" s="204">
        <v>0</v>
      </c>
      <c r="K318" s="204">
        <f t="shared" si="101"/>
        <v>6553.5</v>
      </c>
      <c r="L318" s="204">
        <v>0</v>
      </c>
      <c r="M318" s="204" t="s">
        <v>416</v>
      </c>
      <c r="N318" s="204">
        <f t="shared" si="96"/>
        <v>6</v>
      </c>
      <c r="O318" s="204"/>
      <c r="P318" s="204"/>
      <c r="R318" s="260" t="s">
        <v>218</v>
      </c>
      <c r="S318" s="260" t="s">
        <v>218</v>
      </c>
      <c r="T318" s="260" t="s">
        <v>218</v>
      </c>
      <c r="U318" s="207" t="s">
        <v>1529</v>
      </c>
    </row>
    <row r="319" s="24" customFormat="1" ht="25.5" outlineLevel="1" spans="1:21">
      <c r="C319" s="207" t="s">
        <v>1531</v>
      </c>
      <c r="D319" s="202" t="s">
        <v>1532</v>
      </c>
      <c r="E319" s="203" t="str">
        <f t="shared" si="99"/>
        <v>9-10</v>
      </c>
      <c r="F319" s="204">
        <f t="shared" si="100"/>
        <v>64</v>
      </c>
      <c r="G319" s="204">
        <v>16</v>
      </c>
      <c r="H319" s="204">
        <v>0.1</v>
      </c>
      <c r="I319" s="204">
        <v>0</v>
      </c>
      <c r="J319" s="204">
        <v>0</v>
      </c>
      <c r="K319" s="204">
        <f t="shared" si="101"/>
        <v>6553.5</v>
      </c>
      <c r="L319" s="204">
        <v>0</v>
      </c>
      <c r="M319" s="204" t="s">
        <v>416</v>
      </c>
      <c r="N319" s="204">
        <f t="shared" si="96"/>
        <v>6</v>
      </c>
      <c r="O319" s="204"/>
      <c r="P319" s="204"/>
      <c r="R319" s="260" t="s">
        <v>218</v>
      </c>
      <c r="S319" s="260" t="s">
        <v>218</v>
      </c>
      <c r="T319" s="260" t="s">
        <v>218</v>
      </c>
      <c r="U319" s="207" t="s">
        <v>1531</v>
      </c>
    </row>
    <row r="320" s="24" customFormat="1" ht="25.5" outlineLevel="1" spans="1:21">
      <c r="C320" s="207" t="s">
        <v>1533</v>
      </c>
      <c r="D320" s="202" t="s">
        <v>1534</v>
      </c>
      <c r="E320" s="203" t="str">
        <f t="shared" si="99"/>
        <v>11-12</v>
      </c>
      <c r="F320" s="204">
        <f t="shared" si="100"/>
        <v>80</v>
      </c>
      <c r="G320" s="204">
        <v>16</v>
      </c>
      <c r="H320" s="204">
        <v>0.1</v>
      </c>
      <c r="I320" s="204">
        <v>0</v>
      </c>
      <c r="J320" s="204">
        <v>0</v>
      </c>
      <c r="K320" s="204">
        <f t="shared" si="101"/>
        <v>6553.5</v>
      </c>
      <c r="L320" s="204">
        <v>0</v>
      </c>
      <c r="M320" s="204" t="s">
        <v>416</v>
      </c>
      <c r="N320" s="204">
        <f t="shared" si="96"/>
        <v>6</v>
      </c>
      <c r="O320" s="204"/>
      <c r="P320" s="204"/>
      <c r="R320" s="260" t="s">
        <v>218</v>
      </c>
      <c r="S320" s="260" t="s">
        <v>218</v>
      </c>
      <c r="T320" s="260" t="s">
        <v>218</v>
      </c>
      <c r="U320" s="207" t="s">
        <v>1533</v>
      </c>
    </row>
    <row r="321" s="24" customFormat="1" ht="25.5" outlineLevel="1" spans="1:21">
      <c r="C321" s="207" t="s">
        <v>1535</v>
      </c>
      <c r="D321" s="202" t="s">
        <v>1536</v>
      </c>
      <c r="E321" s="203" t="str">
        <f t="shared" si="99"/>
        <v>13-14</v>
      </c>
      <c r="F321" s="204">
        <f t="shared" si="100"/>
        <v>96</v>
      </c>
      <c r="G321" s="204">
        <v>16</v>
      </c>
      <c r="H321" s="204">
        <v>0.1</v>
      </c>
      <c r="I321" s="204">
        <v>0</v>
      </c>
      <c r="J321" s="204">
        <v>0</v>
      </c>
      <c r="K321" s="204">
        <f t="shared" si="101"/>
        <v>6553.5</v>
      </c>
      <c r="L321" s="204">
        <v>0</v>
      </c>
      <c r="M321" s="204" t="s">
        <v>416</v>
      </c>
      <c r="N321" s="204">
        <f t="shared" si="96"/>
        <v>6</v>
      </c>
      <c r="O321" s="204"/>
      <c r="P321" s="204"/>
      <c r="R321" s="260" t="s">
        <v>218</v>
      </c>
      <c r="S321" s="260" t="s">
        <v>218</v>
      </c>
      <c r="T321" s="260" t="s">
        <v>218</v>
      </c>
      <c r="U321" s="207" t="s">
        <v>1535</v>
      </c>
    </row>
    <row r="322" s="24" customFormat="1" ht="26" customHeight="1" outlineLevel="1" collapsed="1" spans="1:21">
      <c r="C322" s="207" t="s">
        <v>1537</v>
      </c>
      <c r="D322" s="202" t="s">
        <v>1538</v>
      </c>
      <c r="E322" s="203" t="str">
        <f t="shared" si="99"/>
        <v>15-16</v>
      </c>
      <c r="F322" s="204">
        <f t="shared" si="100"/>
        <v>112</v>
      </c>
      <c r="G322" s="204">
        <v>16</v>
      </c>
      <c r="H322" s="204">
        <v>0.1</v>
      </c>
      <c r="I322" s="204">
        <v>0</v>
      </c>
      <c r="J322" s="204">
        <v>0</v>
      </c>
      <c r="K322" s="204">
        <f t="shared" si="101"/>
        <v>6553.5</v>
      </c>
      <c r="L322" s="204">
        <v>0</v>
      </c>
      <c r="M322" s="204" t="s">
        <v>416</v>
      </c>
      <c r="N322" s="204">
        <f t="shared" si="96"/>
        <v>6</v>
      </c>
      <c r="O322" s="204"/>
      <c r="P322" s="204"/>
      <c r="R322" s="260" t="s">
        <v>218</v>
      </c>
      <c r="S322" s="260" t="s">
        <v>218</v>
      </c>
      <c r="T322" s="260" t="s">
        <v>218</v>
      </c>
      <c r="U322" s="207" t="s">
        <v>1537</v>
      </c>
    </row>
    <row r="323" s="24" customFormat="1" ht="25.5" outlineLevel="1" spans="1:21">
      <c r="C323" s="207" t="s">
        <v>1539</v>
      </c>
      <c r="D323" s="202" t="s">
        <v>1540</v>
      </c>
      <c r="E323" s="203" t="str">
        <f t="shared" si="99"/>
        <v>17-18</v>
      </c>
      <c r="F323" s="204">
        <f t="shared" si="100"/>
        <v>128</v>
      </c>
      <c r="G323" s="204">
        <v>16</v>
      </c>
      <c r="H323" s="204">
        <v>0.1</v>
      </c>
      <c r="I323" s="204">
        <v>0</v>
      </c>
      <c r="J323" s="204">
        <v>0</v>
      </c>
      <c r="K323" s="204">
        <f t="shared" si="101"/>
        <v>6553.5</v>
      </c>
      <c r="L323" s="204">
        <v>0</v>
      </c>
      <c r="M323" s="204" t="s">
        <v>416</v>
      </c>
      <c r="N323" s="204">
        <f t="shared" si="96"/>
        <v>6</v>
      </c>
      <c r="O323" s="204"/>
      <c r="P323" s="204"/>
      <c r="R323" s="260" t="s">
        <v>218</v>
      </c>
      <c r="S323" s="260" t="s">
        <v>218</v>
      </c>
      <c r="T323" s="260" t="s">
        <v>218</v>
      </c>
      <c r="U323" s="207" t="s">
        <v>1539</v>
      </c>
    </row>
    <row r="324" s="24" customFormat="1" ht="25.5" outlineLevel="1" spans="1:21">
      <c r="C324" s="207" t="s">
        <v>1541</v>
      </c>
      <c r="D324" s="202" t="s">
        <v>1542</v>
      </c>
      <c r="E324" s="203" t="str">
        <f t="shared" si="99"/>
        <v>19-20</v>
      </c>
      <c r="F324" s="204">
        <f t="shared" si="100"/>
        <v>144</v>
      </c>
      <c r="G324" s="204">
        <v>16</v>
      </c>
      <c r="H324" s="204">
        <v>0.1</v>
      </c>
      <c r="I324" s="204">
        <v>0</v>
      </c>
      <c r="J324" s="204">
        <v>0</v>
      </c>
      <c r="K324" s="204">
        <f t="shared" si="101"/>
        <v>6553.5</v>
      </c>
      <c r="L324" s="204">
        <v>0</v>
      </c>
      <c r="M324" s="204" t="s">
        <v>416</v>
      </c>
      <c r="N324" s="204">
        <f t="shared" si="96"/>
        <v>6</v>
      </c>
      <c r="O324" s="204"/>
      <c r="P324" s="204"/>
      <c r="R324" s="260" t="s">
        <v>218</v>
      </c>
      <c r="S324" s="260" t="s">
        <v>218</v>
      </c>
      <c r="T324" s="260" t="s">
        <v>218</v>
      </c>
      <c r="U324" s="207" t="s">
        <v>1541</v>
      </c>
    </row>
    <row r="325" s="25" customFormat="1" ht="15" customHeight="1" spans="1:21">
      <c r="A325" s="41" t="s">
        <v>290</v>
      </c>
      <c r="B325" s="41" t="s">
        <v>1543</v>
      </c>
      <c r="D325" s="255"/>
      <c r="E325" s="256">
        <v>56</v>
      </c>
      <c r="F325" s="257"/>
      <c r="G325" s="257"/>
      <c r="H325" s="257"/>
      <c r="I325" s="257"/>
      <c r="J325" s="257"/>
      <c r="K325" s="257"/>
      <c r="L325" s="257"/>
      <c r="M325" s="257"/>
      <c r="N325" s="43">
        <f>SUM(N326:N353)</f>
        <v>140</v>
      </c>
      <c r="O325" s="265"/>
      <c r="P325" s="265"/>
      <c r="R325" s="258"/>
      <c r="S325" s="258"/>
      <c r="T325" s="258"/>
      <c r="U325" s="258"/>
    </row>
    <row r="326" s="24" customFormat="1" ht="25.5" outlineLevel="1" spans="1:21">
      <c r="C326" s="207" t="s">
        <v>1544</v>
      </c>
      <c r="D326" s="202" t="s">
        <v>1545</v>
      </c>
      <c r="E326" s="203" t="str">
        <f t="shared" ref="E326:E353" si="102">IF(INT((F326+G326-1)/8)+1=INT(F326/8)+1,INT(F326/8)+1,INT(F326/8)+1&amp;"-"&amp;INT((F326+G326-1)/8)+1)</f>
        <v>1-2</v>
      </c>
      <c r="F326" s="204">
        <v>0</v>
      </c>
      <c r="G326" s="204">
        <v>16</v>
      </c>
      <c r="H326" s="204">
        <v>0.1</v>
      </c>
      <c r="I326" s="204">
        <v>-40</v>
      </c>
      <c r="J326" s="204">
        <v>-40</v>
      </c>
      <c r="K326" s="84">
        <v>125.1</v>
      </c>
      <c r="L326" s="204">
        <v>0</v>
      </c>
      <c r="M326" s="204" t="s">
        <v>427</v>
      </c>
      <c r="N326" s="204">
        <f t="shared" si="96"/>
        <v>5</v>
      </c>
      <c r="O326" s="204"/>
      <c r="P326" s="204"/>
      <c r="R326" s="260" t="s">
        <v>218</v>
      </c>
      <c r="S326" s="260" t="s">
        <v>218</v>
      </c>
      <c r="T326" s="260" t="s">
        <v>218</v>
      </c>
      <c r="U326" s="207" t="s">
        <v>1544</v>
      </c>
    </row>
    <row r="327" s="24" customFormat="1" ht="25.5" outlineLevel="1" spans="1:21">
      <c r="C327" s="207" t="s">
        <v>1546</v>
      </c>
      <c r="D327" s="202" t="s">
        <v>1547</v>
      </c>
      <c r="E327" s="203" t="str">
        <f t="shared" si="102"/>
        <v>3-4</v>
      </c>
      <c r="F327" s="204">
        <f t="shared" ref="F327:F353" si="103">F326+G326</f>
        <v>16</v>
      </c>
      <c r="G327" s="204">
        <v>16</v>
      </c>
      <c r="H327" s="204">
        <v>0.1</v>
      </c>
      <c r="I327" s="204">
        <v>-40</v>
      </c>
      <c r="J327" s="204">
        <v>-40</v>
      </c>
      <c r="K327" s="84">
        <v>125.1</v>
      </c>
      <c r="L327" s="204">
        <v>0</v>
      </c>
      <c r="M327" s="204" t="s">
        <v>427</v>
      </c>
      <c r="N327" s="204">
        <f t="shared" si="96"/>
        <v>5</v>
      </c>
      <c r="O327" s="204"/>
      <c r="P327" s="204"/>
      <c r="R327" s="260" t="s">
        <v>218</v>
      </c>
      <c r="S327" s="260" t="s">
        <v>218</v>
      </c>
      <c r="T327" s="260" t="s">
        <v>218</v>
      </c>
      <c r="U327" s="207" t="s">
        <v>1546</v>
      </c>
    </row>
    <row r="328" s="24" customFormat="1" ht="25.5" outlineLevel="1" spans="1:21">
      <c r="C328" s="207" t="s">
        <v>1548</v>
      </c>
      <c r="D328" s="202" t="s">
        <v>1549</v>
      </c>
      <c r="E328" s="203" t="str">
        <f t="shared" si="102"/>
        <v>5-6</v>
      </c>
      <c r="F328" s="204">
        <f t="shared" si="103"/>
        <v>32</v>
      </c>
      <c r="G328" s="204">
        <v>16</v>
      </c>
      <c r="H328" s="204">
        <v>0.1</v>
      </c>
      <c r="I328" s="204">
        <v>-40</v>
      </c>
      <c r="J328" s="204">
        <v>-40</v>
      </c>
      <c r="K328" s="84">
        <v>125.1</v>
      </c>
      <c r="L328" s="204">
        <v>0</v>
      </c>
      <c r="M328" s="204" t="s">
        <v>427</v>
      </c>
      <c r="N328" s="204">
        <f t="shared" si="96"/>
        <v>5</v>
      </c>
      <c r="O328" s="204"/>
      <c r="P328" s="204"/>
      <c r="R328" s="260" t="s">
        <v>218</v>
      </c>
      <c r="S328" s="260" t="s">
        <v>218</v>
      </c>
      <c r="T328" s="260" t="s">
        <v>218</v>
      </c>
      <c r="U328" s="207" t="s">
        <v>1548</v>
      </c>
    </row>
    <row r="329" s="24" customFormat="1" ht="25.5" outlineLevel="1" spans="1:21">
      <c r="C329" s="207" t="s">
        <v>1550</v>
      </c>
      <c r="D329" s="202" t="s">
        <v>1551</v>
      </c>
      <c r="E329" s="203" t="str">
        <f t="shared" si="102"/>
        <v>7-8</v>
      </c>
      <c r="F329" s="204">
        <f t="shared" si="103"/>
        <v>48</v>
      </c>
      <c r="G329" s="204">
        <v>16</v>
      </c>
      <c r="H329" s="204">
        <v>0.1</v>
      </c>
      <c r="I329" s="204">
        <v>-40</v>
      </c>
      <c r="J329" s="204">
        <v>-40</v>
      </c>
      <c r="K329" s="84">
        <v>125.1</v>
      </c>
      <c r="L329" s="204">
        <v>0</v>
      </c>
      <c r="M329" s="204" t="s">
        <v>427</v>
      </c>
      <c r="N329" s="204">
        <f t="shared" si="96"/>
        <v>5</v>
      </c>
      <c r="O329" s="204"/>
      <c r="P329" s="204"/>
      <c r="R329" s="260" t="s">
        <v>218</v>
      </c>
      <c r="S329" s="260" t="s">
        <v>218</v>
      </c>
      <c r="T329" s="260" t="s">
        <v>218</v>
      </c>
      <c r="U329" s="207" t="s">
        <v>1550</v>
      </c>
    </row>
    <row r="330" s="24" customFormat="1" ht="25.5" outlineLevel="1" spans="1:21">
      <c r="C330" s="207" t="s">
        <v>1552</v>
      </c>
      <c r="D330" s="202" t="s">
        <v>1553</v>
      </c>
      <c r="E330" s="203" t="str">
        <f t="shared" si="102"/>
        <v>9-10</v>
      </c>
      <c r="F330" s="204">
        <f t="shared" si="103"/>
        <v>64</v>
      </c>
      <c r="G330" s="204">
        <v>16</v>
      </c>
      <c r="H330" s="204">
        <v>0.1</v>
      </c>
      <c r="I330" s="204">
        <v>-40</v>
      </c>
      <c r="J330" s="204">
        <v>-40</v>
      </c>
      <c r="K330" s="84">
        <v>125.1</v>
      </c>
      <c r="L330" s="204">
        <v>0</v>
      </c>
      <c r="M330" s="204" t="s">
        <v>427</v>
      </c>
      <c r="N330" s="204">
        <f t="shared" si="96"/>
        <v>5</v>
      </c>
      <c r="O330" s="204"/>
      <c r="P330" s="204"/>
      <c r="R330" s="260" t="s">
        <v>218</v>
      </c>
      <c r="S330" s="260" t="s">
        <v>218</v>
      </c>
      <c r="T330" s="260" t="s">
        <v>218</v>
      </c>
      <c r="U330" s="207" t="s">
        <v>1552</v>
      </c>
    </row>
    <row r="331" s="24" customFormat="1" ht="25.5" outlineLevel="1" spans="1:21">
      <c r="C331" s="207" t="s">
        <v>1554</v>
      </c>
      <c r="D331" s="202" t="s">
        <v>1555</v>
      </c>
      <c r="E331" s="203" t="str">
        <f t="shared" si="102"/>
        <v>11-12</v>
      </c>
      <c r="F331" s="204">
        <f t="shared" si="103"/>
        <v>80</v>
      </c>
      <c r="G331" s="204">
        <v>16</v>
      </c>
      <c r="H331" s="204">
        <v>0.1</v>
      </c>
      <c r="I331" s="204">
        <v>-40</v>
      </c>
      <c r="J331" s="204">
        <v>-40</v>
      </c>
      <c r="K331" s="84">
        <v>125.1</v>
      </c>
      <c r="L331" s="204">
        <v>0</v>
      </c>
      <c r="M331" s="204" t="s">
        <v>427</v>
      </c>
      <c r="N331" s="204">
        <f t="shared" si="96"/>
        <v>5</v>
      </c>
      <c r="O331" s="204"/>
      <c r="P331" s="204"/>
      <c r="R331" s="260" t="s">
        <v>218</v>
      </c>
      <c r="S331" s="260" t="s">
        <v>218</v>
      </c>
      <c r="T331" s="260" t="s">
        <v>218</v>
      </c>
      <c r="U331" s="207" t="s">
        <v>1554</v>
      </c>
    </row>
    <row r="332" s="24" customFormat="1" ht="25.5" outlineLevel="1" spans="1:21">
      <c r="C332" s="207" t="s">
        <v>1556</v>
      </c>
      <c r="D332" s="202" t="s">
        <v>1557</v>
      </c>
      <c r="E332" s="203" t="str">
        <f t="shared" si="102"/>
        <v>13-14</v>
      </c>
      <c r="F332" s="204">
        <f t="shared" si="103"/>
        <v>96</v>
      </c>
      <c r="G332" s="204">
        <v>16</v>
      </c>
      <c r="H332" s="204">
        <v>0.1</v>
      </c>
      <c r="I332" s="204">
        <v>-40</v>
      </c>
      <c r="J332" s="204">
        <v>-40</v>
      </c>
      <c r="K332" s="84">
        <v>125.1</v>
      </c>
      <c r="L332" s="204">
        <v>0</v>
      </c>
      <c r="M332" s="204" t="s">
        <v>427</v>
      </c>
      <c r="N332" s="204">
        <f t="shared" si="96"/>
        <v>5</v>
      </c>
      <c r="O332" s="204"/>
      <c r="P332" s="204"/>
      <c r="R332" s="260" t="s">
        <v>218</v>
      </c>
      <c r="S332" s="260" t="s">
        <v>218</v>
      </c>
      <c r="T332" s="260" t="s">
        <v>218</v>
      </c>
      <c r="U332" s="207" t="s">
        <v>1556</v>
      </c>
    </row>
    <row r="333" s="24" customFormat="1" ht="26" customHeight="1" outlineLevel="1" collapsed="1" spans="1:21">
      <c r="C333" s="207" t="s">
        <v>1558</v>
      </c>
      <c r="D333" s="202" t="s">
        <v>1559</v>
      </c>
      <c r="E333" s="203" t="str">
        <f t="shared" si="102"/>
        <v>15-16</v>
      </c>
      <c r="F333" s="204">
        <f t="shared" si="103"/>
        <v>112</v>
      </c>
      <c r="G333" s="204">
        <v>16</v>
      </c>
      <c r="H333" s="204">
        <v>0.1</v>
      </c>
      <c r="I333" s="204">
        <v>-40</v>
      </c>
      <c r="J333" s="204">
        <v>-40</v>
      </c>
      <c r="K333" s="84">
        <v>125.1</v>
      </c>
      <c r="L333" s="204">
        <v>0</v>
      </c>
      <c r="M333" s="204" t="s">
        <v>427</v>
      </c>
      <c r="N333" s="204">
        <f t="shared" si="96"/>
        <v>5</v>
      </c>
      <c r="O333" s="204"/>
      <c r="P333" s="204"/>
      <c r="R333" s="260" t="s">
        <v>218</v>
      </c>
      <c r="S333" s="260" t="s">
        <v>218</v>
      </c>
      <c r="T333" s="260" t="s">
        <v>218</v>
      </c>
      <c r="U333" s="207" t="s">
        <v>1558</v>
      </c>
    </row>
    <row r="334" s="24" customFormat="1" ht="25.5" outlineLevel="1" spans="1:21">
      <c r="C334" s="207" t="s">
        <v>1560</v>
      </c>
      <c r="D334" s="202" t="s">
        <v>1561</v>
      </c>
      <c r="E334" s="203" t="str">
        <f t="shared" si="102"/>
        <v>17-18</v>
      </c>
      <c r="F334" s="204">
        <f t="shared" si="103"/>
        <v>128</v>
      </c>
      <c r="G334" s="204">
        <v>16</v>
      </c>
      <c r="H334" s="204">
        <v>0.1</v>
      </c>
      <c r="I334" s="204">
        <v>-40</v>
      </c>
      <c r="J334" s="204">
        <v>-40</v>
      </c>
      <c r="K334" s="84">
        <v>125.1</v>
      </c>
      <c r="L334" s="204">
        <v>0</v>
      </c>
      <c r="M334" s="204" t="s">
        <v>427</v>
      </c>
      <c r="N334" s="204">
        <f t="shared" si="96"/>
        <v>5</v>
      </c>
      <c r="O334" s="204"/>
      <c r="P334" s="204"/>
      <c r="R334" s="260" t="s">
        <v>218</v>
      </c>
      <c r="S334" s="260" t="s">
        <v>218</v>
      </c>
      <c r="T334" s="260" t="s">
        <v>218</v>
      </c>
      <c r="U334" s="207" t="s">
        <v>1560</v>
      </c>
    </row>
    <row r="335" s="24" customFormat="1" ht="25.5" outlineLevel="1" spans="1:21">
      <c r="C335" s="207" t="s">
        <v>1562</v>
      </c>
      <c r="D335" s="202" t="s">
        <v>1563</v>
      </c>
      <c r="E335" s="203" t="str">
        <f t="shared" si="102"/>
        <v>19-20</v>
      </c>
      <c r="F335" s="204">
        <f t="shared" si="103"/>
        <v>144</v>
      </c>
      <c r="G335" s="204">
        <v>16</v>
      </c>
      <c r="H335" s="204">
        <v>0.1</v>
      </c>
      <c r="I335" s="204">
        <v>-40</v>
      </c>
      <c r="J335" s="204">
        <v>-40</v>
      </c>
      <c r="K335" s="84">
        <v>125.1</v>
      </c>
      <c r="L335" s="204">
        <v>0</v>
      </c>
      <c r="M335" s="204" t="s">
        <v>427</v>
      </c>
      <c r="N335" s="204">
        <f t="shared" si="96"/>
        <v>5</v>
      </c>
      <c r="O335" s="204"/>
      <c r="P335" s="204"/>
      <c r="R335" s="260" t="s">
        <v>218</v>
      </c>
      <c r="S335" s="260" t="s">
        <v>218</v>
      </c>
      <c r="T335" s="260" t="s">
        <v>218</v>
      </c>
      <c r="U335" s="207" t="s">
        <v>1562</v>
      </c>
    </row>
    <row r="336" s="24" customFormat="1" ht="25.5" outlineLevel="1" spans="1:21">
      <c r="C336" s="207" t="s">
        <v>1564</v>
      </c>
      <c r="D336" s="202" t="s">
        <v>1565</v>
      </c>
      <c r="E336" s="203" t="str">
        <f t="shared" si="102"/>
        <v>21-22</v>
      </c>
      <c r="F336" s="204">
        <f t="shared" si="103"/>
        <v>160</v>
      </c>
      <c r="G336" s="204">
        <v>16</v>
      </c>
      <c r="H336" s="204">
        <v>0.1</v>
      </c>
      <c r="I336" s="204">
        <v>-40</v>
      </c>
      <c r="J336" s="204">
        <v>-40</v>
      </c>
      <c r="K336" s="84">
        <v>125.1</v>
      </c>
      <c r="L336" s="204">
        <v>0</v>
      </c>
      <c r="M336" s="204" t="s">
        <v>427</v>
      </c>
      <c r="N336" s="204">
        <f t="shared" si="96"/>
        <v>5</v>
      </c>
      <c r="O336" s="204"/>
      <c r="P336" s="204"/>
      <c r="R336" s="260" t="s">
        <v>218</v>
      </c>
      <c r="S336" s="260" t="s">
        <v>218</v>
      </c>
      <c r="T336" s="260" t="s">
        <v>218</v>
      </c>
      <c r="U336" s="207" t="s">
        <v>1564</v>
      </c>
    </row>
    <row r="337" s="24" customFormat="1" ht="25.5" outlineLevel="1" spans="3:21">
      <c r="C337" s="207" t="s">
        <v>1566</v>
      </c>
      <c r="D337" s="202" t="s">
        <v>1567</v>
      </c>
      <c r="E337" s="203" t="str">
        <f t="shared" si="102"/>
        <v>23-24</v>
      </c>
      <c r="F337" s="204">
        <f t="shared" si="103"/>
        <v>176</v>
      </c>
      <c r="G337" s="204">
        <v>16</v>
      </c>
      <c r="H337" s="204">
        <v>0.1</v>
      </c>
      <c r="I337" s="204">
        <v>-40</v>
      </c>
      <c r="J337" s="204">
        <v>-40</v>
      </c>
      <c r="K337" s="84">
        <v>125.1</v>
      </c>
      <c r="L337" s="204">
        <v>0</v>
      </c>
      <c r="M337" s="204" t="s">
        <v>427</v>
      </c>
      <c r="N337" s="204">
        <f t="shared" si="96"/>
        <v>5</v>
      </c>
      <c r="O337" s="204"/>
      <c r="P337" s="204"/>
      <c r="R337" s="260" t="s">
        <v>218</v>
      </c>
      <c r="S337" s="260" t="s">
        <v>218</v>
      </c>
      <c r="T337" s="260" t="s">
        <v>218</v>
      </c>
      <c r="U337" s="207" t="s">
        <v>1566</v>
      </c>
    </row>
    <row r="338" s="24" customFormat="1" ht="25.5" outlineLevel="1" spans="3:21">
      <c r="C338" s="207" t="s">
        <v>1568</v>
      </c>
      <c r="D338" s="202" t="s">
        <v>1569</v>
      </c>
      <c r="E338" s="203" t="str">
        <f t="shared" si="102"/>
        <v>25-26</v>
      </c>
      <c r="F338" s="204">
        <f t="shared" si="103"/>
        <v>192</v>
      </c>
      <c r="G338" s="204">
        <v>16</v>
      </c>
      <c r="H338" s="204">
        <v>0.1</v>
      </c>
      <c r="I338" s="204">
        <v>-40</v>
      </c>
      <c r="J338" s="204">
        <v>-40</v>
      </c>
      <c r="K338" s="84">
        <v>125.1</v>
      </c>
      <c r="L338" s="204">
        <v>0</v>
      </c>
      <c r="M338" s="204" t="s">
        <v>427</v>
      </c>
      <c r="N338" s="204">
        <f t="shared" si="96"/>
        <v>5</v>
      </c>
      <c r="O338" s="204"/>
      <c r="P338" s="204"/>
      <c r="R338" s="260" t="s">
        <v>218</v>
      </c>
      <c r="S338" s="260" t="s">
        <v>218</v>
      </c>
      <c r="T338" s="260" t="s">
        <v>218</v>
      </c>
      <c r="U338" s="207" t="s">
        <v>1568</v>
      </c>
    </row>
    <row r="339" s="24" customFormat="1" ht="25.5" outlineLevel="1" spans="3:21">
      <c r="C339" s="207" t="s">
        <v>1570</v>
      </c>
      <c r="D339" s="202" t="s">
        <v>1571</v>
      </c>
      <c r="E339" s="203" t="str">
        <f t="shared" si="102"/>
        <v>27-28</v>
      </c>
      <c r="F339" s="204">
        <f t="shared" si="103"/>
        <v>208</v>
      </c>
      <c r="G339" s="204">
        <v>16</v>
      </c>
      <c r="H339" s="204">
        <v>0.1</v>
      </c>
      <c r="I339" s="204">
        <v>-40</v>
      </c>
      <c r="J339" s="204">
        <v>-40</v>
      </c>
      <c r="K339" s="84">
        <v>125.1</v>
      </c>
      <c r="L339" s="204">
        <v>0</v>
      </c>
      <c r="M339" s="204" t="s">
        <v>427</v>
      </c>
      <c r="N339" s="204">
        <f t="shared" si="96"/>
        <v>5</v>
      </c>
      <c r="O339" s="204"/>
      <c r="P339" s="204"/>
      <c r="R339" s="260" t="s">
        <v>218</v>
      </c>
      <c r="S339" s="260" t="s">
        <v>218</v>
      </c>
      <c r="T339" s="260" t="s">
        <v>218</v>
      </c>
      <c r="U339" s="207" t="s">
        <v>1570</v>
      </c>
    </row>
    <row r="340" s="24" customFormat="1" ht="25.5" outlineLevel="1" spans="3:21">
      <c r="C340" s="207" t="s">
        <v>1572</v>
      </c>
      <c r="D340" s="202" t="s">
        <v>1573</v>
      </c>
      <c r="E340" s="203" t="str">
        <f t="shared" si="102"/>
        <v>29-30</v>
      </c>
      <c r="F340" s="204">
        <f t="shared" si="103"/>
        <v>224</v>
      </c>
      <c r="G340" s="204">
        <v>16</v>
      </c>
      <c r="H340" s="204">
        <v>0.1</v>
      </c>
      <c r="I340" s="204">
        <v>-40</v>
      </c>
      <c r="J340" s="204">
        <v>-40</v>
      </c>
      <c r="K340" s="84">
        <v>125.1</v>
      </c>
      <c r="L340" s="204">
        <v>0</v>
      </c>
      <c r="M340" s="204" t="s">
        <v>427</v>
      </c>
      <c r="N340" s="204">
        <f t="shared" si="96"/>
        <v>5</v>
      </c>
      <c r="O340" s="204"/>
      <c r="P340" s="204"/>
      <c r="R340" s="260" t="s">
        <v>218</v>
      </c>
      <c r="S340" s="260" t="s">
        <v>218</v>
      </c>
      <c r="T340" s="260" t="s">
        <v>218</v>
      </c>
      <c r="U340" s="207" t="s">
        <v>1572</v>
      </c>
    </row>
    <row r="341" s="24" customFormat="1" ht="25.5" outlineLevel="1" spans="3:21">
      <c r="C341" s="207" t="s">
        <v>1574</v>
      </c>
      <c r="D341" s="202" t="s">
        <v>1575</v>
      </c>
      <c r="E341" s="203" t="str">
        <f t="shared" si="102"/>
        <v>31-32</v>
      </c>
      <c r="F341" s="204">
        <f t="shared" si="103"/>
        <v>240</v>
      </c>
      <c r="G341" s="204">
        <v>16</v>
      </c>
      <c r="H341" s="204">
        <v>0.1</v>
      </c>
      <c r="I341" s="204">
        <v>-40</v>
      </c>
      <c r="J341" s="204">
        <v>-40</v>
      </c>
      <c r="K341" s="84">
        <v>125.1</v>
      </c>
      <c r="L341" s="204">
        <v>0</v>
      </c>
      <c r="M341" s="204" t="s">
        <v>427</v>
      </c>
      <c r="N341" s="204">
        <f t="shared" si="96"/>
        <v>5</v>
      </c>
      <c r="O341" s="204"/>
      <c r="P341" s="204"/>
      <c r="R341" s="260" t="s">
        <v>218</v>
      </c>
      <c r="S341" s="260" t="s">
        <v>218</v>
      </c>
      <c r="T341" s="260" t="s">
        <v>218</v>
      </c>
      <c r="U341" s="207" t="s">
        <v>1574</v>
      </c>
    </row>
    <row r="342" s="24" customFormat="1" ht="25.5" outlineLevel="1" spans="3:21">
      <c r="C342" s="207" t="s">
        <v>1576</v>
      </c>
      <c r="D342" s="202" t="s">
        <v>1577</v>
      </c>
      <c r="E342" s="203" t="str">
        <f t="shared" si="102"/>
        <v>33-34</v>
      </c>
      <c r="F342" s="204">
        <f t="shared" si="103"/>
        <v>256</v>
      </c>
      <c r="G342" s="204">
        <v>16</v>
      </c>
      <c r="H342" s="204">
        <v>0.1</v>
      </c>
      <c r="I342" s="204">
        <v>-40</v>
      </c>
      <c r="J342" s="204">
        <v>-40</v>
      </c>
      <c r="K342" s="84">
        <v>125.1</v>
      </c>
      <c r="L342" s="204">
        <v>0</v>
      </c>
      <c r="M342" s="204" t="s">
        <v>427</v>
      </c>
      <c r="N342" s="204">
        <f t="shared" si="96"/>
        <v>5</v>
      </c>
      <c r="O342" s="204"/>
      <c r="P342" s="204"/>
      <c r="R342" s="260" t="s">
        <v>218</v>
      </c>
      <c r="S342" s="260" t="s">
        <v>218</v>
      </c>
      <c r="T342" s="260" t="s">
        <v>218</v>
      </c>
      <c r="U342" s="207" t="s">
        <v>1576</v>
      </c>
    </row>
    <row r="343" s="24" customFormat="1" ht="25.5" outlineLevel="1" spans="3:21">
      <c r="C343" s="207" t="s">
        <v>1578</v>
      </c>
      <c r="D343" s="202" t="s">
        <v>1579</v>
      </c>
      <c r="E343" s="203" t="str">
        <f t="shared" si="102"/>
        <v>35-36</v>
      </c>
      <c r="F343" s="204">
        <f t="shared" si="103"/>
        <v>272</v>
      </c>
      <c r="G343" s="204">
        <v>16</v>
      </c>
      <c r="H343" s="204">
        <v>0.1</v>
      </c>
      <c r="I343" s="204">
        <v>-40</v>
      </c>
      <c r="J343" s="204">
        <v>-40</v>
      </c>
      <c r="K343" s="84">
        <v>125.1</v>
      </c>
      <c r="L343" s="204">
        <v>0</v>
      </c>
      <c r="M343" s="204" t="s">
        <v>427</v>
      </c>
      <c r="N343" s="204">
        <f t="shared" si="96"/>
        <v>5</v>
      </c>
      <c r="O343" s="204"/>
      <c r="P343" s="204"/>
      <c r="R343" s="260" t="s">
        <v>218</v>
      </c>
      <c r="S343" s="260" t="s">
        <v>218</v>
      </c>
      <c r="T343" s="260" t="s">
        <v>218</v>
      </c>
      <c r="U343" s="207" t="s">
        <v>1578</v>
      </c>
    </row>
    <row r="344" s="24" customFormat="1" ht="26" customHeight="1" outlineLevel="1" collapsed="1" spans="3:21">
      <c r="C344" s="207" t="s">
        <v>1580</v>
      </c>
      <c r="D344" s="202" t="s">
        <v>1581</v>
      </c>
      <c r="E344" s="203" t="str">
        <f t="shared" si="102"/>
        <v>37-38</v>
      </c>
      <c r="F344" s="204">
        <f t="shared" si="103"/>
        <v>288</v>
      </c>
      <c r="G344" s="204">
        <v>16</v>
      </c>
      <c r="H344" s="204">
        <v>0.1</v>
      </c>
      <c r="I344" s="204">
        <v>-40</v>
      </c>
      <c r="J344" s="204">
        <v>-40</v>
      </c>
      <c r="K344" s="84">
        <v>125.1</v>
      </c>
      <c r="L344" s="204">
        <v>0</v>
      </c>
      <c r="M344" s="204" t="s">
        <v>427</v>
      </c>
      <c r="N344" s="204">
        <f t="shared" si="96"/>
        <v>5</v>
      </c>
      <c r="O344" s="204"/>
      <c r="P344" s="204"/>
      <c r="R344" s="260" t="s">
        <v>218</v>
      </c>
      <c r="S344" s="260" t="s">
        <v>218</v>
      </c>
      <c r="T344" s="260" t="s">
        <v>218</v>
      </c>
      <c r="U344" s="207" t="s">
        <v>1580</v>
      </c>
    </row>
    <row r="345" s="24" customFormat="1" ht="25.5" outlineLevel="1" spans="3:21">
      <c r="C345" s="207" t="s">
        <v>1582</v>
      </c>
      <c r="D345" s="202" t="s">
        <v>1583</v>
      </c>
      <c r="E345" s="203" t="str">
        <f t="shared" si="102"/>
        <v>39-40</v>
      </c>
      <c r="F345" s="204">
        <f t="shared" si="103"/>
        <v>304</v>
      </c>
      <c r="G345" s="204">
        <v>16</v>
      </c>
      <c r="H345" s="204">
        <v>0.1</v>
      </c>
      <c r="I345" s="204">
        <v>-40</v>
      </c>
      <c r="J345" s="204">
        <v>-40</v>
      </c>
      <c r="K345" s="84">
        <v>125.1</v>
      </c>
      <c r="L345" s="204">
        <v>0</v>
      </c>
      <c r="M345" s="204" t="s">
        <v>427</v>
      </c>
      <c r="N345" s="204">
        <f t="shared" si="96"/>
        <v>5</v>
      </c>
      <c r="O345" s="204"/>
      <c r="P345" s="204"/>
      <c r="R345" s="260" t="s">
        <v>218</v>
      </c>
      <c r="S345" s="260" t="s">
        <v>218</v>
      </c>
      <c r="T345" s="260" t="s">
        <v>218</v>
      </c>
      <c r="U345" s="207" t="s">
        <v>1582</v>
      </c>
    </row>
    <row r="346" s="24" customFormat="1" ht="25.5" outlineLevel="1" spans="3:21">
      <c r="C346" s="207" t="s">
        <v>1584</v>
      </c>
      <c r="D346" s="202" t="s">
        <v>1585</v>
      </c>
      <c r="E346" s="203" t="str">
        <f t="shared" si="102"/>
        <v>41-42</v>
      </c>
      <c r="F346" s="204">
        <f t="shared" si="103"/>
        <v>320</v>
      </c>
      <c r="G346" s="204">
        <v>16</v>
      </c>
      <c r="H346" s="204">
        <v>0.1</v>
      </c>
      <c r="I346" s="204">
        <v>-40</v>
      </c>
      <c r="J346" s="204">
        <v>-40</v>
      </c>
      <c r="K346" s="84">
        <v>125.1</v>
      </c>
      <c r="L346" s="204">
        <v>0</v>
      </c>
      <c r="M346" s="204" t="s">
        <v>427</v>
      </c>
      <c r="N346" s="204">
        <f t="shared" si="96"/>
        <v>5</v>
      </c>
      <c r="O346" s="204"/>
      <c r="P346" s="204"/>
      <c r="R346" s="260" t="s">
        <v>218</v>
      </c>
      <c r="S346" s="260" t="s">
        <v>218</v>
      </c>
      <c r="T346" s="260" t="s">
        <v>218</v>
      </c>
      <c r="U346" s="207" t="s">
        <v>1584</v>
      </c>
    </row>
    <row r="347" s="24" customFormat="1" ht="25.5" outlineLevel="1" spans="3:21">
      <c r="C347" s="207" t="s">
        <v>1586</v>
      </c>
      <c r="D347" s="202" t="s">
        <v>1587</v>
      </c>
      <c r="E347" s="203" t="str">
        <f t="shared" si="102"/>
        <v>43-44</v>
      </c>
      <c r="F347" s="204">
        <f t="shared" si="103"/>
        <v>336</v>
      </c>
      <c r="G347" s="204">
        <v>16</v>
      </c>
      <c r="H347" s="204">
        <v>0.1</v>
      </c>
      <c r="I347" s="204">
        <v>-40</v>
      </c>
      <c r="J347" s="204">
        <v>-40</v>
      </c>
      <c r="K347" s="84">
        <v>125.1</v>
      </c>
      <c r="L347" s="204">
        <v>0</v>
      </c>
      <c r="M347" s="204" t="s">
        <v>427</v>
      </c>
      <c r="N347" s="204">
        <f t="shared" si="96"/>
        <v>5</v>
      </c>
      <c r="O347" s="204"/>
      <c r="P347" s="204"/>
      <c r="R347" s="260" t="s">
        <v>218</v>
      </c>
      <c r="S347" s="260" t="s">
        <v>218</v>
      </c>
      <c r="T347" s="260" t="s">
        <v>218</v>
      </c>
      <c r="U347" s="207" t="s">
        <v>1586</v>
      </c>
    </row>
    <row r="348" s="24" customFormat="1" ht="25.5" outlineLevel="1" spans="3:21">
      <c r="C348" s="207" t="s">
        <v>1588</v>
      </c>
      <c r="D348" s="202" t="s">
        <v>1589</v>
      </c>
      <c r="E348" s="203" t="str">
        <f t="shared" si="102"/>
        <v>45-46</v>
      </c>
      <c r="F348" s="204">
        <f t="shared" si="103"/>
        <v>352</v>
      </c>
      <c r="G348" s="204">
        <v>16</v>
      </c>
      <c r="H348" s="204">
        <v>0.1</v>
      </c>
      <c r="I348" s="204">
        <v>-40</v>
      </c>
      <c r="J348" s="204">
        <v>-40</v>
      </c>
      <c r="K348" s="84">
        <v>125.1</v>
      </c>
      <c r="L348" s="204">
        <v>0</v>
      </c>
      <c r="M348" s="204" t="s">
        <v>427</v>
      </c>
      <c r="N348" s="204">
        <f t="shared" si="96"/>
        <v>5</v>
      </c>
      <c r="O348" s="204"/>
      <c r="P348" s="204"/>
      <c r="R348" s="260" t="s">
        <v>218</v>
      </c>
      <c r="S348" s="260" t="s">
        <v>218</v>
      </c>
      <c r="T348" s="260" t="s">
        <v>218</v>
      </c>
      <c r="U348" s="207" t="s">
        <v>1588</v>
      </c>
    </row>
    <row r="349" s="24" customFormat="1" ht="25.5" outlineLevel="1" spans="3:21">
      <c r="C349" s="207" t="s">
        <v>1590</v>
      </c>
      <c r="D349" s="202" t="s">
        <v>1591</v>
      </c>
      <c r="E349" s="203" t="str">
        <f t="shared" si="102"/>
        <v>47-48</v>
      </c>
      <c r="F349" s="204">
        <f t="shared" si="103"/>
        <v>368</v>
      </c>
      <c r="G349" s="204">
        <v>16</v>
      </c>
      <c r="H349" s="204">
        <v>0.1</v>
      </c>
      <c r="I349" s="204">
        <v>-40</v>
      </c>
      <c r="J349" s="204">
        <v>-40</v>
      </c>
      <c r="K349" s="84">
        <v>125.1</v>
      </c>
      <c r="L349" s="204">
        <v>0</v>
      </c>
      <c r="M349" s="204" t="s">
        <v>427</v>
      </c>
      <c r="N349" s="204">
        <f t="shared" si="96"/>
        <v>5</v>
      </c>
      <c r="O349" s="204"/>
      <c r="P349" s="204"/>
      <c r="R349" s="260" t="s">
        <v>218</v>
      </c>
      <c r="S349" s="260" t="s">
        <v>218</v>
      </c>
      <c r="T349" s="260" t="s">
        <v>218</v>
      </c>
      <c r="U349" s="207" t="s">
        <v>1590</v>
      </c>
    </row>
    <row r="350" s="24" customFormat="1" ht="25.5" outlineLevel="1" spans="3:21">
      <c r="C350" s="207" t="s">
        <v>1592</v>
      </c>
      <c r="D350" s="202" t="s">
        <v>1593</v>
      </c>
      <c r="E350" s="203" t="str">
        <f t="shared" si="102"/>
        <v>49-50</v>
      </c>
      <c r="F350" s="204">
        <f t="shared" si="103"/>
        <v>384</v>
      </c>
      <c r="G350" s="204">
        <v>16</v>
      </c>
      <c r="H350" s="204">
        <v>0.1</v>
      </c>
      <c r="I350" s="204">
        <v>-40</v>
      </c>
      <c r="J350" s="204">
        <v>-40</v>
      </c>
      <c r="K350" s="84">
        <v>125.1</v>
      </c>
      <c r="L350" s="204">
        <v>0</v>
      </c>
      <c r="M350" s="204" t="s">
        <v>427</v>
      </c>
      <c r="N350" s="204">
        <f t="shared" si="96"/>
        <v>5</v>
      </c>
      <c r="O350" s="204"/>
      <c r="P350" s="204"/>
      <c r="R350" s="260" t="s">
        <v>218</v>
      </c>
      <c r="S350" s="260" t="s">
        <v>218</v>
      </c>
      <c r="T350" s="260" t="s">
        <v>218</v>
      </c>
      <c r="U350" s="207" t="s">
        <v>1592</v>
      </c>
    </row>
    <row r="351" s="24" customFormat="1" ht="25.5" outlineLevel="1" spans="3:21">
      <c r="C351" s="207" t="s">
        <v>1594</v>
      </c>
      <c r="D351" s="202" t="s">
        <v>1595</v>
      </c>
      <c r="E351" s="203" t="str">
        <f t="shared" si="102"/>
        <v>51-52</v>
      </c>
      <c r="F351" s="204">
        <f t="shared" si="103"/>
        <v>400</v>
      </c>
      <c r="G351" s="204">
        <v>16</v>
      </c>
      <c r="H351" s="204">
        <v>0.1</v>
      </c>
      <c r="I351" s="204">
        <v>-40</v>
      </c>
      <c r="J351" s="204">
        <v>-40</v>
      </c>
      <c r="K351" s="84">
        <v>125.1</v>
      </c>
      <c r="L351" s="204">
        <v>0</v>
      </c>
      <c r="M351" s="204" t="s">
        <v>427</v>
      </c>
      <c r="N351" s="204">
        <f t="shared" si="96"/>
        <v>5</v>
      </c>
      <c r="O351" s="204"/>
      <c r="P351" s="204"/>
      <c r="R351" s="260" t="s">
        <v>218</v>
      </c>
      <c r="S351" s="260" t="s">
        <v>218</v>
      </c>
      <c r="T351" s="260" t="s">
        <v>218</v>
      </c>
      <c r="U351" s="207" t="s">
        <v>1594</v>
      </c>
    </row>
    <row r="352" s="24" customFormat="1" ht="25.5" outlineLevel="1" spans="3:21">
      <c r="C352" s="207" t="s">
        <v>1596</v>
      </c>
      <c r="D352" s="202" t="s">
        <v>1597</v>
      </c>
      <c r="E352" s="203" t="str">
        <f t="shared" si="102"/>
        <v>53-54</v>
      </c>
      <c r="F352" s="204">
        <f t="shared" si="103"/>
        <v>416</v>
      </c>
      <c r="G352" s="204">
        <v>16</v>
      </c>
      <c r="H352" s="204">
        <v>0.1</v>
      </c>
      <c r="I352" s="204">
        <v>-40</v>
      </c>
      <c r="J352" s="204">
        <v>-40</v>
      </c>
      <c r="K352" s="84">
        <v>125.1</v>
      </c>
      <c r="L352" s="204">
        <v>0</v>
      </c>
      <c r="M352" s="204" t="s">
        <v>427</v>
      </c>
      <c r="N352" s="204">
        <f t="shared" si="96"/>
        <v>5</v>
      </c>
      <c r="O352" s="204"/>
      <c r="P352" s="204"/>
      <c r="R352" s="260" t="s">
        <v>218</v>
      </c>
      <c r="S352" s="260" t="s">
        <v>218</v>
      </c>
      <c r="T352" s="260" t="s">
        <v>218</v>
      </c>
      <c r="U352" s="207" t="s">
        <v>1596</v>
      </c>
    </row>
    <row r="353" s="24" customFormat="1" ht="25.5" outlineLevel="1" spans="1:21">
      <c r="C353" s="207" t="s">
        <v>1598</v>
      </c>
      <c r="D353" s="202" t="s">
        <v>1599</v>
      </c>
      <c r="E353" s="203" t="str">
        <f t="shared" si="102"/>
        <v>55-56</v>
      </c>
      <c r="F353" s="204">
        <f t="shared" si="103"/>
        <v>432</v>
      </c>
      <c r="G353" s="204">
        <v>16</v>
      </c>
      <c r="H353" s="204">
        <v>0.1</v>
      </c>
      <c r="I353" s="204">
        <v>-40</v>
      </c>
      <c r="J353" s="204">
        <v>-40</v>
      </c>
      <c r="K353" s="84">
        <v>125.1</v>
      </c>
      <c r="L353" s="204">
        <v>0</v>
      </c>
      <c r="M353" s="204" t="s">
        <v>427</v>
      </c>
      <c r="N353" s="204">
        <f t="shared" si="96"/>
        <v>5</v>
      </c>
      <c r="O353" s="204"/>
      <c r="P353" s="204"/>
      <c r="R353" s="260" t="s">
        <v>218</v>
      </c>
      <c r="S353" s="260" t="s">
        <v>218</v>
      </c>
      <c r="T353" s="260" t="s">
        <v>218</v>
      </c>
      <c r="U353" s="207" t="s">
        <v>1598</v>
      </c>
    </row>
    <row r="354" s="25" customFormat="1" ht="15" customHeight="1" spans="1:21">
      <c r="A354" s="41" t="s">
        <v>294</v>
      </c>
      <c r="B354" s="41" t="s">
        <v>1600</v>
      </c>
      <c r="D354" s="255"/>
      <c r="E354" s="256">
        <v>36</v>
      </c>
      <c r="F354" s="257"/>
      <c r="G354" s="257"/>
      <c r="H354" s="257"/>
      <c r="I354" s="257"/>
      <c r="J354" s="257"/>
      <c r="K354" s="257"/>
      <c r="L354" s="257"/>
      <c r="M354" s="257"/>
      <c r="N354" s="43">
        <f>SUM(N355:N367)</f>
        <v>36</v>
      </c>
      <c r="O354" s="265"/>
      <c r="P354" s="265"/>
      <c r="R354" s="258"/>
      <c r="S354" s="258"/>
      <c r="T354" s="258"/>
      <c r="U354" s="258"/>
    </row>
    <row r="355" s="24" customFormat="1" ht="28.5" outlineLevel="1" spans="1:21">
      <c r="C355" s="260" t="s">
        <v>1601</v>
      </c>
      <c r="D355" s="267" t="s">
        <v>1602</v>
      </c>
      <c r="E355" s="203" t="str">
        <f t="shared" ref="E355:E367" si="104">IF(INT((F355+G355-1)/8)+1=INT(F355/8)+1,INT(F355/8)+1,INT(F355/8)+1&amp;"-"&amp;INT((F355+G355-1)/8)+1)</f>
        <v>1-4</v>
      </c>
      <c r="F355" s="203">
        <v>0</v>
      </c>
      <c r="G355" s="203">
        <v>32</v>
      </c>
      <c r="H355" s="203">
        <v>0.001953125</v>
      </c>
      <c r="I355" s="203">
        <v>0</v>
      </c>
      <c r="J355" s="203">
        <v>0</v>
      </c>
      <c r="K355" s="266">
        <v>100</v>
      </c>
      <c r="L355" s="203">
        <v>0</v>
      </c>
      <c r="M355" s="203" t="s">
        <v>506</v>
      </c>
      <c r="N355" s="75">
        <f t="shared" si="96"/>
        <v>3</v>
      </c>
      <c r="O355" s="204"/>
      <c r="P355" s="204"/>
      <c r="R355" s="260" t="s">
        <v>218</v>
      </c>
      <c r="S355" s="260" t="s">
        <v>218</v>
      </c>
      <c r="T355" s="260" t="s">
        <v>218</v>
      </c>
      <c r="U355" s="260" t="s">
        <v>1601</v>
      </c>
    </row>
    <row r="356" s="24" customFormat="1" ht="28.5" outlineLevel="1" spans="1:21">
      <c r="C356" s="260" t="s">
        <v>1603</v>
      </c>
      <c r="D356" s="267" t="s">
        <v>1604</v>
      </c>
      <c r="E356" s="203" t="str">
        <f t="shared" si="104"/>
        <v>5-8</v>
      </c>
      <c r="F356" s="203">
        <f t="shared" ref="F356:F367" si="105">F355+G355</f>
        <v>32</v>
      </c>
      <c r="G356" s="203">
        <v>32</v>
      </c>
      <c r="H356" s="203">
        <v>0.001953125</v>
      </c>
      <c r="I356" s="203">
        <v>0</v>
      </c>
      <c r="J356" s="203">
        <v>0</v>
      </c>
      <c r="K356" s="266">
        <v>100</v>
      </c>
      <c r="L356" s="203">
        <v>0</v>
      </c>
      <c r="M356" s="203" t="s">
        <v>506</v>
      </c>
      <c r="N356" s="75">
        <f t="shared" si="96"/>
        <v>3</v>
      </c>
      <c r="O356" s="204"/>
      <c r="P356" s="204"/>
      <c r="R356" s="260" t="s">
        <v>218</v>
      </c>
      <c r="S356" s="260" t="s">
        <v>218</v>
      </c>
      <c r="T356" s="260" t="s">
        <v>218</v>
      </c>
      <c r="U356" s="260" t="s">
        <v>1603</v>
      </c>
    </row>
    <row r="357" s="24" customFormat="1" ht="28.5" outlineLevel="1" spans="1:21">
      <c r="C357" s="260" t="s">
        <v>1605</v>
      </c>
      <c r="D357" s="267" t="s">
        <v>1606</v>
      </c>
      <c r="E357" s="203" t="str">
        <f t="shared" si="104"/>
        <v>9-10</v>
      </c>
      <c r="F357" s="203">
        <f t="shared" si="105"/>
        <v>64</v>
      </c>
      <c r="G357" s="203">
        <v>16</v>
      </c>
      <c r="H357" s="203">
        <v>0.0078125</v>
      </c>
      <c r="I357" s="203">
        <v>0</v>
      </c>
      <c r="J357" s="203">
        <v>0</v>
      </c>
      <c r="K357" s="266">
        <v>100</v>
      </c>
      <c r="L357" s="203">
        <v>0</v>
      </c>
      <c r="M357" s="203" t="s">
        <v>506</v>
      </c>
      <c r="N357" s="75">
        <f t="shared" si="96"/>
        <v>3</v>
      </c>
      <c r="O357" s="204"/>
      <c r="P357" s="204"/>
      <c r="R357" s="260" t="s">
        <v>218</v>
      </c>
      <c r="S357" s="260" t="s">
        <v>218</v>
      </c>
      <c r="T357" s="260" t="s">
        <v>218</v>
      </c>
      <c r="U357" s="260" t="s">
        <v>1605</v>
      </c>
    </row>
    <row r="358" s="24" customFormat="1" ht="28.5" outlineLevel="1" spans="1:21">
      <c r="C358" s="260" t="s">
        <v>1607</v>
      </c>
      <c r="D358" s="267" t="s">
        <v>1608</v>
      </c>
      <c r="E358" s="203" t="str">
        <f t="shared" si="104"/>
        <v>11-12</v>
      </c>
      <c r="F358" s="203">
        <f t="shared" si="105"/>
        <v>80</v>
      </c>
      <c r="G358" s="203">
        <v>16</v>
      </c>
      <c r="H358" s="203">
        <v>0.0078125</v>
      </c>
      <c r="I358" s="203">
        <v>0</v>
      </c>
      <c r="J358" s="203">
        <v>0</v>
      </c>
      <c r="K358" s="266">
        <v>100</v>
      </c>
      <c r="L358" s="203">
        <v>0</v>
      </c>
      <c r="M358" s="203" t="s">
        <v>506</v>
      </c>
      <c r="N358" s="75">
        <f t="shared" ref="N358:N421" si="106">LEN(K358)</f>
        <v>3</v>
      </c>
      <c r="O358" s="204"/>
      <c r="P358" s="204"/>
      <c r="R358" s="260" t="s">
        <v>218</v>
      </c>
      <c r="S358" s="260" t="s">
        <v>218</v>
      </c>
      <c r="T358" s="260" t="s">
        <v>218</v>
      </c>
      <c r="U358" s="260" t="s">
        <v>1607</v>
      </c>
    </row>
    <row r="359" s="24" customFormat="1" ht="28.5" outlineLevel="1" spans="1:21">
      <c r="C359" s="260" t="s">
        <v>1609</v>
      </c>
      <c r="D359" s="267" t="s">
        <v>1610</v>
      </c>
      <c r="E359" s="203" t="str">
        <f t="shared" si="104"/>
        <v>13-14</v>
      </c>
      <c r="F359" s="203">
        <f t="shared" si="105"/>
        <v>96</v>
      </c>
      <c r="G359" s="203">
        <v>16</v>
      </c>
      <c r="H359" s="203">
        <v>0.0078125</v>
      </c>
      <c r="I359" s="203">
        <v>0</v>
      </c>
      <c r="J359" s="203">
        <v>0</v>
      </c>
      <c r="K359" s="266">
        <v>100</v>
      </c>
      <c r="L359" s="203">
        <v>0</v>
      </c>
      <c r="M359" s="203" t="s">
        <v>506</v>
      </c>
      <c r="N359" s="75">
        <f t="shared" si="106"/>
        <v>3</v>
      </c>
      <c r="O359" s="204"/>
      <c r="P359" s="204"/>
      <c r="R359" s="260" t="s">
        <v>218</v>
      </c>
      <c r="S359" s="260" t="s">
        <v>218</v>
      </c>
      <c r="T359" s="260" t="s">
        <v>218</v>
      </c>
      <c r="U359" s="260" t="s">
        <v>1609</v>
      </c>
    </row>
    <row r="360" s="24" customFormat="1" ht="28.5" outlineLevel="1" spans="1:21">
      <c r="C360" s="260" t="s">
        <v>1611</v>
      </c>
      <c r="D360" s="267" t="s">
        <v>1612</v>
      </c>
      <c r="E360" s="203" t="str">
        <f t="shared" si="104"/>
        <v>15-18</v>
      </c>
      <c r="F360" s="203">
        <f t="shared" si="105"/>
        <v>112</v>
      </c>
      <c r="G360" s="203">
        <v>32</v>
      </c>
      <c r="H360" s="203">
        <v>0.001953125</v>
      </c>
      <c r="I360" s="203">
        <v>0</v>
      </c>
      <c r="J360" s="203">
        <v>0</v>
      </c>
      <c r="K360" s="266">
        <v>50</v>
      </c>
      <c r="L360" s="203">
        <v>0</v>
      </c>
      <c r="M360" s="203" t="s">
        <v>506</v>
      </c>
      <c r="N360" s="75">
        <f t="shared" si="106"/>
        <v>2</v>
      </c>
      <c r="O360" s="204"/>
      <c r="P360" s="204"/>
      <c r="R360" s="260" t="s">
        <v>218</v>
      </c>
      <c r="S360" s="260" t="s">
        <v>218</v>
      </c>
      <c r="T360" s="260" t="s">
        <v>218</v>
      </c>
      <c r="U360" s="260" t="s">
        <v>1611</v>
      </c>
    </row>
    <row r="361" s="24" customFormat="1" ht="28.5" outlineLevel="1" spans="1:21">
      <c r="C361" s="260" t="s">
        <v>1613</v>
      </c>
      <c r="D361" s="267" t="s">
        <v>1614</v>
      </c>
      <c r="E361" s="203" t="str">
        <f t="shared" si="104"/>
        <v>19-22</v>
      </c>
      <c r="F361" s="203">
        <f t="shared" si="105"/>
        <v>144</v>
      </c>
      <c r="G361" s="203">
        <v>32</v>
      </c>
      <c r="H361" s="203">
        <v>0.001953125</v>
      </c>
      <c r="I361" s="203">
        <v>0</v>
      </c>
      <c r="J361" s="203">
        <v>0</v>
      </c>
      <c r="K361" s="266">
        <v>50</v>
      </c>
      <c r="L361" s="203">
        <v>0</v>
      </c>
      <c r="M361" s="203" t="s">
        <v>506</v>
      </c>
      <c r="N361" s="75">
        <f t="shared" si="106"/>
        <v>2</v>
      </c>
      <c r="O361" s="204"/>
      <c r="P361" s="204"/>
      <c r="R361" s="260" t="s">
        <v>218</v>
      </c>
      <c r="S361" s="260" t="s">
        <v>218</v>
      </c>
      <c r="T361" s="260" t="s">
        <v>218</v>
      </c>
      <c r="U361" s="260" t="s">
        <v>1613</v>
      </c>
    </row>
    <row r="362" s="24" customFormat="1" ht="42.75" outlineLevel="1" spans="1:21">
      <c r="C362" s="260" t="s">
        <v>1615</v>
      </c>
      <c r="D362" s="267" t="s">
        <v>1616</v>
      </c>
      <c r="E362" s="203" t="str">
        <f t="shared" si="104"/>
        <v>23-24</v>
      </c>
      <c r="F362" s="203">
        <f t="shared" si="105"/>
        <v>176</v>
      </c>
      <c r="G362" s="203">
        <v>16</v>
      </c>
      <c r="H362" s="203">
        <v>0.001953125</v>
      </c>
      <c r="I362" s="203">
        <v>0</v>
      </c>
      <c r="J362" s="203">
        <v>0</v>
      </c>
      <c r="K362" s="266">
        <v>100</v>
      </c>
      <c r="L362" s="203">
        <v>0</v>
      </c>
      <c r="M362" s="203" t="s">
        <v>506</v>
      </c>
      <c r="N362" s="75">
        <f t="shared" si="106"/>
        <v>3</v>
      </c>
      <c r="O362" s="204"/>
      <c r="P362" s="204"/>
      <c r="R362" s="260" t="s">
        <v>218</v>
      </c>
      <c r="S362" s="260" t="s">
        <v>218</v>
      </c>
      <c r="T362" s="260" t="s">
        <v>218</v>
      </c>
      <c r="U362" s="260" t="s">
        <v>1615</v>
      </c>
    </row>
    <row r="363" s="24" customFormat="1" ht="42.75" outlineLevel="1" spans="1:21">
      <c r="C363" s="260" t="s">
        <v>1617</v>
      </c>
      <c r="D363" s="267" t="s">
        <v>1618</v>
      </c>
      <c r="E363" s="203" t="str">
        <f t="shared" si="104"/>
        <v>25-26</v>
      </c>
      <c r="F363" s="203">
        <f t="shared" si="105"/>
        <v>192</v>
      </c>
      <c r="G363" s="203">
        <v>16</v>
      </c>
      <c r="H363" s="203">
        <v>0.001953125</v>
      </c>
      <c r="I363" s="203">
        <v>0</v>
      </c>
      <c r="J363" s="203">
        <v>0</v>
      </c>
      <c r="K363" s="266">
        <v>100</v>
      </c>
      <c r="L363" s="203">
        <v>0</v>
      </c>
      <c r="M363" s="203" t="s">
        <v>506</v>
      </c>
      <c r="N363" s="75">
        <f t="shared" si="106"/>
        <v>3</v>
      </c>
      <c r="O363" s="204"/>
      <c r="P363" s="204"/>
      <c r="R363" s="260" t="s">
        <v>218</v>
      </c>
      <c r="S363" s="260" t="s">
        <v>218</v>
      </c>
      <c r="T363" s="260" t="s">
        <v>218</v>
      </c>
      <c r="U363" s="260" t="s">
        <v>1617</v>
      </c>
    </row>
    <row r="364" s="24" customFormat="1" ht="42.75" outlineLevel="1" spans="1:21">
      <c r="C364" s="260" t="s">
        <v>1619</v>
      </c>
      <c r="D364" s="267" t="s">
        <v>1620</v>
      </c>
      <c r="E364" s="203" t="str">
        <f t="shared" si="104"/>
        <v>27-28</v>
      </c>
      <c r="F364" s="203">
        <f t="shared" si="105"/>
        <v>208</v>
      </c>
      <c r="G364" s="203">
        <v>16</v>
      </c>
      <c r="H364" s="203">
        <v>0.001953125</v>
      </c>
      <c r="I364" s="203">
        <v>0</v>
      </c>
      <c r="J364" s="203">
        <v>0</v>
      </c>
      <c r="K364" s="266">
        <v>100</v>
      </c>
      <c r="L364" s="203">
        <v>0</v>
      </c>
      <c r="M364" s="203" t="s">
        <v>506</v>
      </c>
      <c r="N364" s="75">
        <f t="shared" si="106"/>
        <v>3</v>
      </c>
      <c r="O364" s="204"/>
      <c r="P364" s="204"/>
      <c r="R364" s="260" t="s">
        <v>218</v>
      </c>
      <c r="S364" s="260" t="s">
        <v>218</v>
      </c>
      <c r="T364" s="260" t="s">
        <v>218</v>
      </c>
      <c r="U364" s="260" t="s">
        <v>1619</v>
      </c>
    </row>
    <row r="365" s="24" customFormat="1" ht="42.75" outlineLevel="1" spans="1:21">
      <c r="C365" s="260" t="s">
        <v>1621</v>
      </c>
      <c r="D365" s="267" t="s">
        <v>1622</v>
      </c>
      <c r="E365" s="203" t="str">
        <f t="shared" si="104"/>
        <v>29-30</v>
      </c>
      <c r="F365" s="203">
        <f t="shared" si="105"/>
        <v>224</v>
      </c>
      <c r="G365" s="203">
        <v>16</v>
      </c>
      <c r="H365" s="203">
        <v>0.001953125</v>
      </c>
      <c r="I365" s="203">
        <v>0</v>
      </c>
      <c r="J365" s="203">
        <v>0</v>
      </c>
      <c r="K365" s="266">
        <v>100</v>
      </c>
      <c r="L365" s="203">
        <v>0</v>
      </c>
      <c r="M365" s="203" t="s">
        <v>506</v>
      </c>
      <c r="N365" s="75">
        <f t="shared" si="106"/>
        <v>3</v>
      </c>
      <c r="O365" s="204"/>
      <c r="P365" s="204"/>
      <c r="R365" s="260" t="s">
        <v>218</v>
      </c>
      <c r="S365" s="260" t="s">
        <v>218</v>
      </c>
      <c r="T365" s="260" t="s">
        <v>218</v>
      </c>
      <c r="U365" s="260" t="s">
        <v>1621</v>
      </c>
    </row>
    <row r="366" s="24" customFormat="1" ht="42.75" outlineLevel="1" spans="1:21">
      <c r="C366" s="260" t="s">
        <v>1623</v>
      </c>
      <c r="D366" s="267" t="s">
        <v>1624</v>
      </c>
      <c r="E366" s="203" t="str">
        <f t="shared" si="104"/>
        <v>31-32</v>
      </c>
      <c r="F366" s="203">
        <f t="shared" si="105"/>
        <v>240</v>
      </c>
      <c r="G366" s="203">
        <v>16</v>
      </c>
      <c r="H366" s="203">
        <v>0.001953125</v>
      </c>
      <c r="I366" s="203">
        <v>0</v>
      </c>
      <c r="J366" s="203">
        <v>0</v>
      </c>
      <c r="K366" s="266">
        <v>100</v>
      </c>
      <c r="L366" s="203">
        <v>0</v>
      </c>
      <c r="M366" s="203" t="s">
        <v>506</v>
      </c>
      <c r="N366" s="75">
        <f t="shared" si="106"/>
        <v>3</v>
      </c>
      <c r="O366" s="204"/>
      <c r="P366" s="204"/>
      <c r="R366" s="260" t="s">
        <v>218</v>
      </c>
      <c r="S366" s="260" t="s">
        <v>218</v>
      </c>
      <c r="T366" s="260" t="s">
        <v>218</v>
      </c>
      <c r="U366" s="260" t="s">
        <v>1623</v>
      </c>
    </row>
    <row r="367" s="24" customFormat="1" ht="28.5" outlineLevel="1" spans="1:21">
      <c r="C367" s="260" t="s">
        <v>1625</v>
      </c>
      <c r="D367" s="267" t="s">
        <v>1626</v>
      </c>
      <c r="E367" s="203" t="str">
        <f t="shared" si="104"/>
        <v>33-36</v>
      </c>
      <c r="F367" s="203">
        <f t="shared" si="105"/>
        <v>256</v>
      </c>
      <c r="G367" s="203">
        <v>32</v>
      </c>
      <c r="H367" s="203">
        <v>0.001953125</v>
      </c>
      <c r="I367" s="203">
        <v>0</v>
      </c>
      <c r="J367" s="203">
        <v>0</v>
      </c>
      <c r="K367" s="266">
        <v>30</v>
      </c>
      <c r="L367" s="203">
        <v>0</v>
      </c>
      <c r="M367" s="203" t="s">
        <v>506</v>
      </c>
      <c r="N367" s="75">
        <f t="shared" si="106"/>
        <v>2</v>
      </c>
      <c r="O367" s="204"/>
      <c r="R367" s="260" t="s">
        <v>218</v>
      </c>
      <c r="S367" s="260" t="s">
        <v>218</v>
      </c>
      <c r="T367" s="260" t="s">
        <v>218</v>
      </c>
      <c r="U367" s="260" t="s">
        <v>1625</v>
      </c>
    </row>
    <row r="368" s="25" customFormat="1" ht="15" customHeight="1" spans="1:21">
      <c r="A368" s="41" t="s">
        <v>298</v>
      </c>
      <c r="B368" s="41" t="s">
        <v>1627</v>
      </c>
      <c r="D368" s="255"/>
      <c r="E368" s="256">
        <v>2</v>
      </c>
      <c r="F368" s="257"/>
      <c r="G368" s="257"/>
      <c r="H368" s="257"/>
      <c r="I368" s="257"/>
      <c r="J368" s="257"/>
      <c r="K368" s="257"/>
      <c r="L368" s="257"/>
      <c r="M368" s="257"/>
      <c r="N368" s="43">
        <f>SUM(N369)</f>
        <v>1</v>
      </c>
      <c r="O368" s="265"/>
      <c r="P368" s="265"/>
      <c r="R368" s="258"/>
      <c r="S368" s="258"/>
      <c r="T368" s="258"/>
      <c r="U368" s="258"/>
    </row>
    <row r="369" s="24" customFormat="1" ht="28.5" outlineLevel="1" spans="1:21">
      <c r="C369" s="260" t="s">
        <v>1628</v>
      </c>
      <c r="D369" s="267" t="s">
        <v>1629</v>
      </c>
      <c r="E369" s="203" t="str">
        <f t="shared" ref="E369" si="107">IF(INT((F369+G369-1)/8)+1=INT(F369/8)+1,INT(F369/8)+1,INT(F369/8)+1&amp;"-"&amp;INT((F369+G369-1)/8)+1)</f>
        <v>1-2</v>
      </c>
      <c r="F369" s="203">
        <v>0</v>
      </c>
      <c r="G369" s="203">
        <v>16</v>
      </c>
      <c r="H369" s="203">
        <v>1</v>
      </c>
      <c r="I369" s="203">
        <v>0</v>
      </c>
      <c r="J369" s="203">
        <v>0</v>
      </c>
      <c r="K369" s="266">
        <v>1</v>
      </c>
      <c r="L369" s="203">
        <v>0</v>
      </c>
      <c r="M369" s="203" t="s">
        <v>482</v>
      </c>
      <c r="N369" s="75">
        <f t="shared" si="106"/>
        <v>1</v>
      </c>
      <c r="O369" s="204"/>
      <c r="P369" s="204"/>
      <c r="R369" s="260" t="s">
        <v>218</v>
      </c>
      <c r="S369" s="260" t="s">
        <v>218</v>
      </c>
      <c r="T369" s="260" t="s">
        <v>218</v>
      </c>
      <c r="U369" s="260" t="s">
        <v>1628</v>
      </c>
    </row>
    <row r="370" s="25" customFormat="1" ht="15" customHeight="1" spans="1:21">
      <c r="A370" s="41" t="s">
        <v>302</v>
      </c>
      <c r="B370" s="41" t="s">
        <v>1630</v>
      </c>
      <c r="D370" s="255"/>
      <c r="E370" s="256">
        <v>8</v>
      </c>
      <c r="F370" s="257"/>
      <c r="G370" s="257"/>
      <c r="H370" s="257"/>
      <c r="I370" s="257"/>
      <c r="J370" s="257"/>
      <c r="K370" s="257"/>
      <c r="L370" s="257"/>
      <c r="M370" s="257"/>
      <c r="N370" s="43">
        <f>SUM(N371:N378)</f>
        <v>24</v>
      </c>
      <c r="O370" s="265"/>
      <c r="P370" s="265"/>
      <c r="R370" s="258"/>
      <c r="S370" s="258"/>
      <c r="T370" s="258"/>
      <c r="U370" s="258"/>
    </row>
    <row r="371" s="26" customFormat="1" ht="30" customHeight="1" outlineLevel="1" spans="1:21">
      <c r="C371" s="260" t="s">
        <v>1631</v>
      </c>
      <c r="D371" s="268" t="s">
        <v>1632</v>
      </c>
      <c r="E371" s="227">
        <f>IF(INT((F371+G371-1)/8)+1=INT(F371/8)+1,INT(F371/8)+1,INT(F371/8)+1&amp;"-"&amp;INT((F371+G371-1)/8)+1)</f>
        <v>1</v>
      </c>
      <c r="F371" s="269">
        <v>0</v>
      </c>
      <c r="G371" s="203">
        <v>8</v>
      </c>
      <c r="H371" s="203">
        <v>1</v>
      </c>
      <c r="I371" s="203">
        <v>-40</v>
      </c>
      <c r="J371" s="203">
        <v>-40</v>
      </c>
      <c r="K371" s="203">
        <f>(POWER(2,G371)-1)*H371+I371</f>
        <v>215</v>
      </c>
      <c r="L371" s="203">
        <v>0</v>
      </c>
      <c r="M371" s="203" t="s">
        <v>427</v>
      </c>
      <c r="N371" s="203">
        <f t="shared" si="106"/>
        <v>3</v>
      </c>
      <c r="P371" s="270"/>
      <c r="R371" s="271" t="s">
        <v>218</v>
      </c>
      <c r="S371" s="260" t="s">
        <v>218</v>
      </c>
      <c r="T371" s="260" t="s">
        <v>1631</v>
      </c>
      <c r="U371" s="260" t="s">
        <v>1631</v>
      </c>
    </row>
    <row r="372" s="26" customFormat="1" ht="30" customHeight="1" outlineLevel="1" spans="1:21">
      <c r="C372" s="260" t="s">
        <v>1633</v>
      </c>
      <c r="D372" s="267" t="s">
        <v>1634</v>
      </c>
      <c r="E372" s="227">
        <f t="shared" ref="E372:E378" si="108">IF(INT((F372+G372-1)/8)+1=INT(F372/8)+1,INT(F372/8)+1,INT(F372/8)+1&amp;"-"&amp;INT((F372+G372-1)/8)+1)</f>
        <v>2</v>
      </c>
      <c r="F372" s="203">
        <f>F371+G371</f>
        <v>8</v>
      </c>
      <c r="G372" s="203">
        <v>8</v>
      </c>
      <c r="H372" s="203">
        <v>1</v>
      </c>
      <c r="I372" s="203">
        <v>-40</v>
      </c>
      <c r="J372" s="203">
        <v>-40</v>
      </c>
      <c r="K372" s="203">
        <f t="shared" ref="K372:K378" si="109">(POWER(2,G372)-1)*H372+I372</f>
        <v>215</v>
      </c>
      <c r="L372" s="203">
        <v>0</v>
      </c>
      <c r="M372" s="203" t="s">
        <v>427</v>
      </c>
      <c r="N372" s="203">
        <f t="shared" si="106"/>
        <v>3</v>
      </c>
      <c r="P372" s="270"/>
      <c r="R372" s="271" t="s">
        <v>218</v>
      </c>
      <c r="S372" s="260" t="s">
        <v>218</v>
      </c>
      <c r="T372" s="260" t="s">
        <v>1633</v>
      </c>
      <c r="U372" s="260" t="s">
        <v>1633</v>
      </c>
    </row>
    <row r="373" s="26" customFormat="1" ht="30" customHeight="1" outlineLevel="1" spans="1:21">
      <c r="C373" s="260" t="s">
        <v>1635</v>
      </c>
      <c r="D373" s="267" t="s">
        <v>1636</v>
      </c>
      <c r="E373" s="227">
        <f t="shared" si="108"/>
        <v>3</v>
      </c>
      <c r="F373" s="203">
        <f t="shared" ref="F373:F378" si="110">F372+G372</f>
        <v>16</v>
      </c>
      <c r="G373" s="203">
        <v>8</v>
      </c>
      <c r="H373" s="203">
        <v>1</v>
      </c>
      <c r="I373" s="203">
        <v>-40</v>
      </c>
      <c r="J373" s="203">
        <v>-40</v>
      </c>
      <c r="K373" s="203">
        <f t="shared" si="109"/>
        <v>215</v>
      </c>
      <c r="L373" s="203">
        <v>0</v>
      </c>
      <c r="M373" s="203" t="s">
        <v>427</v>
      </c>
      <c r="N373" s="203">
        <f t="shared" si="106"/>
        <v>3</v>
      </c>
      <c r="P373" s="270"/>
      <c r="R373" s="271" t="s">
        <v>218</v>
      </c>
      <c r="S373" s="260" t="s">
        <v>218</v>
      </c>
      <c r="T373" s="260" t="s">
        <v>1635</v>
      </c>
      <c r="U373" s="260" t="s">
        <v>1635</v>
      </c>
    </row>
    <row r="374" s="26" customFormat="1" ht="30" customHeight="1" outlineLevel="1" spans="1:21">
      <c r="C374" s="260" t="s">
        <v>1637</v>
      </c>
      <c r="D374" s="267" t="s">
        <v>1638</v>
      </c>
      <c r="E374" s="227">
        <f t="shared" si="108"/>
        <v>4</v>
      </c>
      <c r="F374" s="203">
        <f t="shared" si="110"/>
        <v>24</v>
      </c>
      <c r="G374" s="203">
        <v>8</v>
      </c>
      <c r="H374" s="203">
        <v>1</v>
      </c>
      <c r="I374" s="203">
        <v>-40</v>
      </c>
      <c r="J374" s="203">
        <v>-40</v>
      </c>
      <c r="K374" s="203">
        <f t="shared" si="109"/>
        <v>215</v>
      </c>
      <c r="L374" s="203">
        <v>0</v>
      </c>
      <c r="M374" s="203" t="s">
        <v>427</v>
      </c>
      <c r="N374" s="203">
        <f t="shared" si="106"/>
        <v>3</v>
      </c>
      <c r="P374" s="270"/>
      <c r="R374" s="271" t="s">
        <v>218</v>
      </c>
      <c r="S374" s="260" t="s">
        <v>218</v>
      </c>
      <c r="T374" s="260" t="s">
        <v>1637</v>
      </c>
      <c r="U374" s="260" t="s">
        <v>1637</v>
      </c>
    </row>
    <row r="375" s="26" customFormat="1" ht="30" customHeight="1" outlineLevel="1" spans="1:21">
      <c r="C375" s="260" t="s">
        <v>1639</v>
      </c>
      <c r="D375" s="267" t="s">
        <v>1640</v>
      </c>
      <c r="E375" s="227">
        <f t="shared" si="108"/>
        <v>5</v>
      </c>
      <c r="F375" s="203">
        <f t="shared" si="110"/>
        <v>32</v>
      </c>
      <c r="G375" s="203">
        <v>8</v>
      </c>
      <c r="H375" s="203">
        <v>1</v>
      </c>
      <c r="I375" s="203">
        <v>-40</v>
      </c>
      <c r="J375" s="203">
        <v>-40</v>
      </c>
      <c r="K375" s="203">
        <f t="shared" si="109"/>
        <v>215</v>
      </c>
      <c r="L375" s="203">
        <v>0</v>
      </c>
      <c r="M375" s="203" t="s">
        <v>427</v>
      </c>
      <c r="N375" s="203">
        <f t="shared" si="106"/>
        <v>3</v>
      </c>
      <c r="P375" s="270"/>
      <c r="R375" s="271" t="s">
        <v>218</v>
      </c>
      <c r="S375" s="260" t="s">
        <v>218</v>
      </c>
      <c r="T375" s="260" t="s">
        <v>1639</v>
      </c>
      <c r="U375" s="260" t="s">
        <v>1639</v>
      </c>
    </row>
    <row r="376" s="26" customFormat="1" ht="30" customHeight="1" outlineLevel="1" spans="1:21">
      <c r="C376" s="260" t="s">
        <v>1641</v>
      </c>
      <c r="D376" s="267" t="s">
        <v>1642</v>
      </c>
      <c r="E376" s="227">
        <f t="shared" si="108"/>
        <v>6</v>
      </c>
      <c r="F376" s="203">
        <f t="shared" si="110"/>
        <v>40</v>
      </c>
      <c r="G376" s="203">
        <v>8</v>
      </c>
      <c r="H376" s="203">
        <v>1</v>
      </c>
      <c r="I376" s="203">
        <v>-40</v>
      </c>
      <c r="J376" s="203">
        <v>-40</v>
      </c>
      <c r="K376" s="203">
        <f t="shared" si="109"/>
        <v>215</v>
      </c>
      <c r="L376" s="203">
        <v>0</v>
      </c>
      <c r="M376" s="203" t="s">
        <v>427</v>
      </c>
      <c r="N376" s="203">
        <f t="shared" si="106"/>
        <v>3</v>
      </c>
      <c r="P376" s="270"/>
      <c r="R376" s="271" t="s">
        <v>218</v>
      </c>
      <c r="S376" s="260" t="s">
        <v>218</v>
      </c>
      <c r="T376" s="260" t="s">
        <v>1641</v>
      </c>
      <c r="U376" s="260" t="s">
        <v>1641</v>
      </c>
    </row>
    <row r="377" s="26" customFormat="1" ht="30" customHeight="1" outlineLevel="1" spans="1:21">
      <c r="C377" s="260" t="s">
        <v>1643</v>
      </c>
      <c r="D377" s="267" t="s">
        <v>1644</v>
      </c>
      <c r="E377" s="227">
        <f t="shared" si="108"/>
        <v>7</v>
      </c>
      <c r="F377" s="203">
        <f t="shared" si="110"/>
        <v>48</v>
      </c>
      <c r="G377" s="203">
        <v>8</v>
      </c>
      <c r="H377" s="203">
        <v>1</v>
      </c>
      <c r="I377" s="203">
        <v>-40</v>
      </c>
      <c r="J377" s="203">
        <v>-40</v>
      </c>
      <c r="K377" s="203">
        <f t="shared" si="109"/>
        <v>215</v>
      </c>
      <c r="L377" s="203">
        <v>0</v>
      </c>
      <c r="M377" s="203" t="s">
        <v>427</v>
      </c>
      <c r="N377" s="203">
        <f t="shared" si="106"/>
        <v>3</v>
      </c>
      <c r="P377" s="270"/>
      <c r="R377" s="271" t="s">
        <v>218</v>
      </c>
      <c r="S377" s="260" t="s">
        <v>218</v>
      </c>
      <c r="T377" s="260" t="s">
        <v>1643</v>
      </c>
      <c r="U377" s="260" t="s">
        <v>1643</v>
      </c>
    </row>
    <row r="378" s="26" customFormat="1" ht="30" customHeight="1" outlineLevel="1" spans="1:21">
      <c r="C378" s="260" t="s">
        <v>1645</v>
      </c>
      <c r="D378" s="267" t="s">
        <v>1646</v>
      </c>
      <c r="E378" s="227">
        <f t="shared" si="108"/>
        <v>8</v>
      </c>
      <c r="F378" s="203">
        <f t="shared" si="110"/>
        <v>56</v>
      </c>
      <c r="G378" s="203">
        <v>8</v>
      </c>
      <c r="H378" s="203">
        <v>1</v>
      </c>
      <c r="I378" s="203">
        <v>-40</v>
      </c>
      <c r="J378" s="203">
        <v>-40</v>
      </c>
      <c r="K378" s="203">
        <f t="shared" si="109"/>
        <v>215</v>
      </c>
      <c r="L378" s="203">
        <v>0</v>
      </c>
      <c r="M378" s="203" t="s">
        <v>427</v>
      </c>
      <c r="N378" s="203">
        <f t="shared" si="106"/>
        <v>3</v>
      </c>
      <c r="P378" s="270"/>
      <c r="R378" s="271" t="s">
        <v>218</v>
      </c>
      <c r="S378" s="260" t="s">
        <v>218</v>
      </c>
      <c r="T378" s="260" t="s">
        <v>1645</v>
      </c>
      <c r="U378" s="260" t="s">
        <v>1645</v>
      </c>
    </row>
    <row r="379" s="25" customFormat="1" spans="1:21">
      <c r="A379" s="41" t="s">
        <v>308</v>
      </c>
      <c r="B379" s="41" t="s">
        <v>309</v>
      </c>
      <c r="D379" s="255"/>
      <c r="E379" s="256">
        <v>2</v>
      </c>
      <c r="F379" s="257"/>
      <c r="G379" s="257"/>
      <c r="H379" s="257"/>
      <c r="I379" s="257"/>
      <c r="J379" s="257"/>
      <c r="K379" s="257"/>
      <c r="L379" s="257"/>
      <c r="M379" s="257"/>
      <c r="N379" s="43">
        <f>SUM(N380:N391)</f>
        <v>12</v>
      </c>
      <c r="O379" s="265"/>
      <c r="P379" s="265"/>
      <c r="R379" s="258"/>
      <c r="S379" s="258"/>
      <c r="T379" s="258"/>
      <c r="U379" s="258"/>
    </row>
    <row r="380" s="24" customFormat="1" ht="25.5" outlineLevel="1" spans="1:21">
      <c r="C380" s="202" t="s">
        <v>1647</v>
      </c>
      <c r="D380" s="202" t="s">
        <v>1648</v>
      </c>
      <c r="E380" s="203">
        <f>IF(INT((F380+G380-1)/8)+1=INT(F380/8)+1,INT(F380/8)+1,INT(F380/8)+1&amp;"-"&amp;INT((F380+G380-1)/8)+1)</f>
        <v>1</v>
      </c>
      <c r="F380" s="203">
        <v>0</v>
      </c>
      <c r="G380" s="203">
        <v>1</v>
      </c>
      <c r="H380" s="203">
        <v>1</v>
      </c>
      <c r="I380" s="203">
        <v>0</v>
      </c>
      <c r="J380" s="203">
        <v>0</v>
      </c>
      <c r="K380" s="203">
        <f>(POWER(2,G380)-1)*H380+I380</f>
        <v>1</v>
      </c>
      <c r="L380" s="203">
        <v>0</v>
      </c>
      <c r="M380" s="203" t="s">
        <v>482</v>
      </c>
      <c r="N380" s="203">
        <f t="shared" si="106"/>
        <v>1</v>
      </c>
      <c r="O380" s="202" t="s">
        <v>1649</v>
      </c>
      <c r="P380" s="204"/>
      <c r="R380" s="260" t="s">
        <v>218</v>
      </c>
      <c r="S380" s="260" t="s">
        <v>218</v>
      </c>
      <c r="T380" s="260" t="s">
        <v>218</v>
      </c>
      <c r="U380" s="202" t="s">
        <v>1647</v>
      </c>
    </row>
    <row r="381" s="24" customFormat="1" ht="25.5" outlineLevel="1" spans="1:21">
      <c r="C381" s="202" t="s">
        <v>1650</v>
      </c>
      <c r="D381" s="202" t="s">
        <v>1651</v>
      </c>
      <c r="E381" s="203">
        <f t="shared" ref="E381:E391" si="111">IF(INT((F381+G381-1)/8)+1=INT(F381/8)+1,INT(F381/8)+1,INT(F381/8)+1&amp;"-"&amp;INT((F381+G381-1)/8)+1)</f>
        <v>1</v>
      </c>
      <c r="F381" s="203">
        <f>F380+G380</f>
        <v>1</v>
      </c>
      <c r="G381" s="203">
        <v>1</v>
      </c>
      <c r="H381" s="203">
        <v>1</v>
      </c>
      <c r="I381" s="203">
        <v>0</v>
      </c>
      <c r="J381" s="203">
        <v>0</v>
      </c>
      <c r="K381" s="203">
        <f t="shared" ref="K381:K391" si="112">(POWER(2,G381)-1)*H381+I381</f>
        <v>1</v>
      </c>
      <c r="L381" s="203">
        <v>0</v>
      </c>
      <c r="M381" s="203" t="s">
        <v>482</v>
      </c>
      <c r="N381" s="203">
        <f t="shared" si="106"/>
        <v>1</v>
      </c>
      <c r="O381" s="202" t="s">
        <v>1649</v>
      </c>
      <c r="P381" s="204"/>
      <c r="R381" s="260" t="s">
        <v>218</v>
      </c>
      <c r="S381" s="260" t="s">
        <v>218</v>
      </c>
      <c r="T381" s="260" t="s">
        <v>218</v>
      </c>
      <c r="U381" s="202" t="s">
        <v>1650</v>
      </c>
    </row>
    <row r="382" s="24" customFormat="1" ht="25.5" outlineLevel="1" spans="1:21">
      <c r="C382" s="202" t="s">
        <v>1652</v>
      </c>
      <c r="D382" s="202" t="s">
        <v>1653</v>
      </c>
      <c r="E382" s="203">
        <f t="shared" si="111"/>
        <v>1</v>
      </c>
      <c r="F382" s="203">
        <f t="shared" ref="F382:F391" si="113">F381+G381</f>
        <v>2</v>
      </c>
      <c r="G382" s="203">
        <v>1</v>
      </c>
      <c r="H382" s="203">
        <v>1</v>
      </c>
      <c r="I382" s="203">
        <v>0</v>
      </c>
      <c r="J382" s="203">
        <v>0</v>
      </c>
      <c r="K382" s="203">
        <f t="shared" si="112"/>
        <v>1</v>
      </c>
      <c r="L382" s="203">
        <v>0</v>
      </c>
      <c r="M382" s="203" t="s">
        <v>482</v>
      </c>
      <c r="N382" s="203">
        <f t="shared" si="106"/>
        <v>1</v>
      </c>
      <c r="O382" s="202" t="s">
        <v>1649</v>
      </c>
      <c r="P382" s="204"/>
      <c r="R382" s="260" t="s">
        <v>218</v>
      </c>
      <c r="S382" s="260" t="s">
        <v>218</v>
      </c>
      <c r="T382" s="260" t="s">
        <v>218</v>
      </c>
      <c r="U382" s="202" t="s">
        <v>1652</v>
      </c>
    </row>
    <row r="383" s="24" customFormat="1" ht="25.5" outlineLevel="1" spans="1:21">
      <c r="C383" s="202" t="s">
        <v>1654</v>
      </c>
      <c r="D383" s="202" t="s">
        <v>1655</v>
      </c>
      <c r="E383" s="203">
        <f t="shared" si="111"/>
        <v>1</v>
      </c>
      <c r="F383" s="203">
        <f t="shared" si="113"/>
        <v>3</v>
      </c>
      <c r="G383" s="203">
        <v>1</v>
      </c>
      <c r="H383" s="203">
        <v>1</v>
      </c>
      <c r="I383" s="203">
        <v>0</v>
      </c>
      <c r="J383" s="203">
        <v>0</v>
      </c>
      <c r="K383" s="203">
        <f t="shared" si="112"/>
        <v>1</v>
      </c>
      <c r="L383" s="203">
        <v>0</v>
      </c>
      <c r="M383" s="203" t="s">
        <v>482</v>
      </c>
      <c r="N383" s="203">
        <f t="shared" si="106"/>
        <v>1</v>
      </c>
      <c r="O383" s="202" t="s">
        <v>1649</v>
      </c>
      <c r="P383" s="204"/>
      <c r="R383" s="260" t="s">
        <v>218</v>
      </c>
      <c r="S383" s="260" t="s">
        <v>218</v>
      </c>
      <c r="T383" s="260" t="s">
        <v>218</v>
      </c>
      <c r="U383" s="202" t="s">
        <v>1654</v>
      </c>
    </row>
    <row r="384" s="24" customFormat="1" ht="25.5" outlineLevel="1" spans="1:21">
      <c r="C384" s="202" t="s">
        <v>1656</v>
      </c>
      <c r="D384" s="202" t="s">
        <v>1657</v>
      </c>
      <c r="E384" s="203">
        <f t="shared" si="111"/>
        <v>1</v>
      </c>
      <c r="F384" s="203">
        <f t="shared" si="113"/>
        <v>4</v>
      </c>
      <c r="G384" s="203">
        <v>1</v>
      </c>
      <c r="H384" s="203">
        <v>1</v>
      </c>
      <c r="I384" s="203">
        <v>0</v>
      </c>
      <c r="J384" s="203">
        <v>0</v>
      </c>
      <c r="K384" s="203">
        <f t="shared" si="112"/>
        <v>1</v>
      </c>
      <c r="L384" s="203">
        <v>0</v>
      </c>
      <c r="M384" s="203" t="s">
        <v>482</v>
      </c>
      <c r="N384" s="203">
        <f t="shared" si="106"/>
        <v>1</v>
      </c>
      <c r="O384" s="202" t="s">
        <v>1649</v>
      </c>
      <c r="P384" s="204"/>
      <c r="R384" s="260" t="s">
        <v>218</v>
      </c>
      <c r="S384" s="260" t="s">
        <v>218</v>
      </c>
      <c r="T384" s="260" t="s">
        <v>218</v>
      </c>
      <c r="U384" s="202" t="s">
        <v>1656</v>
      </c>
    </row>
    <row r="385" s="24" customFormat="1" ht="25.5" outlineLevel="1" spans="1:21">
      <c r="C385" s="202" t="s">
        <v>1658</v>
      </c>
      <c r="D385" s="202" t="s">
        <v>1659</v>
      </c>
      <c r="E385" s="203">
        <f t="shared" si="111"/>
        <v>1</v>
      </c>
      <c r="F385" s="203">
        <f t="shared" si="113"/>
        <v>5</v>
      </c>
      <c r="G385" s="203">
        <v>1</v>
      </c>
      <c r="H385" s="203">
        <v>1</v>
      </c>
      <c r="I385" s="203">
        <v>0</v>
      </c>
      <c r="J385" s="203">
        <v>0</v>
      </c>
      <c r="K385" s="203">
        <f t="shared" si="112"/>
        <v>1</v>
      </c>
      <c r="L385" s="203">
        <v>0</v>
      </c>
      <c r="M385" s="203" t="s">
        <v>482</v>
      </c>
      <c r="N385" s="203">
        <f t="shared" si="106"/>
        <v>1</v>
      </c>
      <c r="O385" s="202" t="s">
        <v>1649</v>
      </c>
      <c r="P385" s="204"/>
      <c r="R385" s="260" t="s">
        <v>218</v>
      </c>
      <c r="S385" s="260" t="s">
        <v>218</v>
      </c>
      <c r="T385" s="260" t="s">
        <v>218</v>
      </c>
      <c r="U385" s="202" t="s">
        <v>1658</v>
      </c>
    </row>
    <row r="386" s="24" customFormat="1" ht="25.5" outlineLevel="1" spans="1:21">
      <c r="C386" s="202" t="s">
        <v>1660</v>
      </c>
      <c r="D386" s="202" t="s">
        <v>1661</v>
      </c>
      <c r="E386" s="203">
        <f t="shared" si="111"/>
        <v>1</v>
      </c>
      <c r="F386" s="203">
        <f t="shared" si="113"/>
        <v>6</v>
      </c>
      <c r="G386" s="203">
        <v>1</v>
      </c>
      <c r="H386" s="203">
        <v>1</v>
      </c>
      <c r="I386" s="203">
        <v>0</v>
      </c>
      <c r="J386" s="203">
        <v>0</v>
      </c>
      <c r="K386" s="203">
        <f t="shared" si="112"/>
        <v>1</v>
      </c>
      <c r="L386" s="203">
        <v>0</v>
      </c>
      <c r="M386" s="203" t="s">
        <v>482</v>
      </c>
      <c r="N386" s="203">
        <f t="shared" si="106"/>
        <v>1</v>
      </c>
      <c r="O386" s="202" t="s">
        <v>1649</v>
      </c>
      <c r="P386" s="204"/>
      <c r="R386" s="260" t="s">
        <v>218</v>
      </c>
      <c r="S386" s="260" t="s">
        <v>218</v>
      </c>
      <c r="T386" s="260" t="s">
        <v>218</v>
      </c>
      <c r="U386" s="202" t="s">
        <v>1660</v>
      </c>
    </row>
    <row r="387" s="24" customFormat="1" ht="25.5" outlineLevel="1" spans="1:21">
      <c r="C387" s="202" t="s">
        <v>1662</v>
      </c>
      <c r="D387" s="202" t="s">
        <v>1663</v>
      </c>
      <c r="E387" s="203">
        <f t="shared" si="111"/>
        <v>1</v>
      </c>
      <c r="F387" s="203">
        <f t="shared" si="113"/>
        <v>7</v>
      </c>
      <c r="G387" s="203">
        <v>1</v>
      </c>
      <c r="H387" s="203">
        <v>1</v>
      </c>
      <c r="I387" s="203">
        <v>0</v>
      </c>
      <c r="J387" s="203">
        <v>0</v>
      </c>
      <c r="K387" s="203">
        <f t="shared" si="112"/>
        <v>1</v>
      </c>
      <c r="L387" s="203">
        <v>0</v>
      </c>
      <c r="M387" s="203" t="s">
        <v>482</v>
      </c>
      <c r="N387" s="203">
        <f t="shared" si="106"/>
        <v>1</v>
      </c>
      <c r="O387" s="202" t="s">
        <v>1649</v>
      </c>
      <c r="P387" s="204"/>
      <c r="R387" s="260" t="s">
        <v>218</v>
      </c>
      <c r="S387" s="260" t="s">
        <v>218</v>
      </c>
      <c r="T387" s="260" t="s">
        <v>218</v>
      </c>
      <c r="U387" s="202" t="s">
        <v>1662</v>
      </c>
    </row>
    <row r="388" s="24" customFormat="1" ht="25.5" outlineLevel="1" spans="1:21">
      <c r="C388" s="202" t="s">
        <v>1664</v>
      </c>
      <c r="D388" s="202" t="s">
        <v>1665</v>
      </c>
      <c r="E388" s="203">
        <f t="shared" si="111"/>
        <v>2</v>
      </c>
      <c r="F388" s="203">
        <f t="shared" si="113"/>
        <v>8</v>
      </c>
      <c r="G388" s="203">
        <v>1</v>
      </c>
      <c r="H388" s="203">
        <v>1</v>
      </c>
      <c r="I388" s="203">
        <v>0</v>
      </c>
      <c r="J388" s="203">
        <v>0</v>
      </c>
      <c r="K388" s="203">
        <f t="shared" si="112"/>
        <v>1</v>
      </c>
      <c r="L388" s="203">
        <v>0</v>
      </c>
      <c r="M388" s="203" t="s">
        <v>482</v>
      </c>
      <c r="N388" s="203">
        <f t="shared" si="106"/>
        <v>1</v>
      </c>
      <c r="O388" s="202" t="s">
        <v>1649</v>
      </c>
      <c r="P388" s="204"/>
      <c r="R388" s="260" t="s">
        <v>218</v>
      </c>
      <c r="S388" s="260" t="s">
        <v>218</v>
      </c>
      <c r="T388" s="260" t="s">
        <v>218</v>
      </c>
      <c r="U388" s="202" t="s">
        <v>1664</v>
      </c>
    </row>
    <row r="389" s="24" customFormat="1" ht="25.5" outlineLevel="1" spans="1:21">
      <c r="C389" s="202" t="s">
        <v>1666</v>
      </c>
      <c r="D389" s="202" t="s">
        <v>1667</v>
      </c>
      <c r="E389" s="203">
        <f t="shared" si="111"/>
        <v>2</v>
      </c>
      <c r="F389" s="203">
        <f t="shared" si="113"/>
        <v>9</v>
      </c>
      <c r="G389" s="203">
        <v>1</v>
      </c>
      <c r="H389" s="203">
        <v>1</v>
      </c>
      <c r="I389" s="203">
        <v>0</v>
      </c>
      <c r="J389" s="203">
        <v>0</v>
      </c>
      <c r="K389" s="203">
        <f t="shared" si="112"/>
        <v>1</v>
      </c>
      <c r="L389" s="203">
        <v>0</v>
      </c>
      <c r="M389" s="203" t="s">
        <v>482</v>
      </c>
      <c r="N389" s="203">
        <f t="shared" si="106"/>
        <v>1</v>
      </c>
      <c r="O389" s="202" t="s">
        <v>1649</v>
      </c>
      <c r="P389" s="204"/>
      <c r="R389" s="260" t="s">
        <v>218</v>
      </c>
      <c r="S389" s="260" t="s">
        <v>218</v>
      </c>
      <c r="T389" s="260" t="s">
        <v>218</v>
      </c>
      <c r="U389" s="202" t="s">
        <v>1666</v>
      </c>
    </row>
    <row r="390" s="24" customFormat="1" ht="25.5" outlineLevel="1" spans="1:21">
      <c r="C390" s="202" t="s">
        <v>1668</v>
      </c>
      <c r="D390" s="202" t="s">
        <v>1669</v>
      </c>
      <c r="E390" s="203">
        <f t="shared" si="111"/>
        <v>2</v>
      </c>
      <c r="F390" s="203">
        <f t="shared" si="113"/>
        <v>10</v>
      </c>
      <c r="G390" s="203">
        <v>1</v>
      </c>
      <c r="H390" s="203">
        <v>1</v>
      </c>
      <c r="I390" s="203">
        <v>0</v>
      </c>
      <c r="J390" s="203">
        <v>0</v>
      </c>
      <c r="K390" s="203">
        <f t="shared" si="112"/>
        <v>1</v>
      </c>
      <c r="L390" s="203">
        <v>0</v>
      </c>
      <c r="M390" s="203" t="s">
        <v>482</v>
      </c>
      <c r="N390" s="203">
        <f t="shared" si="106"/>
        <v>1</v>
      </c>
      <c r="O390" s="202" t="s">
        <v>1649</v>
      </c>
      <c r="P390" s="204"/>
      <c r="R390" s="260" t="s">
        <v>218</v>
      </c>
      <c r="S390" s="260" t="s">
        <v>218</v>
      </c>
      <c r="T390" s="260" t="s">
        <v>218</v>
      </c>
      <c r="U390" s="202" t="s">
        <v>1668</v>
      </c>
    </row>
    <row r="391" s="24" customFormat="1" ht="25.5" outlineLevel="1" spans="1:21">
      <c r="C391" s="202" t="s">
        <v>1670</v>
      </c>
      <c r="D391" s="202" t="s">
        <v>1671</v>
      </c>
      <c r="E391" s="203">
        <f t="shared" si="111"/>
        <v>2</v>
      </c>
      <c r="F391" s="203">
        <f t="shared" si="113"/>
        <v>11</v>
      </c>
      <c r="G391" s="203">
        <v>1</v>
      </c>
      <c r="H391" s="203">
        <v>1</v>
      </c>
      <c r="I391" s="203">
        <v>0</v>
      </c>
      <c r="J391" s="203">
        <v>0</v>
      </c>
      <c r="K391" s="203">
        <f t="shared" si="112"/>
        <v>1</v>
      </c>
      <c r="L391" s="203">
        <v>0</v>
      </c>
      <c r="M391" s="203" t="s">
        <v>482</v>
      </c>
      <c r="N391" s="203">
        <f t="shared" si="106"/>
        <v>1</v>
      </c>
      <c r="O391" s="202" t="s">
        <v>1649</v>
      </c>
      <c r="P391" s="204"/>
      <c r="R391" s="260" t="s">
        <v>218</v>
      </c>
      <c r="S391" s="260" t="s">
        <v>218</v>
      </c>
      <c r="T391" s="260" t="s">
        <v>218</v>
      </c>
      <c r="U391" s="202" t="s">
        <v>1670</v>
      </c>
    </row>
    <row r="392" s="25" customFormat="1" spans="1:21">
      <c r="A392" s="41" t="s">
        <v>311</v>
      </c>
      <c r="B392" s="41" t="s">
        <v>312</v>
      </c>
      <c r="D392" s="255"/>
      <c r="E392" s="256">
        <v>2</v>
      </c>
      <c r="F392" s="257"/>
      <c r="G392" s="257"/>
      <c r="H392" s="257"/>
      <c r="I392" s="257"/>
      <c r="J392" s="257"/>
      <c r="K392" s="257"/>
      <c r="L392" s="257"/>
      <c r="M392" s="257"/>
      <c r="N392" s="43">
        <f>SUM(N393:N404)</f>
        <v>12</v>
      </c>
      <c r="O392" s="265"/>
      <c r="P392" s="265"/>
      <c r="R392" s="258"/>
      <c r="S392" s="258"/>
      <c r="T392" s="258"/>
      <c r="U392" s="258"/>
    </row>
    <row r="393" s="24" customFormat="1" ht="25.5" outlineLevel="1" spans="1:21">
      <c r="C393" s="202" t="s">
        <v>1672</v>
      </c>
      <c r="D393" s="202" t="s">
        <v>1673</v>
      </c>
      <c r="E393" s="203">
        <f>IF(INT((F393+G393-1)/8)+1=INT(F393/8)+1,INT(F393/8)+1,INT(F393/8)+1&amp;"-"&amp;INT((F393+G393-1)/8)+1)</f>
        <v>1</v>
      </c>
      <c r="F393" s="203">
        <v>0</v>
      </c>
      <c r="G393" s="203">
        <v>1</v>
      </c>
      <c r="H393" s="203">
        <v>1</v>
      </c>
      <c r="I393" s="203">
        <v>0</v>
      </c>
      <c r="J393" s="203">
        <v>0</v>
      </c>
      <c r="K393" s="203">
        <f>(POWER(2,G393)-1)*H393+I393</f>
        <v>1</v>
      </c>
      <c r="L393" s="203">
        <v>0</v>
      </c>
      <c r="M393" s="203" t="s">
        <v>482</v>
      </c>
      <c r="N393" s="203">
        <f t="shared" si="106"/>
        <v>1</v>
      </c>
      <c r="O393" s="202" t="s">
        <v>1649</v>
      </c>
      <c r="P393" s="204"/>
      <c r="R393" s="260" t="s">
        <v>218</v>
      </c>
      <c r="S393" s="260" t="s">
        <v>218</v>
      </c>
      <c r="T393" s="202" t="s">
        <v>1672</v>
      </c>
      <c r="U393" s="260" t="s">
        <v>218</v>
      </c>
    </row>
    <row r="394" s="24" customFormat="1" ht="25.5" outlineLevel="1" spans="1:21">
      <c r="C394" s="202" t="s">
        <v>1674</v>
      </c>
      <c r="D394" s="202" t="s">
        <v>1675</v>
      </c>
      <c r="E394" s="203">
        <f t="shared" ref="E394:E403" si="114">IF(INT((F394+G394-1)/8)+1=INT(F394/8)+1,INT(F394/8)+1,INT(F394/8)+1&amp;"-"&amp;INT((F394+G394-1)/8)+1)</f>
        <v>1</v>
      </c>
      <c r="F394" s="203">
        <f>F393+G393</f>
        <v>1</v>
      </c>
      <c r="G394" s="203">
        <v>1</v>
      </c>
      <c r="H394" s="203">
        <v>1</v>
      </c>
      <c r="I394" s="203">
        <v>0</v>
      </c>
      <c r="J394" s="203">
        <v>0</v>
      </c>
      <c r="K394" s="203">
        <f t="shared" ref="K394:K404" si="115">(POWER(2,G394)-1)*H394+I394</f>
        <v>1</v>
      </c>
      <c r="L394" s="203">
        <v>0</v>
      </c>
      <c r="M394" s="203" t="s">
        <v>482</v>
      </c>
      <c r="N394" s="203">
        <f t="shared" si="106"/>
        <v>1</v>
      </c>
      <c r="O394" s="202" t="s">
        <v>1649</v>
      </c>
      <c r="P394" s="204"/>
      <c r="R394" s="260" t="s">
        <v>218</v>
      </c>
      <c r="S394" s="260" t="s">
        <v>218</v>
      </c>
      <c r="T394" s="202" t="s">
        <v>1674</v>
      </c>
      <c r="U394" s="260" t="s">
        <v>218</v>
      </c>
    </row>
    <row r="395" s="24" customFormat="1" ht="25.5" outlineLevel="1" spans="1:21">
      <c r="C395" s="202" t="s">
        <v>1676</v>
      </c>
      <c r="D395" s="202" t="s">
        <v>1677</v>
      </c>
      <c r="E395" s="203">
        <f t="shared" si="114"/>
        <v>1</v>
      </c>
      <c r="F395" s="203">
        <f t="shared" ref="F395:F403" si="116">F394+G394</f>
        <v>2</v>
      </c>
      <c r="G395" s="203">
        <v>1</v>
      </c>
      <c r="H395" s="203">
        <v>1</v>
      </c>
      <c r="I395" s="203">
        <v>0</v>
      </c>
      <c r="J395" s="203">
        <v>0</v>
      </c>
      <c r="K395" s="203">
        <f t="shared" si="115"/>
        <v>1</v>
      </c>
      <c r="L395" s="203">
        <v>0</v>
      </c>
      <c r="M395" s="203" t="s">
        <v>482</v>
      </c>
      <c r="N395" s="203">
        <f t="shared" si="106"/>
        <v>1</v>
      </c>
      <c r="O395" s="202" t="s">
        <v>1649</v>
      </c>
      <c r="P395" s="204"/>
      <c r="R395" s="260" t="s">
        <v>218</v>
      </c>
      <c r="S395" s="260" t="s">
        <v>218</v>
      </c>
      <c r="T395" s="202" t="s">
        <v>1676</v>
      </c>
      <c r="U395" s="260" t="s">
        <v>218</v>
      </c>
    </row>
    <row r="396" s="24" customFormat="1" ht="25.5" outlineLevel="1" spans="1:21">
      <c r="C396" s="202" t="s">
        <v>1678</v>
      </c>
      <c r="D396" s="202" t="s">
        <v>1679</v>
      </c>
      <c r="E396" s="203">
        <f t="shared" si="114"/>
        <v>1</v>
      </c>
      <c r="F396" s="203">
        <f t="shared" si="116"/>
        <v>3</v>
      </c>
      <c r="G396" s="203">
        <v>1</v>
      </c>
      <c r="H396" s="203">
        <v>1</v>
      </c>
      <c r="I396" s="203">
        <v>0</v>
      </c>
      <c r="J396" s="203">
        <v>0</v>
      </c>
      <c r="K396" s="203">
        <f t="shared" si="115"/>
        <v>1</v>
      </c>
      <c r="L396" s="203">
        <v>0</v>
      </c>
      <c r="M396" s="203" t="s">
        <v>482</v>
      </c>
      <c r="N396" s="203">
        <f t="shared" si="106"/>
        <v>1</v>
      </c>
      <c r="O396" s="202" t="s">
        <v>1649</v>
      </c>
      <c r="P396" s="204"/>
      <c r="R396" s="260" t="s">
        <v>218</v>
      </c>
      <c r="S396" s="260" t="s">
        <v>218</v>
      </c>
      <c r="T396" s="202" t="s">
        <v>1678</v>
      </c>
      <c r="U396" s="260" t="s">
        <v>218</v>
      </c>
    </row>
    <row r="397" s="24" customFormat="1" ht="25.5" outlineLevel="1" spans="1:21">
      <c r="C397" s="202" t="s">
        <v>1680</v>
      </c>
      <c r="D397" s="202" t="s">
        <v>1681</v>
      </c>
      <c r="E397" s="203">
        <f t="shared" si="114"/>
        <v>1</v>
      </c>
      <c r="F397" s="203">
        <f t="shared" si="116"/>
        <v>4</v>
      </c>
      <c r="G397" s="203">
        <v>1</v>
      </c>
      <c r="H397" s="203">
        <v>1</v>
      </c>
      <c r="I397" s="203">
        <v>0</v>
      </c>
      <c r="J397" s="203">
        <v>0</v>
      </c>
      <c r="K397" s="203">
        <f t="shared" si="115"/>
        <v>1</v>
      </c>
      <c r="L397" s="203">
        <v>0</v>
      </c>
      <c r="M397" s="203" t="s">
        <v>482</v>
      </c>
      <c r="N397" s="203">
        <f t="shared" si="106"/>
        <v>1</v>
      </c>
      <c r="O397" s="202" t="s">
        <v>1649</v>
      </c>
      <c r="P397" s="204"/>
      <c r="R397" s="260" t="s">
        <v>218</v>
      </c>
      <c r="S397" s="260" t="s">
        <v>218</v>
      </c>
      <c r="T397" s="202" t="s">
        <v>1680</v>
      </c>
      <c r="U397" s="260" t="s">
        <v>218</v>
      </c>
    </row>
    <row r="398" s="24" customFormat="1" ht="25.5" outlineLevel="1" spans="1:21">
      <c r="C398" s="202" t="s">
        <v>1682</v>
      </c>
      <c r="D398" s="202" t="s">
        <v>1683</v>
      </c>
      <c r="E398" s="203">
        <f t="shared" si="114"/>
        <v>1</v>
      </c>
      <c r="F398" s="203">
        <f t="shared" si="116"/>
        <v>5</v>
      </c>
      <c r="G398" s="203">
        <v>1</v>
      </c>
      <c r="H398" s="203">
        <v>1</v>
      </c>
      <c r="I398" s="203">
        <v>0</v>
      </c>
      <c r="J398" s="203">
        <v>0</v>
      </c>
      <c r="K398" s="203">
        <f t="shared" si="115"/>
        <v>1</v>
      </c>
      <c r="L398" s="203">
        <v>0</v>
      </c>
      <c r="M398" s="203" t="s">
        <v>482</v>
      </c>
      <c r="N398" s="203">
        <f t="shared" si="106"/>
        <v>1</v>
      </c>
      <c r="O398" s="202" t="s">
        <v>1649</v>
      </c>
      <c r="P398" s="204"/>
      <c r="R398" s="260" t="s">
        <v>218</v>
      </c>
      <c r="S398" s="260" t="s">
        <v>218</v>
      </c>
      <c r="T398" s="202" t="s">
        <v>1682</v>
      </c>
      <c r="U398" s="260" t="s">
        <v>218</v>
      </c>
    </row>
    <row r="399" s="24" customFormat="1" ht="25.5" outlineLevel="1" spans="1:21">
      <c r="C399" s="202" t="s">
        <v>1684</v>
      </c>
      <c r="D399" s="202" t="s">
        <v>1685</v>
      </c>
      <c r="E399" s="203">
        <f t="shared" si="114"/>
        <v>1</v>
      </c>
      <c r="F399" s="203">
        <f t="shared" si="116"/>
        <v>6</v>
      </c>
      <c r="G399" s="203">
        <v>1</v>
      </c>
      <c r="H399" s="203">
        <v>1</v>
      </c>
      <c r="I399" s="203">
        <v>0</v>
      </c>
      <c r="J399" s="203">
        <v>0</v>
      </c>
      <c r="K399" s="203">
        <f t="shared" si="115"/>
        <v>1</v>
      </c>
      <c r="L399" s="203">
        <v>0</v>
      </c>
      <c r="M399" s="203" t="s">
        <v>482</v>
      </c>
      <c r="N399" s="203">
        <f t="shared" si="106"/>
        <v>1</v>
      </c>
      <c r="O399" s="202" t="s">
        <v>1649</v>
      </c>
      <c r="P399" s="204"/>
      <c r="R399" s="260" t="s">
        <v>218</v>
      </c>
      <c r="S399" s="260" t="s">
        <v>218</v>
      </c>
      <c r="T399" s="202" t="s">
        <v>1684</v>
      </c>
      <c r="U399" s="260" t="s">
        <v>218</v>
      </c>
    </row>
    <row r="400" s="24" customFormat="1" ht="25.5" outlineLevel="1" spans="1:21">
      <c r="C400" s="202" t="s">
        <v>1686</v>
      </c>
      <c r="D400" s="202" t="s">
        <v>1669</v>
      </c>
      <c r="E400" s="203">
        <f t="shared" si="114"/>
        <v>1</v>
      </c>
      <c r="F400" s="203">
        <f t="shared" si="116"/>
        <v>7</v>
      </c>
      <c r="G400" s="203">
        <v>1</v>
      </c>
      <c r="H400" s="203">
        <v>1</v>
      </c>
      <c r="I400" s="203">
        <v>0</v>
      </c>
      <c r="J400" s="203">
        <v>0</v>
      </c>
      <c r="K400" s="203">
        <f t="shared" si="115"/>
        <v>1</v>
      </c>
      <c r="L400" s="203">
        <v>0</v>
      </c>
      <c r="M400" s="203" t="s">
        <v>482</v>
      </c>
      <c r="N400" s="203">
        <f t="shared" si="106"/>
        <v>1</v>
      </c>
      <c r="O400" s="202" t="s">
        <v>1649</v>
      </c>
      <c r="P400" s="204"/>
      <c r="R400" s="260" t="s">
        <v>218</v>
      </c>
      <c r="S400" s="260" t="s">
        <v>218</v>
      </c>
      <c r="T400" s="202" t="s">
        <v>1686</v>
      </c>
      <c r="U400" s="260" t="s">
        <v>218</v>
      </c>
    </row>
    <row r="401" s="24" customFormat="1" ht="25.5" outlineLevel="1" spans="1:21">
      <c r="C401" s="202" t="s">
        <v>1687</v>
      </c>
      <c r="D401" s="202" t="s">
        <v>1671</v>
      </c>
      <c r="E401" s="203">
        <f t="shared" si="114"/>
        <v>2</v>
      </c>
      <c r="F401" s="203">
        <f t="shared" si="116"/>
        <v>8</v>
      </c>
      <c r="G401" s="203">
        <v>1</v>
      </c>
      <c r="H401" s="203">
        <v>1</v>
      </c>
      <c r="I401" s="203">
        <v>0</v>
      </c>
      <c r="J401" s="203">
        <v>0</v>
      </c>
      <c r="K401" s="203">
        <f t="shared" si="115"/>
        <v>1</v>
      </c>
      <c r="L401" s="203">
        <v>0</v>
      </c>
      <c r="M401" s="203" t="s">
        <v>482</v>
      </c>
      <c r="N401" s="203">
        <f t="shared" si="106"/>
        <v>1</v>
      </c>
      <c r="O401" s="202" t="s">
        <v>1649</v>
      </c>
      <c r="P401" s="204"/>
      <c r="R401" s="260" t="s">
        <v>218</v>
      </c>
      <c r="S401" s="260" t="s">
        <v>218</v>
      </c>
      <c r="T401" s="202" t="s">
        <v>1687</v>
      </c>
      <c r="U401" s="260" t="s">
        <v>218</v>
      </c>
    </row>
    <row r="402" s="24" customFormat="1" ht="25.5" outlineLevel="1" spans="1:21">
      <c r="C402" s="202" t="s">
        <v>1688</v>
      </c>
      <c r="D402" s="202" t="s">
        <v>1689</v>
      </c>
      <c r="E402" s="203">
        <f t="shared" si="114"/>
        <v>2</v>
      </c>
      <c r="F402" s="203">
        <f t="shared" si="116"/>
        <v>9</v>
      </c>
      <c r="G402" s="203">
        <v>1</v>
      </c>
      <c r="H402" s="203">
        <v>1</v>
      </c>
      <c r="I402" s="203">
        <v>0</v>
      </c>
      <c r="J402" s="203">
        <v>0</v>
      </c>
      <c r="K402" s="203">
        <f t="shared" si="115"/>
        <v>1</v>
      </c>
      <c r="L402" s="203">
        <v>0</v>
      </c>
      <c r="M402" s="203" t="s">
        <v>482</v>
      </c>
      <c r="N402" s="203">
        <f t="shared" si="106"/>
        <v>1</v>
      </c>
      <c r="O402" s="202" t="s">
        <v>1649</v>
      </c>
      <c r="P402" s="204"/>
      <c r="R402" s="260" t="s">
        <v>218</v>
      </c>
      <c r="S402" s="260" t="s">
        <v>218</v>
      </c>
      <c r="T402" s="202" t="s">
        <v>1688</v>
      </c>
      <c r="U402" s="260" t="s">
        <v>218</v>
      </c>
    </row>
    <row r="403" s="24" customFormat="1" ht="25.5" outlineLevel="1" spans="1:21">
      <c r="C403" s="202" t="s">
        <v>1690</v>
      </c>
      <c r="D403" s="202" t="s">
        <v>1691</v>
      </c>
      <c r="E403" s="203">
        <f t="shared" si="114"/>
        <v>2</v>
      </c>
      <c r="F403" s="203">
        <f t="shared" si="116"/>
        <v>10</v>
      </c>
      <c r="G403" s="203">
        <v>1</v>
      </c>
      <c r="H403" s="203">
        <v>1</v>
      </c>
      <c r="I403" s="203">
        <v>0</v>
      </c>
      <c r="J403" s="203">
        <v>0</v>
      </c>
      <c r="K403" s="203">
        <f t="shared" si="115"/>
        <v>1</v>
      </c>
      <c r="L403" s="203">
        <v>0</v>
      </c>
      <c r="M403" s="203" t="s">
        <v>482</v>
      </c>
      <c r="N403" s="203">
        <f t="shared" si="106"/>
        <v>1</v>
      </c>
      <c r="O403" s="202" t="s">
        <v>1649</v>
      </c>
      <c r="P403" s="204"/>
      <c r="R403" s="260" t="s">
        <v>218</v>
      </c>
      <c r="S403" s="260" t="s">
        <v>218</v>
      </c>
      <c r="T403" s="202" t="s">
        <v>1690</v>
      </c>
      <c r="U403" s="260" t="s">
        <v>218</v>
      </c>
    </row>
    <row r="404" s="24" customFormat="1" ht="25.5" outlineLevel="1" spans="1:21">
      <c r="C404" s="202" t="s">
        <v>1692</v>
      </c>
      <c r="D404" s="202" t="s">
        <v>1693</v>
      </c>
      <c r="E404" s="203">
        <f t="shared" ref="E404" si="117">IF(INT((F404+G404-1)/8)+1=INT(F404/8)+1,INT(F404/8)+1,INT(F404/8)+1&amp;"-"&amp;INT((F404+G404-1)/8)+1)</f>
        <v>2</v>
      </c>
      <c r="F404" s="203">
        <f t="shared" ref="F404" si="118">F403+G403</f>
        <v>11</v>
      </c>
      <c r="G404" s="203">
        <v>1</v>
      </c>
      <c r="H404" s="203">
        <v>1</v>
      </c>
      <c r="I404" s="203">
        <v>0</v>
      </c>
      <c r="J404" s="203">
        <v>0</v>
      </c>
      <c r="K404" s="203">
        <f t="shared" si="115"/>
        <v>1</v>
      </c>
      <c r="L404" s="203">
        <v>0</v>
      </c>
      <c r="M404" s="203" t="s">
        <v>482</v>
      </c>
      <c r="N404" s="203">
        <f t="shared" si="106"/>
        <v>1</v>
      </c>
      <c r="O404" s="202" t="s">
        <v>1649</v>
      </c>
      <c r="P404" s="204"/>
      <c r="R404" s="260" t="s">
        <v>218</v>
      </c>
      <c r="S404" s="260" t="s">
        <v>218</v>
      </c>
      <c r="T404" s="202" t="s">
        <v>1692</v>
      </c>
      <c r="U404" s="260" t="s">
        <v>218</v>
      </c>
    </row>
    <row r="405" s="25" customFormat="1" ht="25.5" spans="1:21">
      <c r="A405" s="41" t="s">
        <v>314</v>
      </c>
      <c r="B405" s="41" t="str">
        <f>VLOOKUP(A405,'Message ID'!A:M,2,FALSE)</f>
        <v>SOX算法调试的输入数据，包含电流、电压、温度等</v>
      </c>
      <c r="D405" s="255"/>
      <c r="E405" s="256">
        <v>60</v>
      </c>
      <c r="F405" s="257"/>
      <c r="G405" s="257"/>
      <c r="H405" s="257"/>
      <c r="I405" s="257"/>
      <c r="J405" s="257"/>
      <c r="K405" s="257"/>
      <c r="L405" s="257"/>
      <c r="M405" s="257"/>
      <c r="N405" s="43">
        <f>SUM(N406:N437)</f>
        <v>155</v>
      </c>
      <c r="O405" s="265"/>
      <c r="P405" s="265"/>
      <c r="R405" s="258"/>
      <c r="S405" s="258"/>
      <c r="T405" s="258"/>
      <c r="U405" s="258"/>
    </row>
    <row r="406" s="24" customFormat="1" ht="25.5" outlineLevel="1" spans="1:21">
      <c r="C406" s="202" t="s">
        <v>418</v>
      </c>
      <c r="D406" s="202" t="s">
        <v>1694</v>
      </c>
      <c r="E406" s="203" t="str">
        <f>IF(INT((F406+G406-1)/8)+1=INT(F406/8)+1,INT(F406/8)+1,INT(F406/8)+1&amp;"-"&amp;INT((F406+G406-1)/8)+1)</f>
        <v>1-4</v>
      </c>
      <c r="F406" s="204">
        <v>0</v>
      </c>
      <c r="G406" s="204">
        <v>32</v>
      </c>
      <c r="H406" s="272">
        <v>0.001</v>
      </c>
      <c r="I406" s="204">
        <v>-2000</v>
      </c>
      <c r="J406" s="272">
        <v>-2000</v>
      </c>
      <c r="K406" s="273">
        <v>2000.001</v>
      </c>
      <c r="L406" s="204">
        <v>0</v>
      </c>
      <c r="M406" s="204" t="s">
        <v>416</v>
      </c>
      <c r="N406" s="75">
        <f t="shared" si="106"/>
        <v>8</v>
      </c>
      <c r="O406" s="202"/>
      <c r="P406" s="204"/>
      <c r="R406" s="202" t="s">
        <v>418</v>
      </c>
      <c r="S406" s="202" t="s">
        <v>1695</v>
      </c>
      <c r="T406" s="260" t="s">
        <v>218</v>
      </c>
      <c r="U406" s="260" t="s">
        <v>218</v>
      </c>
    </row>
    <row r="407" s="24" customFormat="1" ht="25.5" outlineLevel="1" spans="1:21">
      <c r="C407" s="202" t="s">
        <v>1696</v>
      </c>
      <c r="D407" s="202" t="s">
        <v>564</v>
      </c>
      <c r="E407" s="203" t="str">
        <f t="shared" ref="E407:E419" si="119">IF(INT((F407+G407-1)/8)+1=INT(F407/8)+1,INT(F407/8)+1,INT(F407/8)+1&amp;"-"&amp;INT((F407+G407-1)/8)+1)</f>
        <v>5-6</v>
      </c>
      <c r="F407" s="208">
        <f>F406+G406</f>
        <v>32</v>
      </c>
      <c r="G407" s="204">
        <v>16</v>
      </c>
      <c r="H407" s="272">
        <v>1</v>
      </c>
      <c r="I407" s="204">
        <v>0</v>
      </c>
      <c r="J407" s="272">
        <v>0</v>
      </c>
      <c r="K407" s="273">
        <v>5000</v>
      </c>
      <c r="L407" s="204">
        <v>0</v>
      </c>
      <c r="M407" s="204" t="s">
        <v>440</v>
      </c>
      <c r="N407" s="75">
        <f t="shared" si="106"/>
        <v>4</v>
      </c>
      <c r="O407" s="202"/>
      <c r="P407" s="204"/>
      <c r="R407" s="202" t="s">
        <v>1696</v>
      </c>
      <c r="S407" s="260" t="s">
        <v>218</v>
      </c>
      <c r="T407" s="260" t="s">
        <v>218</v>
      </c>
      <c r="U407" s="260" t="s">
        <v>218</v>
      </c>
    </row>
    <row r="408" s="24" customFormat="1" ht="25.5" outlineLevel="1" spans="1:21">
      <c r="C408" s="202" t="s">
        <v>1697</v>
      </c>
      <c r="D408" s="202" t="s">
        <v>574</v>
      </c>
      <c r="E408" s="203" t="str">
        <f t="shared" si="119"/>
        <v>7-8</v>
      </c>
      <c r="F408" s="208">
        <f t="shared" ref="F408:F437" si="120">F407+G407</f>
        <v>48</v>
      </c>
      <c r="G408" s="204">
        <v>16</v>
      </c>
      <c r="H408" s="272">
        <v>1</v>
      </c>
      <c r="I408" s="204">
        <v>0</v>
      </c>
      <c r="J408" s="272">
        <v>0</v>
      </c>
      <c r="K408" s="273">
        <v>5000</v>
      </c>
      <c r="L408" s="204">
        <v>0</v>
      </c>
      <c r="M408" s="204" t="s">
        <v>440</v>
      </c>
      <c r="N408" s="75">
        <f t="shared" si="106"/>
        <v>4</v>
      </c>
      <c r="O408" s="202"/>
      <c r="P408" s="204"/>
      <c r="R408" s="202" t="s">
        <v>1697</v>
      </c>
      <c r="S408" s="260" t="s">
        <v>218</v>
      </c>
      <c r="T408" s="260" t="s">
        <v>218</v>
      </c>
      <c r="U408" s="260" t="s">
        <v>218</v>
      </c>
    </row>
    <row r="409" s="24" customFormat="1" ht="25.5" outlineLevel="1" spans="1:21">
      <c r="C409" s="202" t="s">
        <v>1698</v>
      </c>
      <c r="D409" s="202" t="s">
        <v>1699</v>
      </c>
      <c r="E409" s="203" t="str">
        <f t="shared" si="119"/>
        <v>9-10</v>
      </c>
      <c r="F409" s="208">
        <f t="shared" si="120"/>
        <v>64</v>
      </c>
      <c r="G409" s="204">
        <v>16</v>
      </c>
      <c r="H409" s="272">
        <v>0.1</v>
      </c>
      <c r="I409" s="204">
        <v>-40</v>
      </c>
      <c r="J409" s="204">
        <v>-40</v>
      </c>
      <c r="K409" s="84">
        <v>125.1</v>
      </c>
      <c r="L409" s="204">
        <v>25</v>
      </c>
      <c r="M409" s="204" t="s">
        <v>427</v>
      </c>
      <c r="N409" s="75">
        <f t="shared" si="106"/>
        <v>5</v>
      </c>
      <c r="O409" s="202"/>
      <c r="P409" s="204"/>
      <c r="R409" s="202" t="s">
        <v>1698</v>
      </c>
      <c r="S409" s="260" t="s">
        <v>218</v>
      </c>
      <c r="T409" s="260" t="s">
        <v>218</v>
      </c>
      <c r="U409" s="260" t="s">
        <v>218</v>
      </c>
    </row>
    <row r="410" s="24" customFormat="1" ht="25.5" outlineLevel="1" spans="1:21">
      <c r="C410" s="202" t="s">
        <v>1700</v>
      </c>
      <c r="D410" s="202" t="s">
        <v>596</v>
      </c>
      <c r="E410" s="203" t="str">
        <f t="shared" si="119"/>
        <v>11-12</v>
      </c>
      <c r="F410" s="208">
        <f t="shared" si="120"/>
        <v>80</v>
      </c>
      <c r="G410" s="204">
        <v>16</v>
      </c>
      <c r="H410" s="272">
        <v>0.1</v>
      </c>
      <c r="I410" s="204">
        <v>-40</v>
      </c>
      <c r="J410" s="204">
        <v>-40</v>
      </c>
      <c r="K410" s="84">
        <v>125.1</v>
      </c>
      <c r="L410" s="204">
        <v>25</v>
      </c>
      <c r="M410" s="204" t="s">
        <v>427</v>
      </c>
      <c r="N410" s="75">
        <f t="shared" si="106"/>
        <v>5</v>
      </c>
      <c r="O410" s="202"/>
      <c r="P410" s="204"/>
      <c r="R410" s="202" t="s">
        <v>1700</v>
      </c>
      <c r="S410" s="260" t="s">
        <v>218</v>
      </c>
      <c r="T410" s="260" t="s">
        <v>218</v>
      </c>
      <c r="U410" s="260" t="s">
        <v>218</v>
      </c>
    </row>
    <row r="411" s="24" customFormat="1" ht="25.5" outlineLevel="1" spans="1:21">
      <c r="C411" s="202" t="s">
        <v>1701</v>
      </c>
      <c r="D411" s="202" t="s">
        <v>606</v>
      </c>
      <c r="E411" s="203" t="str">
        <f t="shared" si="119"/>
        <v>13-14</v>
      </c>
      <c r="F411" s="208">
        <f t="shared" si="120"/>
        <v>96</v>
      </c>
      <c r="G411" s="204">
        <v>16</v>
      </c>
      <c r="H411" s="272">
        <v>0.1</v>
      </c>
      <c r="I411" s="204">
        <v>-40</v>
      </c>
      <c r="J411" s="204">
        <v>-40</v>
      </c>
      <c r="K411" s="84">
        <v>125.1</v>
      </c>
      <c r="L411" s="204">
        <v>25</v>
      </c>
      <c r="M411" s="204" t="s">
        <v>427</v>
      </c>
      <c r="N411" s="75">
        <f t="shared" si="106"/>
        <v>5</v>
      </c>
      <c r="O411" s="202"/>
      <c r="P411" s="204"/>
      <c r="R411" s="202" t="s">
        <v>1701</v>
      </c>
      <c r="S411" s="260" t="s">
        <v>218</v>
      </c>
      <c r="T411" s="260" t="s">
        <v>218</v>
      </c>
      <c r="U411" s="260" t="s">
        <v>218</v>
      </c>
    </row>
    <row r="412" s="24" customFormat="1" ht="25.5" outlineLevel="1" spans="1:21">
      <c r="C412" s="202" t="s">
        <v>1702</v>
      </c>
      <c r="D412" s="202" t="s">
        <v>1703</v>
      </c>
      <c r="E412" s="203">
        <f t="shared" si="119"/>
        <v>15</v>
      </c>
      <c r="F412" s="208">
        <f t="shared" si="120"/>
        <v>112</v>
      </c>
      <c r="G412" s="204">
        <v>8</v>
      </c>
      <c r="H412" s="272">
        <v>1</v>
      </c>
      <c r="I412" s="204">
        <v>0</v>
      </c>
      <c r="J412" s="272">
        <v>0</v>
      </c>
      <c r="K412" s="272">
        <f t="shared" ref="K412:K435" si="121">(POWER(2,G412)-1)*H412+I412</f>
        <v>255</v>
      </c>
      <c r="L412" s="204">
        <v>0</v>
      </c>
      <c r="M412" s="204" t="s">
        <v>602</v>
      </c>
      <c r="N412" s="75">
        <f t="shared" si="106"/>
        <v>3</v>
      </c>
      <c r="O412" s="202" t="s">
        <v>1704</v>
      </c>
      <c r="P412" s="204"/>
      <c r="R412" s="202" t="s">
        <v>1702</v>
      </c>
      <c r="S412" s="202" t="s">
        <v>1705</v>
      </c>
      <c r="T412" s="260" t="s">
        <v>218</v>
      </c>
      <c r="U412" s="260" t="s">
        <v>218</v>
      </c>
    </row>
    <row r="413" s="24" customFormat="1" ht="25.5" outlineLevel="1" spans="1:21">
      <c r="C413" s="202" t="s">
        <v>1706</v>
      </c>
      <c r="D413" s="202" t="s">
        <v>1707</v>
      </c>
      <c r="E413" s="203">
        <f t="shared" si="119"/>
        <v>16</v>
      </c>
      <c r="F413" s="208">
        <f t="shared" si="120"/>
        <v>120</v>
      </c>
      <c r="G413" s="204">
        <v>8</v>
      </c>
      <c r="H413" s="272">
        <v>1</v>
      </c>
      <c r="I413" s="204">
        <v>0</v>
      </c>
      <c r="J413" s="272">
        <v>0</v>
      </c>
      <c r="K413" s="272">
        <f t="shared" si="121"/>
        <v>255</v>
      </c>
      <c r="L413" s="204">
        <v>0</v>
      </c>
      <c r="M413" s="204" t="s">
        <v>602</v>
      </c>
      <c r="N413" s="75">
        <f t="shared" si="106"/>
        <v>3</v>
      </c>
      <c r="O413" s="202" t="s">
        <v>1708</v>
      </c>
      <c r="P413" s="204"/>
      <c r="R413" s="202" t="s">
        <v>1706</v>
      </c>
      <c r="S413" s="202" t="s">
        <v>1709</v>
      </c>
      <c r="T413" s="260" t="s">
        <v>218</v>
      </c>
      <c r="U413" s="260" t="s">
        <v>218</v>
      </c>
    </row>
    <row r="414" s="24" customFormat="1" ht="25.5" outlineLevel="1" spans="1:21">
      <c r="C414" s="202" t="s">
        <v>769</v>
      </c>
      <c r="D414" s="125" t="s">
        <v>1710</v>
      </c>
      <c r="E414" s="203" t="str">
        <f t="shared" si="119"/>
        <v>17-20</v>
      </c>
      <c r="F414" s="208">
        <f t="shared" si="120"/>
        <v>128</v>
      </c>
      <c r="G414" s="204">
        <v>32</v>
      </c>
      <c r="H414" s="272">
        <v>0.0625</v>
      </c>
      <c r="I414" s="204">
        <v>0</v>
      </c>
      <c r="J414" s="272">
        <v>0</v>
      </c>
      <c r="K414" s="272">
        <f t="shared" si="121"/>
        <v>268435455.9375</v>
      </c>
      <c r="L414" s="204">
        <v>0</v>
      </c>
      <c r="M414" s="204" t="s">
        <v>652</v>
      </c>
      <c r="N414" s="75">
        <f t="shared" si="106"/>
        <v>14</v>
      </c>
      <c r="O414" s="202"/>
      <c r="P414" s="204"/>
      <c r="R414" s="202" t="s">
        <v>769</v>
      </c>
      <c r="S414" s="59" t="s">
        <v>890</v>
      </c>
      <c r="T414" s="260" t="s">
        <v>218</v>
      </c>
      <c r="U414" s="260" t="s">
        <v>218</v>
      </c>
    </row>
    <row r="415" s="24" customFormat="1" ht="25.5" outlineLevel="1" spans="1:21">
      <c r="C415" s="202" t="s">
        <v>760</v>
      </c>
      <c r="D415" s="125" t="s">
        <v>1711</v>
      </c>
      <c r="E415" s="203" t="str">
        <f t="shared" si="119"/>
        <v>21-24</v>
      </c>
      <c r="F415" s="208">
        <f t="shared" si="120"/>
        <v>160</v>
      </c>
      <c r="G415" s="204">
        <v>32</v>
      </c>
      <c r="H415" s="272">
        <v>0.0625</v>
      </c>
      <c r="I415" s="204">
        <v>0</v>
      </c>
      <c r="J415" s="272">
        <v>0</v>
      </c>
      <c r="K415" s="272">
        <f t="shared" si="121"/>
        <v>268435455.9375</v>
      </c>
      <c r="L415" s="204">
        <v>0</v>
      </c>
      <c r="M415" s="204" t="s">
        <v>652</v>
      </c>
      <c r="N415" s="75">
        <f t="shared" si="106"/>
        <v>14</v>
      </c>
      <c r="O415" s="202"/>
      <c r="P415" s="204"/>
      <c r="R415" s="202" t="s">
        <v>760</v>
      </c>
      <c r="S415" s="59" t="s">
        <v>882</v>
      </c>
      <c r="T415" s="260" t="s">
        <v>218</v>
      </c>
      <c r="U415" s="260" t="s">
        <v>218</v>
      </c>
    </row>
    <row r="416" s="24" customFormat="1" ht="25.5" outlineLevel="1" spans="1:21">
      <c r="C416" s="202" t="s">
        <v>1712</v>
      </c>
      <c r="D416" s="202" t="s">
        <v>1713</v>
      </c>
      <c r="E416" s="203">
        <f t="shared" si="119"/>
        <v>25</v>
      </c>
      <c r="F416" s="208">
        <f t="shared" si="120"/>
        <v>192</v>
      </c>
      <c r="G416" s="204">
        <v>8</v>
      </c>
      <c r="H416" s="272">
        <v>1</v>
      </c>
      <c r="I416" s="204">
        <v>0</v>
      </c>
      <c r="J416" s="272">
        <v>0</v>
      </c>
      <c r="K416" s="272">
        <f t="shared" si="121"/>
        <v>255</v>
      </c>
      <c r="L416" s="204">
        <v>0</v>
      </c>
      <c r="M416" s="204" t="s">
        <v>602</v>
      </c>
      <c r="N416" s="75">
        <f t="shared" si="106"/>
        <v>3</v>
      </c>
      <c r="O416" s="202" t="s">
        <v>1714</v>
      </c>
      <c r="P416" s="204"/>
      <c r="R416" s="202" t="s">
        <v>1712</v>
      </c>
      <c r="S416" s="202" t="s">
        <v>1715</v>
      </c>
      <c r="T416" s="260" t="s">
        <v>218</v>
      </c>
      <c r="U416" s="260" t="s">
        <v>218</v>
      </c>
    </row>
    <row r="417" s="24" customFormat="1" ht="25.5" outlineLevel="1" spans="3:21">
      <c r="C417" s="202" t="s">
        <v>466</v>
      </c>
      <c r="D417" s="102" t="s">
        <v>1716</v>
      </c>
      <c r="E417" s="203" t="str">
        <f t="shared" si="119"/>
        <v>26-29</v>
      </c>
      <c r="F417" s="208">
        <f t="shared" si="120"/>
        <v>200</v>
      </c>
      <c r="G417" s="204">
        <v>32</v>
      </c>
      <c r="H417" s="272">
        <v>1</v>
      </c>
      <c r="I417" s="204">
        <v>0</v>
      </c>
      <c r="J417" s="272">
        <v>0</v>
      </c>
      <c r="K417" s="272">
        <f t="shared" si="121"/>
        <v>4294967295</v>
      </c>
      <c r="L417" s="204">
        <v>0</v>
      </c>
      <c r="M417" s="204" t="s">
        <v>455</v>
      </c>
      <c r="N417" s="75">
        <f t="shared" si="106"/>
        <v>10</v>
      </c>
      <c r="O417" s="202"/>
      <c r="P417" s="204"/>
      <c r="R417" s="202" t="s">
        <v>466</v>
      </c>
      <c r="S417" s="202" t="s">
        <v>1717</v>
      </c>
      <c r="T417" s="260" t="s">
        <v>218</v>
      </c>
      <c r="U417" s="260" t="s">
        <v>218</v>
      </c>
    </row>
    <row r="418" s="24" customFormat="1" ht="25.5" outlineLevel="1" spans="3:21">
      <c r="C418" s="202" t="s">
        <v>1718</v>
      </c>
      <c r="D418" s="202" t="s">
        <v>1719</v>
      </c>
      <c r="E418" s="203" t="str">
        <f t="shared" si="119"/>
        <v>30-33</v>
      </c>
      <c r="F418" s="208">
        <f t="shared" si="120"/>
        <v>232</v>
      </c>
      <c r="G418" s="204">
        <v>32</v>
      </c>
      <c r="H418" s="272">
        <v>1</v>
      </c>
      <c r="I418" s="204">
        <v>0</v>
      </c>
      <c r="J418" s="272">
        <v>0</v>
      </c>
      <c r="K418" s="272">
        <f t="shared" si="121"/>
        <v>4294967295</v>
      </c>
      <c r="L418" s="204">
        <v>0</v>
      </c>
      <c r="M418" s="204" t="s">
        <v>455</v>
      </c>
      <c r="N418" s="75">
        <f t="shared" si="106"/>
        <v>10</v>
      </c>
      <c r="O418" s="202"/>
      <c r="P418" s="204"/>
      <c r="R418" s="202" t="s">
        <v>1718</v>
      </c>
      <c r="S418" s="202" t="s">
        <v>458</v>
      </c>
      <c r="T418" s="260" t="s">
        <v>218</v>
      </c>
      <c r="U418" s="260" t="s">
        <v>218</v>
      </c>
    </row>
    <row r="419" s="24" customFormat="1" ht="25.5" outlineLevel="1" spans="3:21">
      <c r="C419" s="202" t="s">
        <v>1720</v>
      </c>
      <c r="D419" s="202" t="s">
        <v>1721</v>
      </c>
      <c r="E419" s="203" t="str">
        <f t="shared" si="119"/>
        <v>34-37</v>
      </c>
      <c r="F419" s="208">
        <f t="shared" si="120"/>
        <v>264</v>
      </c>
      <c r="G419" s="204">
        <v>32</v>
      </c>
      <c r="H419" s="272">
        <v>1</v>
      </c>
      <c r="I419" s="204">
        <v>0</v>
      </c>
      <c r="J419" s="272">
        <v>0</v>
      </c>
      <c r="K419" s="272">
        <f t="shared" si="121"/>
        <v>4294967295</v>
      </c>
      <c r="L419" s="204">
        <v>0</v>
      </c>
      <c r="M419" s="204" t="s">
        <v>455</v>
      </c>
      <c r="N419" s="75">
        <f t="shared" si="106"/>
        <v>10</v>
      </c>
      <c r="O419" s="202"/>
      <c r="P419" s="204"/>
      <c r="R419" s="202" t="s">
        <v>1720</v>
      </c>
      <c r="S419" s="202" t="s">
        <v>463</v>
      </c>
      <c r="T419" s="260" t="s">
        <v>218</v>
      </c>
      <c r="U419" s="260" t="s">
        <v>218</v>
      </c>
    </row>
    <row r="420" s="24" customFormat="1" ht="25.5" outlineLevel="1" spans="3:21">
      <c r="C420" s="202" t="s">
        <v>1722</v>
      </c>
      <c r="D420" s="202" t="s">
        <v>1723</v>
      </c>
      <c r="E420" s="203" t="str">
        <f t="shared" ref="E420:E437" si="122">IF(INT((F420+G420-1)/8)+1=INT(F420/8)+1,INT(F420/8)+1,INT(F420/8)+1&amp;"-"&amp;INT((F420+G420-1)/8)+1)</f>
        <v>38-39</v>
      </c>
      <c r="F420" s="208">
        <f t="shared" si="120"/>
        <v>296</v>
      </c>
      <c r="G420" s="204">
        <v>16</v>
      </c>
      <c r="H420" s="272">
        <v>1</v>
      </c>
      <c r="I420" s="204">
        <v>0</v>
      </c>
      <c r="J420" s="272">
        <v>0</v>
      </c>
      <c r="K420" s="272">
        <f t="shared" si="121"/>
        <v>65535</v>
      </c>
      <c r="L420" s="204">
        <v>0</v>
      </c>
      <c r="M420" s="204" t="s">
        <v>602</v>
      </c>
      <c r="N420" s="75">
        <f t="shared" si="106"/>
        <v>5</v>
      </c>
      <c r="O420" s="202"/>
      <c r="P420" s="204"/>
      <c r="R420" s="202" t="s">
        <v>1722</v>
      </c>
      <c r="S420" s="202" t="s">
        <v>673</v>
      </c>
      <c r="T420" s="260" t="s">
        <v>218</v>
      </c>
      <c r="U420" s="260" t="s">
        <v>218</v>
      </c>
    </row>
    <row r="421" s="24" customFormat="1" ht="25.5" outlineLevel="1" spans="3:21">
      <c r="C421" s="202" t="s">
        <v>1369</v>
      </c>
      <c r="D421" s="202" t="s">
        <v>1724</v>
      </c>
      <c r="E421" s="203">
        <f t="shared" si="122"/>
        <v>40</v>
      </c>
      <c r="F421" s="208">
        <f t="shared" si="120"/>
        <v>312</v>
      </c>
      <c r="G421" s="204">
        <v>8</v>
      </c>
      <c r="H421" s="272">
        <v>1</v>
      </c>
      <c r="I421" s="204">
        <v>0</v>
      </c>
      <c r="J421" s="272">
        <v>0</v>
      </c>
      <c r="K421" s="272">
        <f t="shared" si="121"/>
        <v>255</v>
      </c>
      <c r="L421" s="204">
        <v>0</v>
      </c>
      <c r="M421" s="204" t="s">
        <v>218</v>
      </c>
      <c r="N421" s="75">
        <f t="shared" si="106"/>
        <v>3</v>
      </c>
      <c r="O421" s="202"/>
      <c r="P421" s="204"/>
      <c r="R421" s="202" t="s">
        <v>1369</v>
      </c>
      <c r="S421" s="202" t="s">
        <v>1725</v>
      </c>
      <c r="T421" s="260" t="s">
        <v>218</v>
      </c>
      <c r="U421" s="260" t="s">
        <v>218</v>
      </c>
    </row>
    <row r="422" s="24" customFormat="1" ht="25.5" outlineLevel="1" spans="3:21">
      <c r="C422" s="202" t="s">
        <v>1372</v>
      </c>
      <c r="D422" s="202" t="s">
        <v>1726</v>
      </c>
      <c r="E422" s="203">
        <f t="shared" si="122"/>
        <v>41</v>
      </c>
      <c r="F422" s="208">
        <f t="shared" si="120"/>
        <v>320</v>
      </c>
      <c r="G422" s="204">
        <v>8</v>
      </c>
      <c r="H422" s="272">
        <v>1</v>
      </c>
      <c r="I422" s="204">
        <v>0</v>
      </c>
      <c r="J422" s="272">
        <v>0</v>
      </c>
      <c r="K422" s="272">
        <f t="shared" si="121"/>
        <v>255</v>
      </c>
      <c r="L422" s="204">
        <v>0</v>
      </c>
      <c r="M422" s="66" t="s">
        <v>506</v>
      </c>
      <c r="N422" s="75">
        <f t="shared" ref="N422:N480" si="123">LEN(K422)</f>
        <v>3</v>
      </c>
      <c r="O422" s="202"/>
      <c r="P422" s="204"/>
      <c r="R422" s="202" t="s">
        <v>1372</v>
      </c>
      <c r="S422" s="202" t="s">
        <v>1727</v>
      </c>
      <c r="T422" s="260" t="s">
        <v>218</v>
      </c>
      <c r="U422" s="260" t="s">
        <v>218</v>
      </c>
    </row>
    <row r="423" s="24" customFormat="1" ht="25.5" outlineLevel="1" spans="3:21">
      <c r="C423" s="202" t="s">
        <v>1728</v>
      </c>
      <c r="D423" s="202" t="s">
        <v>1729</v>
      </c>
      <c r="E423" s="203" t="str">
        <f t="shared" si="122"/>
        <v>42-45</v>
      </c>
      <c r="F423" s="208">
        <f t="shared" si="120"/>
        <v>328</v>
      </c>
      <c r="G423" s="204">
        <v>32</v>
      </c>
      <c r="H423" s="272">
        <v>0.001</v>
      </c>
      <c r="I423" s="204">
        <v>0</v>
      </c>
      <c r="J423" s="272">
        <v>0</v>
      </c>
      <c r="K423" s="272">
        <f t="shared" si="121"/>
        <v>4294967.295</v>
      </c>
      <c r="L423" s="204">
        <v>0</v>
      </c>
      <c r="M423" s="204" t="s">
        <v>1730</v>
      </c>
      <c r="N423" s="75">
        <f t="shared" si="123"/>
        <v>11</v>
      </c>
      <c r="O423" s="202"/>
      <c r="P423" s="204"/>
      <c r="R423" s="202" t="s">
        <v>1728</v>
      </c>
      <c r="S423" s="202" t="s">
        <v>1731</v>
      </c>
      <c r="T423" s="260" t="s">
        <v>218</v>
      </c>
      <c r="U423" s="260" t="s">
        <v>218</v>
      </c>
    </row>
    <row r="424" s="24" customFormat="1" ht="25.5" outlineLevel="1" spans="3:21">
      <c r="C424" s="202" t="s">
        <v>1732</v>
      </c>
      <c r="D424" s="202" t="s">
        <v>1733</v>
      </c>
      <c r="E424" s="203" t="str">
        <f t="shared" si="122"/>
        <v>46-49</v>
      </c>
      <c r="F424" s="208">
        <f t="shared" si="120"/>
        <v>360</v>
      </c>
      <c r="G424" s="204">
        <v>32</v>
      </c>
      <c r="H424" s="272">
        <v>0.001</v>
      </c>
      <c r="I424" s="204">
        <v>0</v>
      </c>
      <c r="J424" s="272">
        <v>0</v>
      </c>
      <c r="K424" s="272">
        <f t="shared" si="121"/>
        <v>4294967.295</v>
      </c>
      <c r="L424" s="204">
        <v>0</v>
      </c>
      <c r="M424" s="204" t="s">
        <v>1730</v>
      </c>
      <c r="N424" s="75">
        <f t="shared" si="123"/>
        <v>11</v>
      </c>
      <c r="O424" s="202"/>
      <c r="P424" s="204"/>
      <c r="R424" s="202" t="s">
        <v>1732</v>
      </c>
      <c r="S424" s="202" t="s">
        <v>1734</v>
      </c>
      <c r="T424" s="260" t="s">
        <v>218</v>
      </c>
      <c r="U424" s="260" t="s">
        <v>218</v>
      </c>
    </row>
    <row r="425" s="27" customFormat="1" ht="25.5" outlineLevel="1" spans="3:21">
      <c r="C425" s="274" t="s">
        <v>449</v>
      </c>
      <c r="D425" s="274" t="s">
        <v>450</v>
      </c>
      <c r="E425" s="275">
        <f t="shared" si="122"/>
        <v>50</v>
      </c>
      <c r="F425" s="276">
        <f t="shared" si="120"/>
        <v>392</v>
      </c>
      <c r="G425" s="277">
        <v>8</v>
      </c>
      <c r="H425" s="278">
        <v>1</v>
      </c>
      <c r="I425" s="277">
        <v>0</v>
      </c>
      <c r="J425" s="278">
        <v>0</v>
      </c>
      <c r="K425" s="278">
        <f t="shared" si="121"/>
        <v>255</v>
      </c>
      <c r="L425" s="277">
        <v>0</v>
      </c>
      <c r="M425" s="277" t="s">
        <v>218</v>
      </c>
      <c r="N425" s="84">
        <v>0</v>
      </c>
      <c r="O425" s="274"/>
      <c r="P425" s="277"/>
      <c r="R425" s="279" t="s">
        <v>218</v>
      </c>
      <c r="S425" s="279" t="s">
        <v>218</v>
      </c>
      <c r="T425" s="280" t="s">
        <v>218</v>
      </c>
      <c r="U425" s="280" t="s">
        <v>218</v>
      </c>
    </row>
    <row r="426" s="27" customFormat="1" ht="25.5" outlineLevel="1" spans="3:21">
      <c r="C426" s="274" t="s">
        <v>451</v>
      </c>
      <c r="D426" s="274" t="s">
        <v>452</v>
      </c>
      <c r="E426" s="275" t="str">
        <f t="shared" si="122"/>
        <v>51-52</v>
      </c>
      <c r="F426" s="276">
        <f t="shared" si="120"/>
        <v>400</v>
      </c>
      <c r="G426" s="277">
        <v>16</v>
      </c>
      <c r="H426" s="278">
        <v>1</v>
      </c>
      <c r="I426" s="277">
        <v>0</v>
      </c>
      <c r="J426" s="278">
        <v>0</v>
      </c>
      <c r="K426" s="278">
        <f t="shared" si="121"/>
        <v>65535</v>
      </c>
      <c r="L426" s="277">
        <v>0</v>
      </c>
      <c r="M426" s="277" t="s">
        <v>218</v>
      </c>
      <c r="N426" s="84">
        <v>0</v>
      </c>
      <c r="O426" s="274"/>
      <c r="P426" s="277"/>
      <c r="R426" s="279" t="s">
        <v>218</v>
      </c>
      <c r="S426" s="279" t="s">
        <v>218</v>
      </c>
      <c r="T426" s="280" t="s">
        <v>218</v>
      </c>
      <c r="U426" s="280" t="s">
        <v>218</v>
      </c>
    </row>
    <row r="427" s="24" customFormat="1" ht="102" outlineLevel="1" spans="3:21">
      <c r="C427" s="202" t="s">
        <v>1356</v>
      </c>
      <c r="D427" s="202" t="s">
        <v>1735</v>
      </c>
      <c r="E427" s="203">
        <f t="shared" si="122"/>
        <v>53</v>
      </c>
      <c r="F427" s="208">
        <f t="shared" si="120"/>
        <v>416</v>
      </c>
      <c r="G427" s="204">
        <v>8</v>
      </c>
      <c r="H427" s="272">
        <v>1</v>
      </c>
      <c r="I427" s="204">
        <v>0</v>
      </c>
      <c r="J427" s="272">
        <v>0</v>
      </c>
      <c r="K427" s="272">
        <f t="shared" si="121"/>
        <v>255</v>
      </c>
      <c r="L427" s="204"/>
      <c r="M427" s="204"/>
      <c r="N427" s="75">
        <f t="shared" si="123"/>
        <v>3</v>
      </c>
      <c r="O427" s="202" t="s">
        <v>1736</v>
      </c>
      <c r="P427" s="204"/>
      <c r="R427" s="202" t="s">
        <v>1356</v>
      </c>
      <c r="S427" s="202"/>
      <c r="T427" s="260"/>
      <c r="U427" s="260"/>
    </row>
    <row r="428" s="24" customFormat="1" ht="25.5" outlineLevel="1" spans="3:21">
      <c r="C428" s="202" t="s">
        <v>1363</v>
      </c>
      <c r="D428" s="202" t="s">
        <v>1737</v>
      </c>
      <c r="E428" s="203">
        <f t="shared" si="122"/>
        <v>54</v>
      </c>
      <c r="F428" s="208">
        <f t="shared" si="120"/>
        <v>424</v>
      </c>
      <c r="G428" s="204">
        <v>8</v>
      </c>
      <c r="H428" s="272">
        <v>1</v>
      </c>
      <c r="I428" s="204">
        <v>0</v>
      </c>
      <c r="J428" s="272">
        <v>0</v>
      </c>
      <c r="K428" s="272">
        <f t="shared" si="121"/>
        <v>255</v>
      </c>
      <c r="L428" s="204">
        <v>0</v>
      </c>
      <c r="M428" s="204" t="s">
        <v>218</v>
      </c>
      <c r="N428" s="75">
        <f t="shared" si="123"/>
        <v>3</v>
      </c>
      <c r="O428" s="202"/>
      <c r="P428" s="204"/>
      <c r="R428" s="202" t="s">
        <v>1363</v>
      </c>
      <c r="S428" s="202" t="s">
        <v>1738</v>
      </c>
      <c r="T428" s="260" t="s">
        <v>218</v>
      </c>
      <c r="U428" s="260" t="s">
        <v>218</v>
      </c>
    </row>
    <row r="429" s="24" customFormat="1" ht="25.5" outlineLevel="1" spans="3:21">
      <c r="C429" s="202" t="s">
        <v>1366</v>
      </c>
      <c r="D429" s="202" t="s">
        <v>1739</v>
      </c>
      <c r="E429" s="203">
        <f t="shared" si="122"/>
        <v>55</v>
      </c>
      <c r="F429" s="208">
        <f t="shared" si="120"/>
        <v>432</v>
      </c>
      <c r="G429" s="204">
        <v>8</v>
      </c>
      <c r="H429" s="272">
        <v>1</v>
      </c>
      <c r="I429" s="204">
        <v>0</v>
      </c>
      <c r="J429" s="272">
        <v>0</v>
      </c>
      <c r="K429" s="272">
        <f t="shared" si="121"/>
        <v>255</v>
      </c>
      <c r="L429" s="204">
        <v>0</v>
      </c>
      <c r="M429" s="66" t="s">
        <v>506</v>
      </c>
      <c r="N429" s="75">
        <f t="shared" si="123"/>
        <v>3</v>
      </c>
      <c r="O429" s="202"/>
      <c r="P429" s="204"/>
      <c r="R429" s="202" t="s">
        <v>1366</v>
      </c>
      <c r="S429" s="202" t="s">
        <v>1740</v>
      </c>
      <c r="T429" s="260" t="s">
        <v>218</v>
      </c>
      <c r="U429" s="260" t="s">
        <v>218</v>
      </c>
    </row>
    <row r="430" s="24" customFormat="1" ht="25.5" outlineLevel="1" spans="3:21">
      <c r="C430" s="202" t="s">
        <v>1741</v>
      </c>
      <c r="D430" s="202" t="s">
        <v>1742</v>
      </c>
      <c r="E430" s="203">
        <f t="shared" si="122"/>
        <v>56</v>
      </c>
      <c r="F430" s="208">
        <f t="shared" si="120"/>
        <v>440</v>
      </c>
      <c r="G430" s="204">
        <v>1</v>
      </c>
      <c r="H430" s="272">
        <v>1</v>
      </c>
      <c r="I430" s="204">
        <v>0</v>
      </c>
      <c r="J430" s="272">
        <v>0</v>
      </c>
      <c r="K430" s="272">
        <f t="shared" si="121"/>
        <v>1</v>
      </c>
      <c r="L430" s="204">
        <v>0</v>
      </c>
      <c r="M430" s="204" t="s">
        <v>482</v>
      </c>
      <c r="N430" s="75">
        <f t="shared" si="123"/>
        <v>1</v>
      </c>
      <c r="O430" s="202" t="s">
        <v>1743</v>
      </c>
      <c r="P430" s="204"/>
      <c r="R430" s="202" t="s">
        <v>1741</v>
      </c>
      <c r="S430" s="202" t="s">
        <v>1744</v>
      </c>
      <c r="T430" s="260" t="s">
        <v>218</v>
      </c>
      <c r="U430" s="260" t="s">
        <v>218</v>
      </c>
    </row>
    <row r="431" s="24" customFormat="1" ht="25.5" outlineLevel="1" spans="3:21">
      <c r="C431" s="202" t="s">
        <v>1745</v>
      </c>
      <c r="D431" s="202" t="s">
        <v>1746</v>
      </c>
      <c r="E431" s="203">
        <f t="shared" si="122"/>
        <v>56</v>
      </c>
      <c r="F431" s="208">
        <f t="shared" si="120"/>
        <v>441</v>
      </c>
      <c r="G431" s="204">
        <v>1</v>
      </c>
      <c r="H431" s="272">
        <v>1</v>
      </c>
      <c r="I431" s="204">
        <v>0</v>
      </c>
      <c r="J431" s="272">
        <v>0</v>
      </c>
      <c r="K431" s="272">
        <f t="shared" si="121"/>
        <v>1</v>
      </c>
      <c r="L431" s="204">
        <v>0</v>
      </c>
      <c r="M431" s="204" t="s">
        <v>482</v>
      </c>
      <c r="N431" s="75">
        <f t="shared" si="123"/>
        <v>1</v>
      </c>
      <c r="O431" s="202" t="s">
        <v>1743</v>
      </c>
      <c r="P431" s="204"/>
      <c r="R431" s="202" t="s">
        <v>1745</v>
      </c>
      <c r="S431" s="260" t="s">
        <v>218</v>
      </c>
      <c r="T431" s="260" t="s">
        <v>218</v>
      </c>
      <c r="U431" s="260" t="s">
        <v>218</v>
      </c>
    </row>
    <row r="432" s="24" customFormat="1" ht="25.5" outlineLevel="1" spans="3:21">
      <c r="C432" s="202" t="s">
        <v>1747</v>
      </c>
      <c r="D432" s="202" t="s">
        <v>1748</v>
      </c>
      <c r="E432" s="203">
        <f t="shared" si="122"/>
        <v>56</v>
      </c>
      <c r="F432" s="208">
        <f t="shared" si="120"/>
        <v>442</v>
      </c>
      <c r="G432" s="204">
        <v>1</v>
      </c>
      <c r="H432" s="272">
        <v>1</v>
      </c>
      <c r="I432" s="204">
        <v>0</v>
      </c>
      <c r="J432" s="272">
        <v>0</v>
      </c>
      <c r="K432" s="272">
        <f t="shared" si="121"/>
        <v>1</v>
      </c>
      <c r="L432" s="204">
        <v>0</v>
      </c>
      <c r="M432" s="204" t="s">
        <v>482</v>
      </c>
      <c r="N432" s="75">
        <f t="shared" si="123"/>
        <v>1</v>
      </c>
      <c r="O432" s="202" t="s">
        <v>1743</v>
      </c>
      <c r="P432" s="204"/>
      <c r="R432" s="202" t="s">
        <v>1747</v>
      </c>
      <c r="S432" s="260" t="s">
        <v>218</v>
      </c>
      <c r="T432" s="260" t="s">
        <v>218</v>
      </c>
      <c r="U432" s="260" t="s">
        <v>218</v>
      </c>
    </row>
    <row r="433" s="24" customFormat="1" ht="25.5" outlineLevel="1" spans="1:21">
      <c r="C433" s="202" t="s">
        <v>1749</v>
      </c>
      <c r="D433" s="202" t="s">
        <v>1750</v>
      </c>
      <c r="E433" s="203">
        <f t="shared" si="122"/>
        <v>56</v>
      </c>
      <c r="F433" s="208">
        <f t="shared" si="120"/>
        <v>443</v>
      </c>
      <c r="G433" s="204">
        <v>1</v>
      </c>
      <c r="H433" s="272">
        <v>1</v>
      </c>
      <c r="I433" s="204">
        <v>0</v>
      </c>
      <c r="J433" s="272">
        <v>0</v>
      </c>
      <c r="K433" s="272">
        <f t="shared" si="121"/>
        <v>1</v>
      </c>
      <c r="L433" s="204">
        <v>0</v>
      </c>
      <c r="M433" s="204" t="s">
        <v>482</v>
      </c>
      <c r="N433" s="75">
        <f t="shared" si="123"/>
        <v>1</v>
      </c>
      <c r="O433" s="202" t="s">
        <v>1743</v>
      </c>
      <c r="P433" s="204"/>
      <c r="R433" s="202" t="s">
        <v>1749</v>
      </c>
      <c r="S433" s="260" t="s">
        <v>218</v>
      </c>
      <c r="T433" s="260" t="s">
        <v>218</v>
      </c>
      <c r="U433" s="260" t="s">
        <v>218</v>
      </c>
    </row>
    <row r="434" s="24" customFormat="1" ht="25.5" outlineLevel="1" spans="1:21">
      <c r="C434" s="202" t="s">
        <v>1751</v>
      </c>
      <c r="D434" s="202" t="s">
        <v>1752</v>
      </c>
      <c r="E434" s="203">
        <f t="shared" si="122"/>
        <v>56</v>
      </c>
      <c r="F434" s="208">
        <f t="shared" si="120"/>
        <v>444</v>
      </c>
      <c r="G434" s="204">
        <v>1</v>
      </c>
      <c r="H434" s="272">
        <v>1</v>
      </c>
      <c r="I434" s="204">
        <v>0</v>
      </c>
      <c r="J434" s="272">
        <v>0</v>
      </c>
      <c r="K434" s="272">
        <f t="shared" si="121"/>
        <v>1</v>
      </c>
      <c r="L434" s="204">
        <v>0</v>
      </c>
      <c r="M434" s="204" t="s">
        <v>482</v>
      </c>
      <c r="N434" s="75">
        <f t="shared" si="123"/>
        <v>1</v>
      </c>
      <c r="O434" s="202" t="s">
        <v>1743</v>
      </c>
      <c r="P434" s="204"/>
      <c r="R434" s="202" t="s">
        <v>1751</v>
      </c>
      <c r="S434" s="260" t="s">
        <v>218</v>
      </c>
      <c r="T434" s="260" t="s">
        <v>218</v>
      </c>
      <c r="U434" s="260" t="s">
        <v>218</v>
      </c>
    </row>
    <row r="435" s="27" customFormat="1" ht="25.5" outlineLevel="1" spans="1:21">
      <c r="C435" s="274" t="s">
        <v>827</v>
      </c>
      <c r="D435" s="274" t="s">
        <v>828</v>
      </c>
      <c r="E435" s="275">
        <f t="shared" si="122"/>
        <v>56</v>
      </c>
      <c r="F435" s="276">
        <f t="shared" si="120"/>
        <v>445</v>
      </c>
      <c r="G435" s="277">
        <v>3</v>
      </c>
      <c r="H435" s="278">
        <v>1</v>
      </c>
      <c r="I435" s="277">
        <v>0</v>
      </c>
      <c r="J435" s="278">
        <v>0</v>
      </c>
      <c r="K435" s="281">
        <f t="shared" si="121"/>
        <v>7</v>
      </c>
      <c r="L435" s="277">
        <v>0</v>
      </c>
      <c r="M435" s="277" t="s">
        <v>218</v>
      </c>
      <c r="N435" s="84">
        <v>0</v>
      </c>
      <c r="O435" s="274"/>
      <c r="P435" s="277"/>
      <c r="R435" s="279" t="s">
        <v>218</v>
      </c>
      <c r="S435" s="279" t="s">
        <v>218</v>
      </c>
      <c r="T435" s="280" t="s">
        <v>218</v>
      </c>
      <c r="U435" s="280" t="s">
        <v>218</v>
      </c>
    </row>
    <row r="436" s="24" customFormat="1" ht="25.5" outlineLevel="1" spans="1:21">
      <c r="C436" s="202" t="s">
        <v>1753</v>
      </c>
      <c r="D436" s="202" t="s">
        <v>1754</v>
      </c>
      <c r="E436" s="203" t="str">
        <f t="shared" si="122"/>
        <v>57-58</v>
      </c>
      <c r="F436" s="208">
        <f t="shared" si="120"/>
        <v>448</v>
      </c>
      <c r="G436" s="204">
        <v>16</v>
      </c>
      <c r="H436" s="272">
        <v>0.1</v>
      </c>
      <c r="I436" s="204">
        <v>-40</v>
      </c>
      <c r="J436" s="204">
        <v>-40</v>
      </c>
      <c r="K436" s="84">
        <v>125.1</v>
      </c>
      <c r="L436" s="204">
        <v>0</v>
      </c>
      <c r="M436" s="204" t="s">
        <v>427</v>
      </c>
      <c r="N436" s="75">
        <f t="shared" si="123"/>
        <v>5</v>
      </c>
      <c r="O436" s="202"/>
      <c r="P436" s="204"/>
      <c r="R436" s="202" t="s">
        <v>1753</v>
      </c>
      <c r="S436" s="260" t="s">
        <v>218</v>
      </c>
      <c r="T436" s="260" t="s">
        <v>218</v>
      </c>
      <c r="U436" s="260" t="s">
        <v>218</v>
      </c>
    </row>
    <row r="437" s="24" customFormat="1" ht="25.5" outlineLevel="1" spans="1:21">
      <c r="C437" s="202" t="s">
        <v>1755</v>
      </c>
      <c r="D437" s="202" t="s">
        <v>1756</v>
      </c>
      <c r="E437" s="203" t="str">
        <f t="shared" si="122"/>
        <v>59-60</v>
      </c>
      <c r="F437" s="208">
        <f t="shared" si="120"/>
        <v>464</v>
      </c>
      <c r="G437" s="204">
        <v>16</v>
      </c>
      <c r="H437" s="272">
        <v>0.1</v>
      </c>
      <c r="I437" s="204">
        <v>-40</v>
      </c>
      <c r="J437" s="204">
        <v>-40</v>
      </c>
      <c r="K437" s="84">
        <v>125.1</v>
      </c>
      <c r="L437" s="204">
        <v>0</v>
      </c>
      <c r="M437" s="204" t="s">
        <v>427</v>
      </c>
      <c r="N437" s="75">
        <f t="shared" si="123"/>
        <v>5</v>
      </c>
      <c r="O437" s="202"/>
      <c r="P437" s="204"/>
      <c r="R437" s="202" t="s">
        <v>1755</v>
      </c>
      <c r="S437" s="260" t="s">
        <v>218</v>
      </c>
      <c r="T437" s="260" t="s">
        <v>218</v>
      </c>
      <c r="U437" s="260" t="s">
        <v>218</v>
      </c>
    </row>
    <row r="438" s="25" customFormat="1" ht="25.5" spans="1:21">
      <c r="A438" s="282" t="s">
        <v>317</v>
      </c>
      <c r="B438" s="282" t="str">
        <f>VLOOKUP(A438,'Message ID'!A:M,2,FALSE)</f>
        <v>SOX算法调试的输出数据，包含SOC、SOHC、容量等</v>
      </c>
      <c r="D438" s="255"/>
      <c r="E438" s="283">
        <v>61</v>
      </c>
      <c r="F438" s="257"/>
      <c r="G438" s="257"/>
      <c r="H438" s="257"/>
      <c r="I438" s="257"/>
      <c r="J438" s="257"/>
      <c r="K438" s="257"/>
      <c r="L438" s="257"/>
      <c r="M438" s="257"/>
      <c r="N438" s="43">
        <f>SUM(N439:N469)</f>
        <v>125</v>
      </c>
      <c r="O438" s="265"/>
      <c r="P438" s="265"/>
      <c r="R438" s="258"/>
      <c r="S438" s="258"/>
      <c r="T438" s="258"/>
      <c r="U438" s="258"/>
    </row>
    <row r="439" s="24" customFormat="1" ht="54.5" customHeight="1" outlineLevel="1" spans="1:21">
      <c r="C439" s="202" t="s">
        <v>1757</v>
      </c>
      <c r="D439" s="74" t="s">
        <v>1758</v>
      </c>
      <c r="E439" s="284" t="s">
        <v>1759</v>
      </c>
      <c r="F439" s="203">
        <v>0</v>
      </c>
      <c r="G439" s="204">
        <v>16</v>
      </c>
      <c r="H439" s="204">
        <v>1</v>
      </c>
      <c r="I439" s="204">
        <v>0</v>
      </c>
      <c r="J439" s="204">
        <v>0</v>
      </c>
      <c r="K439" s="285">
        <v>5000</v>
      </c>
      <c r="L439" s="204">
        <v>0</v>
      </c>
      <c r="M439" s="204" t="s">
        <v>440</v>
      </c>
      <c r="N439" s="84">
        <f>LEN(K439)*10</f>
        <v>40</v>
      </c>
      <c r="O439" s="202" t="s">
        <v>1760</v>
      </c>
      <c r="P439" s="204"/>
      <c r="Q439" s="69" t="s">
        <v>1761</v>
      </c>
      <c r="R439" s="202" t="s">
        <v>1762</v>
      </c>
      <c r="S439" s="260" t="s">
        <v>218</v>
      </c>
      <c r="T439" s="260" t="s">
        <v>218</v>
      </c>
      <c r="U439" s="260" t="s">
        <v>218</v>
      </c>
    </row>
    <row r="440" s="24" customFormat="1" ht="25.5" outlineLevel="1" spans="1:21">
      <c r="C440" s="202" t="s">
        <v>738</v>
      </c>
      <c r="D440" s="202" t="s">
        <v>737</v>
      </c>
      <c r="E440" s="203" t="str">
        <f t="shared" ref="E440:E459" si="124">IF(INT((F440+G440-1)/8)+1=INT(F440/8)+1,INT(F440/8)+1,INT(F440/8)+1&amp;"-"&amp;INT((F440+G440-1)/8)+1)</f>
        <v>21-22</v>
      </c>
      <c r="F440" s="276">
        <v>160</v>
      </c>
      <c r="G440" s="204">
        <v>16</v>
      </c>
      <c r="H440" s="204">
        <v>0.01</v>
      </c>
      <c r="I440" s="204">
        <v>0</v>
      </c>
      <c r="J440" s="204">
        <v>0</v>
      </c>
      <c r="K440" s="285">
        <v>100</v>
      </c>
      <c r="L440" s="204">
        <v>100</v>
      </c>
      <c r="M440" s="66" t="s">
        <v>506</v>
      </c>
      <c r="N440" s="75">
        <f t="shared" si="123"/>
        <v>3</v>
      </c>
      <c r="O440" s="202"/>
      <c r="P440" s="204"/>
      <c r="R440" s="202" t="s">
        <v>738</v>
      </c>
      <c r="S440" s="260" t="s">
        <v>218</v>
      </c>
      <c r="T440" s="260" t="s">
        <v>218</v>
      </c>
      <c r="U440" s="260" t="s">
        <v>218</v>
      </c>
    </row>
    <row r="441" s="24" customFormat="1" ht="25.5" outlineLevel="1" spans="1:21">
      <c r="C441" s="202" t="s">
        <v>1763</v>
      </c>
      <c r="D441" s="202" t="s">
        <v>1764</v>
      </c>
      <c r="E441" s="203" t="str">
        <f t="shared" si="124"/>
        <v>23-24</v>
      </c>
      <c r="F441" s="208">
        <f t="shared" ref="F441:F469" si="125">F440+G440</f>
        <v>176</v>
      </c>
      <c r="G441" s="204">
        <v>16</v>
      </c>
      <c r="H441" s="204">
        <v>0.01</v>
      </c>
      <c r="I441" s="204">
        <v>0</v>
      </c>
      <c r="J441" s="204">
        <v>0</v>
      </c>
      <c r="K441" s="285">
        <v>100</v>
      </c>
      <c r="L441" s="204">
        <v>100</v>
      </c>
      <c r="M441" s="66" t="s">
        <v>506</v>
      </c>
      <c r="N441" s="75">
        <f t="shared" si="123"/>
        <v>3</v>
      </c>
      <c r="O441" s="202"/>
      <c r="P441" s="204"/>
      <c r="R441" s="202" t="s">
        <v>1763</v>
      </c>
      <c r="S441" s="260" t="s">
        <v>218</v>
      </c>
      <c r="T441" s="260" t="s">
        <v>218</v>
      </c>
      <c r="U441" s="260" t="s">
        <v>218</v>
      </c>
    </row>
    <row r="442" s="24" customFormat="1" ht="25.5" outlineLevel="1" spans="1:21">
      <c r="C442" s="202" t="s">
        <v>1765</v>
      </c>
      <c r="D442" s="202" t="s">
        <v>1766</v>
      </c>
      <c r="E442" s="203" t="str">
        <f t="shared" si="124"/>
        <v>25-26</v>
      </c>
      <c r="F442" s="208">
        <f t="shared" si="125"/>
        <v>192</v>
      </c>
      <c r="G442" s="204">
        <v>16</v>
      </c>
      <c r="H442" s="204">
        <v>0.1</v>
      </c>
      <c r="I442" s="204">
        <v>0</v>
      </c>
      <c r="J442" s="204">
        <v>0</v>
      </c>
      <c r="K442" s="285">
        <v>1500</v>
      </c>
      <c r="L442" s="204">
        <v>314</v>
      </c>
      <c r="M442" s="204" t="s">
        <v>652</v>
      </c>
      <c r="N442" s="75">
        <f t="shared" si="123"/>
        <v>4</v>
      </c>
      <c r="O442" s="202"/>
      <c r="P442" s="204"/>
      <c r="R442" s="202" t="s">
        <v>1765</v>
      </c>
      <c r="S442" s="260" t="s">
        <v>218</v>
      </c>
      <c r="T442" s="260" t="s">
        <v>218</v>
      </c>
      <c r="U442" s="260" t="s">
        <v>218</v>
      </c>
    </row>
    <row r="443" s="24" customFormat="1" ht="25.5" outlineLevel="1" spans="1:21">
      <c r="C443" s="202" t="s">
        <v>1767</v>
      </c>
      <c r="D443" s="202" t="s">
        <v>1768</v>
      </c>
      <c r="E443" s="203" t="str">
        <f t="shared" si="124"/>
        <v>27-28</v>
      </c>
      <c r="F443" s="208">
        <f t="shared" si="125"/>
        <v>208</v>
      </c>
      <c r="G443" s="204">
        <v>16</v>
      </c>
      <c r="H443" s="204">
        <v>0.01</v>
      </c>
      <c r="I443" s="204">
        <v>0</v>
      </c>
      <c r="J443" s="204">
        <v>0</v>
      </c>
      <c r="K443" s="285">
        <v>100</v>
      </c>
      <c r="L443" s="204">
        <v>0</v>
      </c>
      <c r="M443" s="66" t="s">
        <v>506</v>
      </c>
      <c r="N443" s="75">
        <f t="shared" si="123"/>
        <v>3</v>
      </c>
      <c r="O443" s="202"/>
      <c r="P443" s="204"/>
      <c r="R443" s="202" t="s">
        <v>1767</v>
      </c>
      <c r="S443" s="260" t="s">
        <v>218</v>
      </c>
      <c r="T443" s="260" t="s">
        <v>218</v>
      </c>
      <c r="U443" s="260" t="s">
        <v>218</v>
      </c>
    </row>
    <row r="444" s="24" customFormat="1" ht="25.5" outlineLevel="1" spans="1:21">
      <c r="C444" s="202" t="s">
        <v>1769</v>
      </c>
      <c r="D444" s="202" t="s">
        <v>1770</v>
      </c>
      <c r="E444" s="203">
        <f t="shared" si="124"/>
        <v>29</v>
      </c>
      <c r="F444" s="208">
        <f t="shared" si="125"/>
        <v>224</v>
      </c>
      <c r="G444" s="204">
        <v>8</v>
      </c>
      <c r="H444" s="204">
        <v>1</v>
      </c>
      <c r="I444" s="204">
        <v>0</v>
      </c>
      <c r="J444" s="204">
        <v>0</v>
      </c>
      <c r="K444" s="285">
        <v>2</v>
      </c>
      <c r="L444" s="204">
        <v>0</v>
      </c>
      <c r="M444" s="204" t="s">
        <v>218</v>
      </c>
      <c r="N444" s="75">
        <f t="shared" si="123"/>
        <v>1</v>
      </c>
      <c r="O444" s="202"/>
      <c r="P444" s="204"/>
      <c r="R444" s="202" t="s">
        <v>1769</v>
      </c>
      <c r="S444" s="260" t="s">
        <v>218</v>
      </c>
      <c r="T444" s="260" t="s">
        <v>218</v>
      </c>
      <c r="U444" s="260" t="s">
        <v>218</v>
      </c>
    </row>
    <row r="445" s="24" customFormat="1" ht="38.25" outlineLevel="1" spans="1:21">
      <c r="C445" s="202" t="s">
        <v>1771</v>
      </c>
      <c r="D445" s="202" t="s">
        <v>1772</v>
      </c>
      <c r="E445" s="203" t="str">
        <f t="shared" si="124"/>
        <v>30-31</v>
      </c>
      <c r="F445" s="208">
        <f t="shared" si="125"/>
        <v>232</v>
      </c>
      <c r="G445" s="204">
        <v>16</v>
      </c>
      <c r="H445" s="204">
        <v>0.1</v>
      </c>
      <c r="I445" s="204">
        <v>-1500</v>
      </c>
      <c r="J445" s="204">
        <v>-1500</v>
      </c>
      <c r="K445" s="285">
        <v>1500</v>
      </c>
      <c r="L445" s="204">
        <v>0</v>
      </c>
      <c r="M445" s="204" t="s">
        <v>652</v>
      </c>
      <c r="N445" s="75">
        <f t="shared" si="123"/>
        <v>4</v>
      </c>
      <c r="O445" s="202"/>
      <c r="P445" s="204"/>
      <c r="R445" s="202" t="s">
        <v>1771</v>
      </c>
      <c r="S445" s="260" t="s">
        <v>218</v>
      </c>
      <c r="T445" s="260" t="s">
        <v>218</v>
      </c>
      <c r="U445" s="260" t="s">
        <v>218</v>
      </c>
    </row>
    <row r="446" s="24" customFormat="1" ht="38.25" outlineLevel="1" spans="1:21">
      <c r="C446" s="202" t="s">
        <v>1773</v>
      </c>
      <c r="D446" s="202" t="s">
        <v>1774</v>
      </c>
      <c r="E446" s="203" t="str">
        <f t="shared" si="124"/>
        <v>32-33</v>
      </c>
      <c r="F446" s="208">
        <f t="shared" si="125"/>
        <v>248</v>
      </c>
      <c r="G446" s="204">
        <v>16</v>
      </c>
      <c r="H446" s="204">
        <v>1</v>
      </c>
      <c r="I446" s="204">
        <v>0</v>
      </c>
      <c r="J446" s="204">
        <v>0</v>
      </c>
      <c r="K446" s="204">
        <f t="shared" ref="K446:K469" si="126">(POWER(2,G446)-1)*H446+I446</f>
        <v>65535</v>
      </c>
      <c r="L446" s="204">
        <v>0</v>
      </c>
      <c r="M446" s="204" t="s">
        <v>1775</v>
      </c>
      <c r="N446" s="75">
        <f t="shared" si="123"/>
        <v>5</v>
      </c>
      <c r="O446" s="202"/>
      <c r="P446" s="204"/>
      <c r="R446" s="202" t="s">
        <v>1773</v>
      </c>
      <c r="S446" s="260" t="s">
        <v>218</v>
      </c>
      <c r="T446" s="260" t="s">
        <v>218</v>
      </c>
      <c r="U446" s="260" t="s">
        <v>218</v>
      </c>
    </row>
    <row r="447" s="24" customFormat="1" ht="25.5" outlineLevel="1" spans="1:21">
      <c r="C447" s="202" t="s">
        <v>1776</v>
      </c>
      <c r="D447" s="202" t="s">
        <v>1777</v>
      </c>
      <c r="E447" s="203" t="str">
        <f t="shared" si="124"/>
        <v>34-35</v>
      </c>
      <c r="F447" s="208">
        <f t="shared" si="125"/>
        <v>264</v>
      </c>
      <c r="G447" s="204">
        <v>16</v>
      </c>
      <c r="H447" s="204">
        <v>0.1</v>
      </c>
      <c r="I447" s="204">
        <v>0</v>
      </c>
      <c r="J447" s="204">
        <v>0</v>
      </c>
      <c r="K447" s="285">
        <v>1500</v>
      </c>
      <c r="L447" s="204">
        <v>314</v>
      </c>
      <c r="M447" s="204" t="s">
        <v>652</v>
      </c>
      <c r="N447" s="75">
        <f t="shared" si="123"/>
        <v>4</v>
      </c>
      <c r="O447" s="202"/>
      <c r="P447" s="204"/>
      <c r="R447" s="202" t="s">
        <v>1776</v>
      </c>
      <c r="S447" s="260" t="s">
        <v>218</v>
      </c>
      <c r="T447" s="260" t="s">
        <v>218</v>
      </c>
      <c r="U447" s="260" t="s">
        <v>218</v>
      </c>
    </row>
    <row r="448" s="24" customFormat="1" ht="51" outlineLevel="1" spans="1:21">
      <c r="C448" s="202" t="s">
        <v>1778</v>
      </c>
      <c r="D448" s="202" t="s">
        <v>1779</v>
      </c>
      <c r="E448" s="203" t="str">
        <f t="shared" si="124"/>
        <v>36-37</v>
      </c>
      <c r="F448" s="208">
        <f t="shared" si="125"/>
        <v>280</v>
      </c>
      <c r="G448" s="204">
        <v>16</v>
      </c>
      <c r="H448" s="204">
        <v>1</v>
      </c>
      <c r="I448" s="204">
        <v>0</v>
      </c>
      <c r="J448" s="204">
        <v>0</v>
      </c>
      <c r="K448" s="204">
        <f t="shared" si="126"/>
        <v>65535</v>
      </c>
      <c r="L448" s="204">
        <v>0</v>
      </c>
      <c r="M448" s="204" t="s">
        <v>218</v>
      </c>
      <c r="N448" s="75">
        <f t="shared" si="123"/>
        <v>5</v>
      </c>
      <c r="O448" s="202"/>
      <c r="P448" s="204"/>
      <c r="R448" s="134" t="s">
        <v>1780</v>
      </c>
      <c r="S448" s="260" t="s">
        <v>218</v>
      </c>
      <c r="T448" s="260" t="s">
        <v>218</v>
      </c>
      <c r="U448" s="260" t="s">
        <v>218</v>
      </c>
    </row>
    <row r="449" s="24" customFormat="1" ht="38.25" outlineLevel="1" spans="3:21">
      <c r="C449" s="202" t="s">
        <v>1781</v>
      </c>
      <c r="D449" s="202" t="s">
        <v>1782</v>
      </c>
      <c r="E449" s="203" t="str">
        <f t="shared" si="124"/>
        <v>38-39</v>
      </c>
      <c r="F449" s="208">
        <f t="shared" si="125"/>
        <v>296</v>
      </c>
      <c r="G449" s="204">
        <v>16</v>
      </c>
      <c r="H449" s="204">
        <v>1</v>
      </c>
      <c r="I449" s="204">
        <v>0</v>
      </c>
      <c r="J449" s="204">
        <v>0</v>
      </c>
      <c r="K449" s="204">
        <f t="shared" si="126"/>
        <v>65535</v>
      </c>
      <c r="L449" s="204">
        <v>0</v>
      </c>
      <c r="M449" s="204" t="s">
        <v>218</v>
      </c>
      <c r="N449" s="75">
        <f t="shared" si="123"/>
        <v>5</v>
      </c>
      <c r="O449" s="202"/>
      <c r="P449" s="204"/>
      <c r="R449" s="134" t="s">
        <v>1783</v>
      </c>
      <c r="S449" s="260" t="s">
        <v>218</v>
      </c>
      <c r="T449" s="260" t="s">
        <v>218</v>
      </c>
      <c r="U449" s="260" t="s">
        <v>218</v>
      </c>
    </row>
    <row r="450" s="24" customFormat="1" ht="25.5" outlineLevel="1" spans="3:21">
      <c r="C450" s="202" t="s">
        <v>1784</v>
      </c>
      <c r="D450" s="202" t="s">
        <v>1785</v>
      </c>
      <c r="E450" s="203" t="str">
        <f t="shared" si="124"/>
        <v>40-41</v>
      </c>
      <c r="F450" s="208">
        <f t="shared" si="125"/>
        <v>312</v>
      </c>
      <c r="G450" s="204">
        <v>16</v>
      </c>
      <c r="H450" s="204">
        <v>0.01</v>
      </c>
      <c r="I450" s="204">
        <v>0</v>
      </c>
      <c r="J450" s="204">
        <v>0</v>
      </c>
      <c r="K450" s="285">
        <v>100</v>
      </c>
      <c r="L450" s="204">
        <v>0</v>
      </c>
      <c r="M450" s="66" t="s">
        <v>506</v>
      </c>
      <c r="N450" s="75">
        <f t="shared" si="123"/>
        <v>3</v>
      </c>
      <c r="O450" s="202"/>
      <c r="P450" s="204"/>
      <c r="R450" s="202" t="s">
        <v>1786</v>
      </c>
      <c r="S450" s="260" t="s">
        <v>218</v>
      </c>
      <c r="T450" s="260" t="s">
        <v>218</v>
      </c>
      <c r="U450" s="260" t="s">
        <v>218</v>
      </c>
    </row>
    <row r="451" s="24" customFormat="1" ht="25.5" outlineLevel="1" spans="3:21">
      <c r="C451" s="202" t="s">
        <v>1787</v>
      </c>
      <c r="D451" s="202" t="s">
        <v>1788</v>
      </c>
      <c r="E451" s="203" t="str">
        <f t="shared" si="124"/>
        <v>42-43</v>
      </c>
      <c r="F451" s="208">
        <f t="shared" si="125"/>
        <v>328</v>
      </c>
      <c r="G451" s="204">
        <v>16</v>
      </c>
      <c r="H451" s="204">
        <v>0.01</v>
      </c>
      <c r="I451" s="204">
        <v>0</v>
      </c>
      <c r="J451" s="204">
        <v>0</v>
      </c>
      <c r="K451" s="285">
        <v>100</v>
      </c>
      <c r="L451" s="204">
        <v>0</v>
      </c>
      <c r="M451" s="66" t="s">
        <v>506</v>
      </c>
      <c r="N451" s="75">
        <f t="shared" si="123"/>
        <v>3</v>
      </c>
      <c r="O451" s="202"/>
      <c r="P451" s="204"/>
      <c r="R451" s="202" t="s">
        <v>1789</v>
      </c>
      <c r="S451" s="260" t="s">
        <v>218</v>
      </c>
      <c r="T451" s="260" t="s">
        <v>218</v>
      </c>
      <c r="U451" s="260" t="s">
        <v>218</v>
      </c>
    </row>
    <row r="452" s="24" customFormat="1" ht="44" customHeight="1" outlineLevel="1" spans="3:21">
      <c r="C452" s="202" t="s">
        <v>1790</v>
      </c>
      <c r="D452" s="202" t="s">
        <v>1791</v>
      </c>
      <c r="E452" s="203">
        <f t="shared" si="124"/>
        <v>44</v>
      </c>
      <c r="F452" s="208">
        <f t="shared" si="125"/>
        <v>344</v>
      </c>
      <c r="G452" s="204">
        <v>8</v>
      </c>
      <c r="H452" s="204">
        <v>1</v>
      </c>
      <c r="I452" s="204">
        <v>0</v>
      </c>
      <c r="J452" s="204">
        <v>0</v>
      </c>
      <c r="K452" s="285">
        <v>10</v>
      </c>
      <c r="L452" s="204">
        <v>0</v>
      </c>
      <c r="M452" s="204" t="s">
        <v>602</v>
      </c>
      <c r="N452" s="75">
        <f t="shared" si="123"/>
        <v>2</v>
      </c>
      <c r="O452" s="202" t="s">
        <v>1792</v>
      </c>
      <c r="P452" s="204"/>
      <c r="R452" s="101" t="s">
        <v>1793</v>
      </c>
      <c r="S452" s="260" t="s">
        <v>218</v>
      </c>
      <c r="T452" s="260" t="s">
        <v>218</v>
      </c>
      <c r="U452" s="260" t="s">
        <v>218</v>
      </c>
    </row>
    <row r="453" s="24" customFormat="1" ht="25.5" outlineLevel="1" spans="3:21">
      <c r="C453" s="202" t="s">
        <v>1794</v>
      </c>
      <c r="D453" s="202" t="s">
        <v>1795</v>
      </c>
      <c r="E453" s="203">
        <f t="shared" si="124"/>
        <v>45</v>
      </c>
      <c r="F453" s="208">
        <f t="shared" si="125"/>
        <v>352</v>
      </c>
      <c r="G453" s="204">
        <v>8</v>
      </c>
      <c r="H453" s="204">
        <v>1</v>
      </c>
      <c r="I453" s="204">
        <v>0</v>
      </c>
      <c r="J453" s="204">
        <v>0</v>
      </c>
      <c r="K453" s="285">
        <v>10</v>
      </c>
      <c r="L453" s="204">
        <v>0</v>
      </c>
      <c r="M453" s="204" t="s">
        <v>602</v>
      </c>
      <c r="N453" s="75">
        <f t="shared" si="123"/>
        <v>2</v>
      </c>
      <c r="O453" s="202"/>
      <c r="P453" s="204"/>
      <c r="R453" s="101" t="s">
        <v>1796</v>
      </c>
      <c r="S453" s="260" t="s">
        <v>218</v>
      </c>
      <c r="T453" s="260" t="s">
        <v>218</v>
      </c>
      <c r="U453" s="260" t="s">
        <v>218</v>
      </c>
    </row>
    <row r="454" s="24" customFormat="1" ht="25.5" outlineLevel="1" spans="3:21">
      <c r="C454" s="202" t="s">
        <v>1797</v>
      </c>
      <c r="D454" s="202" t="s">
        <v>1798</v>
      </c>
      <c r="E454" s="203" t="str">
        <f t="shared" si="124"/>
        <v>46-47</v>
      </c>
      <c r="F454" s="208">
        <f t="shared" si="125"/>
        <v>360</v>
      </c>
      <c r="G454" s="204">
        <v>16</v>
      </c>
      <c r="H454" s="204">
        <v>1</v>
      </c>
      <c r="I454" s="204">
        <v>0</v>
      </c>
      <c r="J454" s="204">
        <v>0</v>
      </c>
      <c r="K454" s="285">
        <v>5000</v>
      </c>
      <c r="L454" s="204">
        <v>0</v>
      </c>
      <c r="M454" s="204" t="s">
        <v>440</v>
      </c>
      <c r="N454" s="75">
        <f t="shared" si="123"/>
        <v>4</v>
      </c>
      <c r="O454" s="202"/>
      <c r="P454" s="204"/>
      <c r="R454" s="202" t="s">
        <v>1799</v>
      </c>
      <c r="S454" s="260" t="s">
        <v>218</v>
      </c>
      <c r="T454" s="260" t="s">
        <v>218</v>
      </c>
      <c r="U454" s="260" t="s">
        <v>218</v>
      </c>
    </row>
    <row r="455" s="24" customFormat="1" ht="25.5" outlineLevel="1" spans="3:21">
      <c r="C455" s="202" t="s">
        <v>1800</v>
      </c>
      <c r="D455" s="202" t="s">
        <v>1801</v>
      </c>
      <c r="E455" s="203" t="str">
        <f t="shared" si="124"/>
        <v>48-49</v>
      </c>
      <c r="F455" s="208">
        <f t="shared" si="125"/>
        <v>376</v>
      </c>
      <c r="G455" s="204">
        <v>16</v>
      </c>
      <c r="H455" s="204">
        <v>1</v>
      </c>
      <c r="I455" s="204">
        <v>0</v>
      </c>
      <c r="J455" s="204">
        <v>0</v>
      </c>
      <c r="K455" s="285">
        <v>5000</v>
      </c>
      <c r="L455" s="204">
        <v>0</v>
      </c>
      <c r="M455" s="204" t="s">
        <v>440</v>
      </c>
      <c r="N455" s="75">
        <f t="shared" si="123"/>
        <v>4</v>
      </c>
      <c r="O455" s="202"/>
      <c r="P455" s="204"/>
      <c r="R455" s="202" t="s">
        <v>1802</v>
      </c>
      <c r="S455" s="260" t="s">
        <v>218</v>
      </c>
      <c r="T455" s="260" t="s">
        <v>218</v>
      </c>
      <c r="U455" s="260" t="s">
        <v>218</v>
      </c>
    </row>
    <row r="456" s="24" customFormat="1" ht="25.5" outlineLevel="1" spans="3:21">
      <c r="C456" s="202" t="s">
        <v>743</v>
      </c>
      <c r="D456" s="202" t="s">
        <v>1803</v>
      </c>
      <c r="E456" s="203" t="str">
        <f t="shared" si="124"/>
        <v>50-51</v>
      </c>
      <c r="F456" s="208">
        <f t="shared" si="125"/>
        <v>392</v>
      </c>
      <c r="G456" s="204">
        <v>16</v>
      </c>
      <c r="H456" s="204">
        <v>0.1</v>
      </c>
      <c r="I456" s="204">
        <v>0</v>
      </c>
      <c r="J456" s="204">
        <v>0</v>
      </c>
      <c r="K456" s="285">
        <v>1500</v>
      </c>
      <c r="L456" s="204">
        <v>314</v>
      </c>
      <c r="M456" s="204" t="s">
        <v>652</v>
      </c>
      <c r="N456" s="75">
        <f t="shared" si="123"/>
        <v>4</v>
      </c>
      <c r="O456" s="202"/>
      <c r="P456" s="204"/>
      <c r="R456" s="202" t="s">
        <v>743</v>
      </c>
      <c r="S456" s="260" t="s">
        <v>218</v>
      </c>
      <c r="T456" s="260" t="s">
        <v>218</v>
      </c>
      <c r="U456" s="260" t="s">
        <v>218</v>
      </c>
    </row>
    <row r="457" s="24" customFormat="1" ht="25.5" outlineLevel="1" spans="3:21">
      <c r="C457" s="202" t="s">
        <v>755</v>
      </c>
      <c r="D457" s="202" t="s">
        <v>754</v>
      </c>
      <c r="E457" s="203" t="str">
        <f t="shared" si="124"/>
        <v>52-53</v>
      </c>
      <c r="F457" s="208">
        <f t="shared" si="125"/>
        <v>408</v>
      </c>
      <c r="G457" s="204">
        <v>16</v>
      </c>
      <c r="H457" s="204">
        <v>0.01</v>
      </c>
      <c r="I457" s="204">
        <v>0</v>
      </c>
      <c r="J457" s="204">
        <v>0</v>
      </c>
      <c r="K457" s="285">
        <v>100</v>
      </c>
      <c r="L457" s="204">
        <v>0</v>
      </c>
      <c r="M457" s="66" t="s">
        <v>506</v>
      </c>
      <c r="N457" s="75">
        <f t="shared" si="123"/>
        <v>3</v>
      </c>
      <c r="O457" s="202"/>
      <c r="P457" s="204"/>
      <c r="R457" s="202" t="s">
        <v>755</v>
      </c>
      <c r="S457" s="260" t="s">
        <v>218</v>
      </c>
      <c r="T457" s="260" t="s">
        <v>218</v>
      </c>
      <c r="U457" s="260" t="s">
        <v>218</v>
      </c>
    </row>
    <row r="458" s="24" customFormat="1" ht="25.5" outlineLevel="1" spans="3:21">
      <c r="C458" s="202" t="s">
        <v>1804</v>
      </c>
      <c r="D458" s="202" t="s">
        <v>1805</v>
      </c>
      <c r="E458" s="203" t="str">
        <f t="shared" si="124"/>
        <v>54-55</v>
      </c>
      <c r="F458" s="208">
        <f t="shared" si="125"/>
        <v>424</v>
      </c>
      <c r="G458" s="204">
        <v>16</v>
      </c>
      <c r="H458" s="204">
        <v>0.01</v>
      </c>
      <c r="I458" s="204">
        <v>0</v>
      </c>
      <c r="J458" s="204">
        <v>0</v>
      </c>
      <c r="K458" s="285">
        <v>100</v>
      </c>
      <c r="L458" s="204">
        <v>0</v>
      </c>
      <c r="M458" s="66" t="s">
        <v>506</v>
      </c>
      <c r="N458" s="75">
        <f t="shared" si="123"/>
        <v>3</v>
      </c>
      <c r="O458" s="202"/>
      <c r="P458" s="204"/>
      <c r="R458" s="202" t="s">
        <v>1804</v>
      </c>
      <c r="S458" s="260" t="s">
        <v>218</v>
      </c>
      <c r="T458" s="260" t="s">
        <v>218</v>
      </c>
      <c r="U458" s="260" t="s">
        <v>218</v>
      </c>
    </row>
    <row r="459" s="24" customFormat="1" ht="25.5" outlineLevel="1" spans="3:21">
      <c r="C459" s="202" t="s">
        <v>1806</v>
      </c>
      <c r="D459" s="202" t="s">
        <v>1807</v>
      </c>
      <c r="E459" s="203" t="str">
        <f t="shared" si="124"/>
        <v>56-57</v>
      </c>
      <c r="F459" s="208">
        <f t="shared" si="125"/>
        <v>440</v>
      </c>
      <c r="G459" s="204">
        <v>16</v>
      </c>
      <c r="H459" s="204">
        <v>0.01</v>
      </c>
      <c r="I459" s="204">
        <v>0</v>
      </c>
      <c r="J459" s="204">
        <v>0</v>
      </c>
      <c r="K459" s="285">
        <v>100</v>
      </c>
      <c r="L459" s="204">
        <v>0</v>
      </c>
      <c r="M459" s="66" t="s">
        <v>506</v>
      </c>
      <c r="N459" s="75">
        <f t="shared" si="123"/>
        <v>3</v>
      </c>
      <c r="O459" s="202"/>
      <c r="P459" s="204"/>
      <c r="R459" s="202" t="s">
        <v>1806</v>
      </c>
      <c r="S459" s="260" t="s">
        <v>218</v>
      </c>
      <c r="T459" s="260" t="s">
        <v>218</v>
      </c>
      <c r="U459" s="260" t="s">
        <v>218</v>
      </c>
    </row>
    <row r="460" s="24" customFormat="1" ht="38.25" outlineLevel="1" spans="3:21">
      <c r="C460" s="202" t="s">
        <v>1808</v>
      </c>
      <c r="D460" s="202" t="s">
        <v>1809</v>
      </c>
      <c r="E460" s="203">
        <f t="shared" ref="E460:E468" si="127">IF(INT((F460+G460-1)/8)+1=INT(F460/8)+1,INT(F460/8)+1,INT(F460/8)+1&amp;"-"&amp;INT((F460+G460-1)/8)+1)</f>
        <v>58</v>
      </c>
      <c r="F460" s="208">
        <f t="shared" si="125"/>
        <v>456</v>
      </c>
      <c r="G460" s="204">
        <v>1</v>
      </c>
      <c r="H460" s="204">
        <v>1</v>
      </c>
      <c r="I460" s="204">
        <v>0</v>
      </c>
      <c r="J460" s="204">
        <v>0</v>
      </c>
      <c r="K460" s="204">
        <f t="shared" si="126"/>
        <v>1</v>
      </c>
      <c r="L460" s="204">
        <v>0</v>
      </c>
      <c r="M460" s="204" t="s">
        <v>482</v>
      </c>
      <c r="N460" s="75">
        <f t="shared" si="123"/>
        <v>1</v>
      </c>
      <c r="O460" s="202"/>
      <c r="P460" s="204"/>
      <c r="R460" s="202" t="s">
        <v>1808</v>
      </c>
      <c r="S460" s="260" t="s">
        <v>218</v>
      </c>
      <c r="T460" s="260" t="s">
        <v>218</v>
      </c>
      <c r="U460" s="260" t="s">
        <v>218</v>
      </c>
    </row>
    <row r="461" s="24" customFormat="1" ht="38.25" outlineLevel="1" spans="3:21">
      <c r="C461" s="202" t="s">
        <v>1810</v>
      </c>
      <c r="D461" s="202" t="s">
        <v>1811</v>
      </c>
      <c r="E461" s="203">
        <f t="shared" si="127"/>
        <v>58</v>
      </c>
      <c r="F461" s="208">
        <f t="shared" si="125"/>
        <v>457</v>
      </c>
      <c r="G461" s="204">
        <v>1</v>
      </c>
      <c r="H461" s="204">
        <v>1</v>
      </c>
      <c r="I461" s="204">
        <v>0</v>
      </c>
      <c r="J461" s="204">
        <v>0</v>
      </c>
      <c r="K461" s="204">
        <f t="shared" si="126"/>
        <v>1</v>
      </c>
      <c r="L461" s="204">
        <v>0</v>
      </c>
      <c r="M461" s="204" t="s">
        <v>482</v>
      </c>
      <c r="N461" s="75">
        <f t="shared" si="123"/>
        <v>1</v>
      </c>
      <c r="O461" s="202"/>
      <c r="P461" s="204"/>
      <c r="R461" s="202" t="s">
        <v>1810</v>
      </c>
      <c r="S461" s="260" t="s">
        <v>218</v>
      </c>
      <c r="T461" s="260" t="s">
        <v>218</v>
      </c>
      <c r="U461" s="260" t="s">
        <v>218</v>
      </c>
    </row>
    <row r="462" s="24" customFormat="1" ht="25.5" outlineLevel="1" spans="3:21">
      <c r="C462" s="202" t="s">
        <v>1812</v>
      </c>
      <c r="D462" s="202" t="s">
        <v>1813</v>
      </c>
      <c r="E462" s="203">
        <f t="shared" si="127"/>
        <v>58</v>
      </c>
      <c r="F462" s="208">
        <f t="shared" si="125"/>
        <v>458</v>
      </c>
      <c r="G462" s="204">
        <v>1</v>
      </c>
      <c r="H462" s="204">
        <v>1</v>
      </c>
      <c r="I462" s="204">
        <v>0</v>
      </c>
      <c r="J462" s="204">
        <v>0</v>
      </c>
      <c r="K462" s="204">
        <f t="shared" si="126"/>
        <v>1</v>
      </c>
      <c r="L462" s="204">
        <v>0</v>
      </c>
      <c r="M462" s="204" t="s">
        <v>482</v>
      </c>
      <c r="N462" s="75">
        <f t="shared" si="123"/>
        <v>1</v>
      </c>
      <c r="O462" s="202"/>
      <c r="P462" s="204"/>
      <c r="R462" s="286" t="s">
        <v>1814</v>
      </c>
      <c r="S462" s="260" t="s">
        <v>218</v>
      </c>
      <c r="T462" s="260" t="s">
        <v>218</v>
      </c>
      <c r="U462" s="260" t="s">
        <v>218</v>
      </c>
    </row>
    <row r="463" s="24" customFormat="1" ht="25.5" outlineLevel="1" spans="3:21">
      <c r="C463" s="202" t="s">
        <v>1815</v>
      </c>
      <c r="D463" s="202" t="s">
        <v>1816</v>
      </c>
      <c r="E463" s="203">
        <f t="shared" si="127"/>
        <v>58</v>
      </c>
      <c r="F463" s="208">
        <f t="shared" si="125"/>
        <v>459</v>
      </c>
      <c r="G463" s="204">
        <v>1</v>
      </c>
      <c r="H463" s="204">
        <v>1</v>
      </c>
      <c r="I463" s="204">
        <v>0</v>
      </c>
      <c r="J463" s="204">
        <v>0</v>
      </c>
      <c r="K463" s="204">
        <f t="shared" si="126"/>
        <v>1</v>
      </c>
      <c r="L463" s="204">
        <v>0</v>
      </c>
      <c r="M463" s="204" t="s">
        <v>482</v>
      </c>
      <c r="N463" s="75">
        <f t="shared" si="123"/>
        <v>1</v>
      </c>
      <c r="O463" s="202"/>
      <c r="P463" s="204"/>
      <c r="R463" s="286" t="s">
        <v>1817</v>
      </c>
      <c r="S463" s="260" t="s">
        <v>218</v>
      </c>
      <c r="T463" s="260" t="s">
        <v>218</v>
      </c>
      <c r="U463" s="260" t="s">
        <v>218</v>
      </c>
    </row>
    <row r="464" s="24" customFormat="1" ht="25.5" outlineLevel="1" spans="3:21">
      <c r="C464" s="202" t="s">
        <v>1818</v>
      </c>
      <c r="D464" s="202" t="s">
        <v>1819</v>
      </c>
      <c r="E464" s="203">
        <f t="shared" si="127"/>
        <v>58</v>
      </c>
      <c r="F464" s="208">
        <f t="shared" si="125"/>
        <v>460</v>
      </c>
      <c r="G464" s="204">
        <v>1</v>
      </c>
      <c r="H464" s="204">
        <v>1</v>
      </c>
      <c r="I464" s="204">
        <v>0</v>
      </c>
      <c r="J464" s="204">
        <v>0</v>
      </c>
      <c r="K464" s="204">
        <f t="shared" si="126"/>
        <v>1</v>
      </c>
      <c r="L464" s="204">
        <v>0</v>
      </c>
      <c r="M464" s="204" t="s">
        <v>482</v>
      </c>
      <c r="N464" s="75">
        <f t="shared" si="123"/>
        <v>1</v>
      </c>
      <c r="O464" s="202"/>
      <c r="P464" s="204"/>
      <c r="R464" s="286" t="s">
        <v>1820</v>
      </c>
      <c r="S464" s="260" t="s">
        <v>218</v>
      </c>
      <c r="T464" s="260" t="s">
        <v>218</v>
      </c>
      <c r="U464" s="260" t="s">
        <v>218</v>
      </c>
    </row>
    <row r="465" s="24" customFormat="1" ht="25.5" outlineLevel="1" spans="1:27">
      <c r="C465" s="202" t="s">
        <v>1821</v>
      </c>
      <c r="D465" s="202" t="s">
        <v>1822</v>
      </c>
      <c r="E465" s="203">
        <f t="shared" si="127"/>
        <v>58</v>
      </c>
      <c r="F465" s="208">
        <f t="shared" si="125"/>
        <v>461</v>
      </c>
      <c r="G465" s="204">
        <v>1</v>
      </c>
      <c r="H465" s="204">
        <v>1</v>
      </c>
      <c r="I465" s="204">
        <v>0</v>
      </c>
      <c r="J465" s="204">
        <v>0</v>
      </c>
      <c r="K465" s="204">
        <f t="shared" si="126"/>
        <v>1</v>
      </c>
      <c r="L465" s="204">
        <v>0</v>
      </c>
      <c r="M465" s="204" t="s">
        <v>482</v>
      </c>
      <c r="N465" s="75">
        <f t="shared" si="123"/>
        <v>1</v>
      </c>
      <c r="O465" s="202"/>
      <c r="P465" s="204"/>
      <c r="R465" s="286" t="s">
        <v>1823</v>
      </c>
      <c r="S465" s="260" t="s">
        <v>218</v>
      </c>
      <c r="T465" s="260" t="s">
        <v>218</v>
      </c>
      <c r="U465" s="260" t="s">
        <v>218</v>
      </c>
    </row>
    <row r="466" s="24" customFormat="1" ht="25.5" outlineLevel="1" spans="1:27">
      <c r="C466" s="202" t="s">
        <v>1824</v>
      </c>
      <c r="D466" s="202" t="s">
        <v>1825</v>
      </c>
      <c r="E466" s="203">
        <f t="shared" si="127"/>
        <v>58</v>
      </c>
      <c r="F466" s="208">
        <f t="shared" si="125"/>
        <v>462</v>
      </c>
      <c r="G466" s="204">
        <v>1</v>
      </c>
      <c r="H466" s="204">
        <v>1</v>
      </c>
      <c r="I466" s="204">
        <v>0</v>
      </c>
      <c r="J466" s="204">
        <v>0</v>
      </c>
      <c r="K466" s="204">
        <f t="shared" si="126"/>
        <v>1</v>
      </c>
      <c r="L466" s="204">
        <v>0</v>
      </c>
      <c r="M466" s="204" t="s">
        <v>482</v>
      </c>
      <c r="N466" s="75">
        <f t="shared" si="123"/>
        <v>1</v>
      </c>
      <c r="O466" s="202"/>
      <c r="P466" s="204"/>
      <c r="R466" s="202" t="s">
        <v>1826</v>
      </c>
      <c r="S466" s="260" t="s">
        <v>218</v>
      </c>
      <c r="T466" s="260" t="s">
        <v>218</v>
      </c>
      <c r="U466" s="260" t="s">
        <v>218</v>
      </c>
    </row>
    <row r="467" s="28" customFormat="1" ht="25.5" outlineLevel="1" spans="1:27">
      <c r="C467" s="212" t="s">
        <v>1827</v>
      </c>
      <c r="D467" s="212" t="s">
        <v>1828</v>
      </c>
      <c r="E467" s="213">
        <f t="shared" si="127"/>
        <v>58</v>
      </c>
      <c r="F467" s="214">
        <f t="shared" si="125"/>
        <v>463</v>
      </c>
      <c r="G467" s="215">
        <v>1</v>
      </c>
      <c r="H467" s="215">
        <v>1</v>
      </c>
      <c r="I467" s="215">
        <v>0</v>
      </c>
      <c r="J467" s="215">
        <v>0</v>
      </c>
      <c r="K467" s="215">
        <f t="shared" si="126"/>
        <v>1</v>
      </c>
      <c r="L467" s="215">
        <v>0</v>
      </c>
      <c r="M467" s="215" t="s">
        <v>482</v>
      </c>
      <c r="N467" s="188">
        <f t="shared" si="123"/>
        <v>1</v>
      </c>
      <c r="O467" s="212"/>
      <c r="P467" s="215"/>
      <c r="R467" s="212" t="s">
        <v>1829</v>
      </c>
      <c r="S467" s="287" t="s">
        <v>218</v>
      </c>
      <c r="T467" s="287" t="s">
        <v>218</v>
      </c>
      <c r="U467" s="287" t="s">
        <v>218</v>
      </c>
    </row>
    <row r="468" s="24" customFormat="1" ht="76.5" outlineLevel="1" spans="1:27">
      <c r="C468" s="202" t="s">
        <v>1830</v>
      </c>
      <c r="D468" s="202" t="s">
        <v>1831</v>
      </c>
      <c r="E468" s="203">
        <f t="shared" si="127"/>
        <v>59</v>
      </c>
      <c r="F468" s="208">
        <f t="shared" si="125"/>
        <v>464</v>
      </c>
      <c r="G468" s="204">
        <v>8</v>
      </c>
      <c r="H468" s="204">
        <v>1</v>
      </c>
      <c r="I468" s="204">
        <v>0</v>
      </c>
      <c r="J468" s="204">
        <v>0</v>
      </c>
      <c r="K468" s="204">
        <f t="shared" si="126"/>
        <v>255</v>
      </c>
      <c r="L468" s="204">
        <v>0</v>
      </c>
      <c r="M468" s="204" t="s">
        <v>602</v>
      </c>
      <c r="N468" s="222">
        <f t="shared" si="123"/>
        <v>3</v>
      </c>
      <c r="O468" s="202" t="s">
        <v>1832</v>
      </c>
      <c r="P468" s="204"/>
      <c r="R468" s="202" t="s">
        <v>1830</v>
      </c>
      <c r="S468" s="260" t="s">
        <v>218</v>
      </c>
      <c r="T468" s="260" t="s">
        <v>218</v>
      </c>
      <c r="U468" s="260" t="s">
        <v>218</v>
      </c>
    </row>
    <row r="469" s="24" customFormat="1" ht="25.5" outlineLevel="1" spans="1:27">
      <c r="C469" s="202" t="s">
        <v>1833</v>
      </c>
      <c r="D469" s="202" t="s">
        <v>1834</v>
      </c>
      <c r="E469" s="203" t="str">
        <f t="shared" ref="E469" si="128">IF(INT((F469+G469-1)/8)+1=INT(F469/8)+1,INT(F469/8)+1,INT(F469/8)+1&amp;"-"&amp;INT((F469+G469-1)/8)+1)</f>
        <v>60-61</v>
      </c>
      <c r="F469" s="208">
        <f t="shared" si="125"/>
        <v>472</v>
      </c>
      <c r="G469" s="204">
        <v>16</v>
      </c>
      <c r="H469" s="204">
        <v>0.01</v>
      </c>
      <c r="I469" s="204">
        <v>0</v>
      </c>
      <c r="J469" s="204">
        <v>0</v>
      </c>
      <c r="K469" s="204">
        <f t="shared" si="126"/>
        <v>655.35</v>
      </c>
      <c r="L469" s="204">
        <v>0</v>
      </c>
      <c r="M469" s="204" t="s">
        <v>506</v>
      </c>
      <c r="N469" s="222">
        <f t="shared" si="123"/>
        <v>6</v>
      </c>
      <c r="O469" s="202"/>
      <c r="P469" s="204"/>
      <c r="R469" s="202" t="s">
        <v>1835</v>
      </c>
      <c r="S469" s="260" t="s">
        <v>218</v>
      </c>
      <c r="T469" s="260" t="s">
        <v>218</v>
      </c>
      <c r="U469" s="260" t="s">
        <v>218</v>
      </c>
    </row>
    <row r="470" spans="1:27">
      <c r="A470" s="288" t="s">
        <v>320</v>
      </c>
      <c r="B470" s="194" t="s">
        <v>1836</v>
      </c>
      <c r="C470" s="194"/>
      <c r="D470" s="194"/>
      <c r="E470" s="198">
        <v>401</v>
      </c>
      <c r="F470" s="289"/>
      <c r="G470" s="256"/>
      <c r="H470" s="256"/>
      <c r="I470" s="256"/>
      <c r="J470" s="256"/>
      <c r="K470" s="256"/>
      <c r="L470" s="256"/>
      <c r="M470" s="256"/>
      <c r="N470" s="198">
        <f>SUM(N471:N472)</f>
        <v>8</v>
      </c>
      <c r="O470" s="256"/>
      <c r="P470" s="256"/>
      <c r="Q470" s="290"/>
      <c r="R470" s="194"/>
      <c r="S470" s="174"/>
      <c r="T470" s="174"/>
      <c r="U470" s="174"/>
      <c r="V470" s="291"/>
      <c r="W470" s="291"/>
      <c r="X470" s="291"/>
      <c r="Y470" s="291"/>
      <c r="Z470" s="291"/>
      <c r="AA470" s="291"/>
    </row>
    <row r="471" ht="38.25" outlineLevel="1" spans="1:27">
      <c r="A471" s="61"/>
      <c r="B471" s="61"/>
      <c r="C471" s="59" t="s">
        <v>1837</v>
      </c>
      <c r="D471" s="74" t="s">
        <v>1838</v>
      </c>
      <c r="E471" s="63">
        <f t="shared" ref="E471" si="129">IF(INT((F471+G471-1)/8)+1=INT(F471/8)+1,INT(F471/8)+1,INT(F471/8)+1&amp;"-"&amp;INT((F471+G471-1)/8)+1)</f>
        <v>1</v>
      </c>
      <c r="F471" s="65">
        <v>0</v>
      </c>
      <c r="G471" s="65">
        <v>8</v>
      </c>
      <c r="H471" s="65">
        <v>1</v>
      </c>
      <c r="I471" s="65">
        <v>0</v>
      </c>
      <c r="J471" s="65">
        <v>0</v>
      </c>
      <c r="K471" s="65">
        <f t="shared" ref="K471:K472" si="130">(POWER(2,G471)-1)*H471+I471</f>
        <v>255</v>
      </c>
      <c r="L471" s="65">
        <v>0</v>
      </c>
      <c r="M471" s="66" t="s">
        <v>218</v>
      </c>
      <c r="N471" s="75">
        <f t="shared" si="123"/>
        <v>3</v>
      </c>
      <c r="O471" s="74" t="s">
        <v>1839</v>
      </c>
      <c r="P471" s="66"/>
      <c r="Q471" s="77"/>
      <c r="R471" s="59" t="s">
        <v>218</v>
      </c>
      <c r="S471" s="59" t="s">
        <v>218</v>
      </c>
      <c r="T471" s="59" t="s">
        <v>218</v>
      </c>
      <c r="U471" s="59" t="s">
        <v>1840</v>
      </c>
      <c r="V471" s="61"/>
      <c r="W471" s="61"/>
      <c r="X471" s="61"/>
      <c r="Y471" s="61"/>
      <c r="Z471" s="61"/>
      <c r="AA471" s="61"/>
    </row>
    <row r="472" ht="38.25" outlineLevel="1" collapsed="1" spans="1:27">
      <c r="A472" s="61"/>
      <c r="B472" s="61"/>
      <c r="C472" s="59" t="s">
        <v>1841</v>
      </c>
      <c r="D472" s="70" t="s">
        <v>1842</v>
      </c>
      <c r="E472" s="80" t="s">
        <v>1843</v>
      </c>
      <c r="F472" s="64">
        <f t="shared" ref="F472" si="131">F471+G471</f>
        <v>8</v>
      </c>
      <c r="G472" s="65">
        <v>16</v>
      </c>
      <c r="H472" s="65">
        <v>1</v>
      </c>
      <c r="I472" s="65">
        <v>0</v>
      </c>
      <c r="J472" s="65">
        <v>0</v>
      </c>
      <c r="K472" s="65">
        <f t="shared" si="130"/>
        <v>65535</v>
      </c>
      <c r="L472" s="65">
        <v>0</v>
      </c>
      <c r="M472" s="66" t="s">
        <v>218</v>
      </c>
      <c r="N472" s="75">
        <f t="shared" si="123"/>
        <v>5</v>
      </c>
      <c r="O472" s="66"/>
      <c r="P472" s="66"/>
      <c r="Q472" s="77"/>
      <c r="R472" s="59" t="s">
        <v>218</v>
      </c>
      <c r="S472" s="59" t="s">
        <v>218</v>
      </c>
      <c r="T472" s="59" t="s">
        <v>218</v>
      </c>
      <c r="U472" s="59" t="s">
        <v>1844</v>
      </c>
      <c r="V472" s="61"/>
      <c r="W472" s="61"/>
      <c r="X472" s="61"/>
      <c r="Y472" s="61"/>
      <c r="Z472" s="61"/>
      <c r="AA472" s="61"/>
    </row>
    <row r="473" spans="1:27">
      <c r="A473" s="292" t="s">
        <v>323</v>
      </c>
      <c r="B473" s="41" t="s">
        <v>1845</v>
      </c>
      <c r="C473" s="41"/>
      <c r="D473" s="41"/>
      <c r="E473" s="43">
        <v>401</v>
      </c>
      <c r="F473" s="44"/>
      <c r="G473" s="45"/>
      <c r="H473" s="45"/>
      <c r="I473" s="45"/>
      <c r="J473" s="45"/>
      <c r="K473" s="45"/>
      <c r="L473" s="45"/>
      <c r="M473" s="45"/>
      <c r="N473" s="43">
        <f>N474+N475*200</f>
        <v>1003</v>
      </c>
      <c r="O473" s="45"/>
      <c r="P473" s="45"/>
      <c r="Q473" s="46"/>
      <c r="R473" s="41"/>
      <c r="S473" s="47"/>
      <c r="T473" s="47"/>
      <c r="U473" s="47"/>
      <c r="V473" s="48"/>
      <c r="W473" s="48"/>
      <c r="X473" s="48"/>
      <c r="Y473" s="48"/>
      <c r="Z473" s="48"/>
      <c r="AA473" s="48"/>
    </row>
    <row r="474" ht="38.25" outlineLevel="1" spans="1:27">
      <c r="A474" s="61"/>
      <c r="B474" s="61"/>
      <c r="C474" s="59" t="s">
        <v>1846</v>
      </c>
      <c r="D474" s="74" t="s">
        <v>1847</v>
      </c>
      <c r="E474" s="63">
        <f t="shared" ref="E474" si="132">IF(INT((F474+G474-1)/8)+1=INT(F474/8)+1,INT(F474/8)+1,INT(F474/8)+1&amp;"-"&amp;INT((F474+G474-1)/8)+1)</f>
        <v>1</v>
      </c>
      <c r="F474" s="65">
        <v>0</v>
      </c>
      <c r="G474" s="65">
        <v>8</v>
      </c>
      <c r="H474" s="65">
        <v>1</v>
      </c>
      <c r="I474" s="65">
        <v>0</v>
      </c>
      <c r="J474" s="65">
        <v>0</v>
      </c>
      <c r="K474" s="65">
        <f t="shared" ref="K474:K475" si="133">(POWER(2,G474)-1)*H474+I474</f>
        <v>255</v>
      </c>
      <c r="L474" s="65">
        <v>0</v>
      </c>
      <c r="M474" s="66" t="s">
        <v>218</v>
      </c>
      <c r="N474" s="75">
        <f t="shared" si="123"/>
        <v>3</v>
      </c>
      <c r="O474" s="74" t="s">
        <v>1839</v>
      </c>
      <c r="P474" s="66"/>
      <c r="Q474" s="77"/>
      <c r="R474" s="59" t="s">
        <v>218</v>
      </c>
      <c r="S474" s="59" t="s">
        <v>218</v>
      </c>
      <c r="T474" s="59" t="s">
        <v>1840</v>
      </c>
      <c r="U474" s="59" t="s">
        <v>218</v>
      </c>
      <c r="V474" s="61"/>
      <c r="W474" s="61"/>
      <c r="X474" s="61"/>
      <c r="Y474" s="61"/>
      <c r="Z474" s="61"/>
      <c r="AA474" s="61"/>
    </row>
    <row r="475" ht="38.25" outlineLevel="1" collapsed="1" spans="1:27">
      <c r="A475" s="61"/>
      <c r="B475" s="61"/>
      <c r="C475" s="59" t="s">
        <v>1848</v>
      </c>
      <c r="D475" s="70" t="s">
        <v>1849</v>
      </c>
      <c r="E475" s="80" t="s">
        <v>1843</v>
      </c>
      <c r="F475" s="64">
        <f t="shared" ref="F475" si="134">F474+G474</f>
        <v>8</v>
      </c>
      <c r="G475" s="65">
        <v>16</v>
      </c>
      <c r="H475" s="65">
        <v>1</v>
      </c>
      <c r="I475" s="65">
        <v>0</v>
      </c>
      <c r="J475" s="65">
        <v>0</v>
      </c>
      <c r="K475" s="65">
        <f t="shared" si="133"/>
        <v>65535</v>
      </c>
      <c r="L475" s="65">
        <v>0</v>
      </c>
      <c r="M475" s="66" t="s">
        <v>218</v>
      </c>
      <c r="N475" s="75">
        <f t="shared" si="123"/>
        <v>5</v>
      </c>
      <c r="O475" s="66"/>
      <c r="P475" s="66"/>
      <c r="Q475" s="77"/>
      <c r="R475" s="59" t="s">
        <v>218</v>
      </c>
      <c r="S475" s="59" t="s">
        <v>218</v>
      </c>
      <c r="T475" s="59" t="s">
        <v>1844</v>
      </c>
      <c r="U475" s="59" t="s">
        <v>218</v>
      </c>
      <c r="V475" s="61"/>
      <c r="W475" s="61"/>
      <c r="X475" s="61"/>
      <c r="Y475" s="61"/>
      <c r="Z475" s="61"/>
      <c r="AA475" s="61"/>
    </row>
    <row r="476" spans="1:27">
      <c r="A476" s="292" t="s">
        <v>326</v>
      </c>
      <c r="B476" s="41" t="s">
        <v>1850</v>
      </c>
      <c r="C476" s="41"/>
      <c r="D476" s="41"/>
      <c r="E476" s="43">
        <v>400</v>
      </c>
      <c r="F476" s="44"/>
      <c r="G476" s="45"/>
      <c r="H476" s="45"/>
      <c r="I476" s="45"/>
      <c r="J476" s="45"/>
      <c r="K476" s="45"/>
      <c r="L476" s="45"/>
      <c r="M476" s="45"/>
      <c r="N476" s="43">
        <f>N477*200</f>
        <v>1000</v>
      </c>
      <c r="O476" s="45"/>
      <c r="P476" s="45"/>
      <c r="Q476" s="46"/>
      <c r="R476" s="41"/>
      <c r="S476" s="47"/>
      <c r="T476" s="47"/>
      <c r="U476" s="47"/>
      <c r="V476" s="48"/>
      <c r="W476" s="48"/>
      <c r="X476" s="48"/>
      <c r="Y476" s="48"/>
      <c r="Z476" s="48"/>
      <c r="AA476" s="48"/>
    </row>
    <row r="477" s="19" customFormat="1" ht="25.5" outlineLevel="1" spans="1:27">
      <c r="A477" s="77"/>
      <c r="B477" s="77"/>
      <c r="C477" s="74" t="s">
        <v>1851</v>
      </c>
      <c r="D477" s="74" t="s">
        <v>1852</v>
      </c>
      <c r="E477" s="80" t="s">
        <v>1853</v>
      </c>
      <c r="F477" s="64">
        <f t="shared" ref="F477" si="135">F476+G476</f>
        <v>0</v>
      </c>
      <c r="G477" s="65">
        <v>16</v>
      </c>
      <c r="H477" s="65">
        <v>1</v>
      </c>
      <c r="I477" s="65">
        <v>0</v>
      </c>
      <c r="J477" s="65">
        <v>0</v>
      </c>
      <c r="K477" s="65">
        <f t="shared" ref="K477" si="136">(POWER(2,G477)-1)*H477+I477</f>
        <v>65535</v>
      </c>
      <c r="L477" s="65">
        <v>0</v>
      </c>
      <c r="M477" s="66" t="s">
        <v>218</v>
      </c>
      <c r="N477" s="75">
        <f t="shared" si="123"/>
        <v>5</v>
      </c>
      <c r="O477" s="74" t="s">
        <v>1854</v>
      </c>
      <c r="P477" s="66"/>
      <c r="Q477" s="77"/>
      <c r="R477" s="74" t="s">
        <v>218</v>
      </c>
      <c r="S477" s="59" t="s">
        <v>218</v>
      </c>
      <c r="T477" s="59" t="s">
        <v>1855</v>
      </c>
      <c r="U477" s="59" t="s">
        <v>1855</v>
      </c>
      <c r="V477" s="77"/>
      <c r="W477" s="77"/>
      <c r="X477" s="115"/>
      <c r="Y477" s="77"/>
      <c r="Z477" s="77"/>
      <c r="AA477" s="77"/>
    </row>
    <row r="478" spans="1:27">
      <c r="A478" s="41" t="s">
        <v>222</v>
      </c>
      <c r="B478" s="149" t="str">
        <f>VLOOKUP(A478,'Message ID'!A:M,2,FALSE)</f>
        <v>电芯电压及其有效性、各AFE总压</v>
      </c>
      <c r="C478" s="194"/>
      <c r="D478" s="194"/>
      <c r="E478" s="43">
        <v>1012</v>
      </c>
      <c r="F478" s="44"/>
      <c r="G478" s="45"/>
      <c r="H478" s="45"/>
      <c r="I478" s="45"/>
      <c r="J478" s="45"/>
      <c r="K478" s="45"/>
      <c r="L478" s="45"/>
      <c r="M478" s="45"/>
      <c r="N478" s="43">
        <f>N479*416+N480*416+N481*32</f>
        <v>2400</v>
      </c>
      <c r="O478" s="46"/>
      <c r="P478" s="45"/>
      <c r="Q478" s="41"/>
      <c r="R478" s="41"/>
      <c r="S478" s="47"/>
      <c r="T478" s="47"/>
      <c r="U478" s="47"/>
      <c r="V478" s="48"/>
      <c r="W478" s="48"/>
      <c r="X478" s="293"/>
      <c r="Y478" s="48"/>
      <c r="Z478" s="48"/>
      <c r="AA478" s="48"/>
    </row>
    <row r="479" ht="38.25" outlineLevel="1" spans="1:27">
      <c r="A479" s="49"/>
      <c r="B479" s="54"/>
      <c r="C479" s="125" t="s">
        <v>1856</v>
      </c>
      <c r="D479" s="102" t="s">
        <v>1857</v>
      </c>
      <c r="E479" s="83" t="s">
        <v>941</v>
      </c>
      <c r="F479" s="64">
        <v>0</v>
      </c>
      <c r="G479" s="65">
        <v>1</v>
      </c>
      <c r="H479" s="65">
        <v>1</v>
      </c>
      <c r="I479" s="65">
        <v>0</v>
      </c>
      <c r="J479" s="65">
        <v>0</v>
      </c>
      <c r="K479" s="82">
        <v>1</v>
      </c>
      <c r="L479" s="65">
        <v>0</v>
      </c>
      <c r="M479" s="66" t="s">
        <v>482</v>
      </c>
      <c r="N479" s="75">
        <f t="shared" si="123"/>
        <v>1</v>
      </c>
      <c r="O479" s="76"/>
      <c r="P479" s="66"/>
      <c r="Q479" s="116" t="s">
        <v>1858</v>
      </c>
      <c r="R479" s="74" t="s">
        <v>1859</v>
      </c>
      <c r="S479" s="70" t="s">
        <v>1860</v>
      </c>
      <c r="T479" s="59" t="s">
        <v>218</v>
      </c>
      <c r="U479" s="60" t="s">
        <v>218</v>
      </c>
      <c r="V479" s="61"/>
      <c r="W479" s="61"/>
      <c r="X479" s="106"/>
      <c r="Y479" s="61"/>
      <c r="Z479" s="61"/>
      <c r="AA479" s="61"/>
    </row>
    <row r="480" ht="38.25" outlineLevel="1" spans="1:27">
      <c r="A480" s="49"/>
      <c r="B480" s="54"/>
      <c r="C480" s="69" t="s">
        <v>1861</v>
      </c>
      <c r="D480" s="74" t="s">
        <v>1862</v>
      </c>
      <c r="E480" s="83" t="s">
        <v>1863</v>
      </c>
      <c r="F480" s="81">
        <f>52*8</f>
        <v>416</v>
      </c>
      <c r="G480" s="65">
        <v>16</v>
      </c>
      <c r="H480" s="65">
        <v>1</v>
      </c>
      <c r="I480" s="65">
        <v>0</v>
      </c>
      <c r="J480" s="65">
        <v>0</v>
      </c>
      <c r="K480" s="82">
        <v>5000</v>
      </c>
      <c r="L480" s="65">
        <v>0</v>
      </c>
      <c r="M480" s="66" t="s">
        <v>440</v>
      </c>
      <c r="N480" s="75">
        <f t="shared" si="123"/>
        <v>4</v>
      </c>
      <c r="O480" s="76"/>
      <c r="P480" s="66" t="s">
        <v>942</v>
      </c>
      <c r="Q480" s="74" t="s">
        <v>1864</v>
      </c>
      <c r="R480" s="74" t="s">
        <v>1865</v>
      </c>
      <c r="S480" s="70" t="s">
        <v>1866</v>
      </c>
      <c r="T480" s="59" t="s">
        <v>218</v>
      </c>
      <c r="U480" s="60" t="s">
        <v>218</v>
      </c>
      <c r="V480" s="61"/>
      <c r="W480" s="61"/>
      <c r="X480" s="106"/>
      <c r="Y480" s="61"/>
      <c r="Z480" s="61"/>
      <c r="AA480" s="61"/>
    </row>
    <row r="481" s="24" customFormat="1" ht="25.5" outlineLevel="1" spans="1:27">
      <c r="C481" s="202" t="s">
        <v>1867</v>
      </c>
      <c r="D481" s="202" t="s">
        <v>1868</v>
      </c>
      <c r="E481" s="275" t="s">
        <v>1869</v>
      </c>
      <c r="F481" s="81">
        <f>884*8</f>
        <v>7072</v>
      </c>
      <c r="G481" s="65">
        <v>32</v>
      </c>
      <c r="H481" s="65">
        <v>1</v>
      </c>
      <c r="I481" s="65">
        <v>0</v>
      </c>
      <c r="J481" s="65">
        <v>0</v>
      </c>
      <c r="K481" s="65">
        <f>(POWER(2,G481)-1)*H481+I481</f>
        <v>4294967295</v>
      </c>
      <c r="L481" s="65">
        <v>0</v>
      </c>
      <c r="M481" s="66" t="s">
        <v>440</v>
      </c>
      <c r="N481" s="75">
        <f t="shared" ref="N481:N528" si="137">LEN(K481)</f>
        <v>10</v>
      </c>
      <c r="O481" s="204"/>
      <c r="P481" s="204"/>
      <c r="R481" s="202" t="s">
        <v>1870</v>
      </c>
      <c r="S481" s="294" t="s">
        <v>218</v>
      </c>
      <c r="T481" s="260" t="s">
        <v>218</v>
      </c>
      <c r="U481" s="260" t="s">
        <v>218</v>
      </c>
    </row>
    <row r="482" ht="25.5" spans="1:27">
      <c r="A482" s="41" t="s">
        <v>225</v>
      </c>
      <c r="B482" s="295" t="str">
        <f>VLOOKUP(A482,'Message ID'!A:M,2,FALSE)</f>
        <v>电芯温度、极柱温度、Pack正负极连接件温度、PCB板温及其有效性</v>
      </c>
      <c r="C482" s="41"/>
      <c r="D482" s="41"/>
      <c r="E482" s="43">
        <v>1188</v>
      </c>
      <c r="F482" s="44"/>
      <c r="G482" s="45"/>
      <c r="H482" s="45"/>
      <c r="I482" s="45"/>
      <c r="J482" s="45"/>
      <c r="K482" s="45"/>
      <c r="L482" s="45"/>
      <c r="M482" s="45"/>
      <c r="N482" s="43">
        <f>N483*416+N484*64+N485*16+N486*32+N487*32</f>
        <v>2672</v>
      </c>
      <c r="O482" s="46"/>
      <c r="P482" s="45"/>
      <c r="Q482" s="41"/>
      <c r="R482" s="41"/>
      <c r="S482" s="47"/>
      <c r="T482" s="47"/>
      <c r="U482" s="47"/>
      <c r="V482" s="48"/>
      <c r="W482" s="48"/>
      <c r="X482" s="48"/>
      <c r="Y482" s="48"/>
      <c r="Z482" s="48"/>
      <c r="AA482" s="48"/>
    </row>
    <row r="483" s="19" customFormat="1" ht="51" outlineLevel="1" spans="1:27">
      <c r="A483" s="74"/>
      <c r="B483" s="66"/>
      <c r="C483" s="69" t="s">
        <v>1871</v>
      </c>
      <c r="D483" s="74" t="s">
        <v>1872</v>
      </c>
      <c r="E483" s="83" t="s">
        <v>1873</v>
      </c>
      <c r="F483" s="64">
        <v>0</v>
      </c>
      <c r="G483" s="65">
        <v>16</v>
      </c>
      <c r="H483" s="65">
        <v>0.1</v>
      </c>
      <c r="I483" s="65">
        <v>-40</v>
      </c>
      <c r="J483" s="65">
        <v>-40</v>
      </c>
      <c r="K483" s="84">
        <v>125.1</v>
      </c>
      <c r="L483" s="65">
        <v>0</v>
      </c>
      <c r="M483" s="66" t="s">
        <v>427</v>
      </c>
      <c r="N483" s="75">
        <f t="shared" si="137"/>
        <v>5</v>
      </c>
      <c r="O483" s="76"/>
      <c r="P483" s="66" t="s">
        <v>942</v>
      </c>
      <c r="Q483" s="69" t="s">
        <v>1874</v>
      </c>
      <c r="R483" s="74" t="s">
        <v>1875</v>
      </c>
      <c r="S483" s="70" t="s">
        <v>1876</v>
      </c>
      <c r="T483" s="59" t="s">
        <v>218</v>
      </c>
      <c r="U483" s="59" t="s">
        <v>218</v>
      </c>
      <c r="V483" s="77"/>
      <c r="W483" s="77"/>
      <c r="X483" s="77"/>
      <c r="Y483" s="77"/>
      <c r="Z483" s="77"/>
      <c r="AA483" s="77"/>
    </row>
    <row r="484" s="19" customFormat="1" ht="25.5" outlineLevel="1" spans="1:27">
      <c r="A484" s="107"/>
      <c r="B484" s="107"/>
      <c r="C484" s="69" t="s">
        <v>1877</v>
      </c>
      <c r="D484" s="74" t="s">
        <v>1878</v>
      </c>
      <c r="E484" s="83" t="s">
        <v>1879</v>
      </c>
      <c r="F484" s="81">
        <f>832*8</f>
        <v>6656</v>
      </c>
      <c r="G484" s="65">
        <v>16</v>
      </c>
      <c r="H484" s="65">
        <v>0.1</v>
      </c>
      <c r="I484" s="65">
        <v>-40</v>
      </c>
      <c r="J484" s="65">
        <v>-40</v>
      </c>
      <c r="K484" s="84">
        <v>125.1</v>
      </c>
      <c r="L484" s="65">
        <v>0</v>
      </c>
      <c r="M484" s="66" t="s">
        <v>427</v>
      </c>
      <c r="N484" s="75">
        <f t="shared" si="137"/>
        <v>5</v>
      </c>
      <c r="O484" s="76"/>
      <c r="P484" s="66" t="s">
        <v>942</v>
      </c>
      <c r="Q484" s="296"/>
      <c r="R484" s="74" t="s">
        <v>1880</v>
      </c>
      <c r="S484" s="59" t="s">
        <v>218</v>
      </c>
      <c r="T484" s="59" t="s">
        <v>218</v>
      </c>
      <c r="U484" s="59" t="s">
        <v>218</v>
      </c>
      <c r="V484" s="77"/>
      <c r="W484" s="77"/>
      <c r="X484" s="77"/>
      <c r="Y484" s="77"/>
      <c r="Z484" s="77"/>
      <c r="AA484" s="77"/>
    </row>
    <row r="485" s="19" customFormat="1" ht="38.25" outlineLevel="1" spans="1:27">
      <c r="A485" s="107"/>
      <c r="B485" s="107"/>
      <c r="C485" s="69" t="s">
        <v>1881</v>
      </c>
      <c r="D485" s="74" t="s">
        <v>1882</v>
      </c>
      <c r="E485" s="83" t="s">
        <v>1883</v>
      </c>
      <c r="F485" s="81">
        <f>1088*8</f>
        <v>8704</v>
      </c>
      <c r="G485" s="65">
        <v>16</v>
      </c>
      <c r="H485" s="65">
        <v>0.1</v>
      </c>
      <c r="I485" s="65">
        <v>-40</v>
      </c>
      <c r="J485" s="65">
        <v>-40</v>
      </c>
      <c r="K485" s="84">
        <v>125.1</v>
      </c>
      <c r="L485" s="65">
        <v>0</v>
      </c>
      <c r="M485" s="66" t="s">
        <v>427</v>
      </c>
      <c r="N485" s="75">
        <f t="shared" si="137"/>
        <v>5</v>
      </c>
      <c r="O485" s="76"/>
      <c r="P485" s="66" t="s">
        <v>942</v>
      </c>
      <c r="Q485" s="296"/>
      <c r="R485" s="74" t="s">
        <v>1884</v>
      </c>
      <c r="S485" s="59" t="s">
        <v>218</v>
      </c>
      <c r="T485" s="59" t="s">
        <v>218</v>
      </c>
      <c r="U485" s="59" t="s">
        <v>218</v>
      </c>
      <c r="V485" s="77"/>
      <c r="W485" s="77"/>
      <c r="X485" s="77"/>
      <c r="Y485" s="77"/>
      <c r="Z485" s="77"/>
      <c r="AA485" s="77"/>
    </row>
    <row r="486" s="24" customFormat="1" ht="38.25" outlineLevel="1" spans="1:27">
      <c r="C486" s="69" t="s">
        <v>1885</v>
      </c>
      <c r="D486" s="74" t="s">
        <v>1886</v>
      </c>
      <c r="E486" s="83" t="s">
        <v>1887</v>
      </c>
      <c r="F486" s="81">
        <f>1120*8</f>
        <v>8960</v>
      </c>
      <c r="G486" s="65">
        <v>1</v>
      </c>
      <c r="H486" s="65">
        <v>1</v>
      </c>
      <c r="I486" s="65">
        <v>0</v>
      </c>
      <c r="J486" s="65">
        <v>0</v>
      </c>
      <c r="K486" s="65">
        <f t="shared" ref="K486" si="138">(POWER(2,G486)-1)*H486+I486</f>
        <v>1</v>
      </c>
      <c r="L486" s="65">
        <v>0</v>
      </c>
      <c r="M486" s="66" t="s">
        <v>482</v>
      </c>
      <c r="N486" s="75">
        <f t="shared" si="137"/>
        <v>1</v>
      </c>
      <c r="O486" s="76"/>
      <c r="P486" s="66"/>
      <c r="Q486" s="296"/>
      <c r="R486" s="74" t="s">
        <v>1888</v>
      </c>
      <c r="S486" s="260" t="s">
        <v>218</v>
      </c>
      <c r="T486" s="260" t="s">
        <v>218</v>
      </c>
      <c r="U486" s="260" t="s">
        <v>218</v>
      </c>
    </row>
    <row r="487" s="24" customFormat="1" ht="38.25" outlineLevel="1" spans="1:27">
      <c r="C487" s="69" t="s">
        <v>1889</v>
      </c>
      <c r="D487" s="74" t="s">
        <v>1890</v>
      </c>
      <c r="E487" s="83" t="s">
        <v>1891</v>
      </c>
      <c r="F487" s="81">
        <f>1124*8</f>
        <v>8992</v>
      </c>
      <c r="G487" s="65">
        <v>16</v>
      </c>
      <c r="H487" s="65">
        <v>0.1</v>
      </c>
      <c r="I487" s="65">
        <v>-40</v>
      </c>
      <c r="J487" s="65">
        <v>-40</v>
      </c>
      <c r="K487" s="82">
        <v>125.1</v>
      </c>
      <c r="L487" s="65">
        <v>0</v>
      </c>
      <c r="M487" s="66" t="s">
        <v>427</v>
      </c>
      <c r="N487" s="75">
        <f t="shared" si="137"/>
        <v>5</v>
      </c>
      <c r="O487" s="76"/>
      <c r="P487" s="66"/>
      <c r="Q487" s="296"/>
      <c r="R487" s="74" t="s">
        <v>1892</v>
      </c>
      <c r="S487" s="260" t="s">
        <v>218</v>
      </c>
      <c r="T487" s="260" t="s">
        <v>218</v>
      </c>
      <c r="U487" s="260" t="s">
        <v>218</v>
      </c>
    </row>
    <row r="488" spans="1:27">
      <c r="A488" s="41" t="s">
        <v>329</v>
      </c>
      <c r="B488" s="295" t="str">
        <f>VLOOKUP(A488,'Message ID'!A:M,2,FALSE)</f>
        <v>模型调试信息</v>
      </c>
      <c r="C488" s="41"/>
      <c r="D488" s="41"/>
      <c r="E488" s="43">
        <v>26</v>
      </c>
      <c r="F488" s="44"/>
      <c r="G488" s="45"/>
      <c r="H488" s="45"/>
      <c r="I488" s="45"/>
      <c r="J488" s="45"/>
      <c r="K488" s="45"/>
      <c r="L488" s="45"/>
      <c r="M488" s="45"/>
      <c r="N488" s="43">
        <f>SUM(N489:N508)</f>
        <v>63</v>
      </c>
      <c r="O488" s="46"/>
      <c r="P488" s="45"/>
      <c r="Q488" s="41"/>
      <c r="R488" s="41"/>
      <c r="S488" s="47"/>
      <c r="T488" s="47"/>
      <c r="U488" s="47"/>
      <c r="V488" s="48"/>
      <c r="W488" s="48"/>
      <c r="X488" s="48"/>
      <c r="Y488" s="48"/>
      <c r="Z488" s="48"/>
      <c r="AA488" s="48"/>
    </row>
    <row r="489" s="19" customFormat="1" ht="25.5" outlineLevel="1" spans="1:27">
      <c r="A489" s="107"/>
      <c r="B489" s="107"/>
      <c r="C489" s="69" t="s">
        <v>1893</v>
      </c>
      <c r="D489" s="74" t="s">
        <v>1894</v>
      </c>
      <c r="E489" s="75">
        <f>IF(INT((F489+G489-1)/8)+1=INT(F489/8)+1,INT(F489/8)+1,INT(F489/8)+1&amp;"-"&amp;INT((F489+G489-1)/8)+1)</f>
        <v>1</v>
      </c>
      <c r="F489" s="64">
        <v>0</v>
      </c>
      <c r="G489" s="65">
        <v>1</v>
      </c>
      <c r="H489" s="65">
        <v>1</v>
      </c>
      <c r="I489" s="65">
        <v>0</v>
      </c>
      <c r="J489" s="65">
        <v>0</v>
      </c>
      <c r="K489" s="65">
        <f>(POWER(2,G489)-1)*H489+I489</f>
        <v>1</v>
      </c>
      <c r="L489" s="65">
        <v>0</v>
      </c>
      <c r="M489" s="66" t="s">
        <v>482</v>
      </c>
      <c r="N489" s="75">
        <f t="shared" si="137"/>
        <v>1</v>
      </c>
      <c r="O489" s="76"/>
      <c r="P489" s="66"/>
      <c r="Q489" s="296"/>
      <c r="R489" s="69" t="s">
        <v>1893</v>
      </c>
      <c r="S489" s="59" t="s">
        <v>218</v>
      </c>
      <c r="T489" s="59" t="s">
        <v>218</v>
      </c>
      <c r="U489" s="59" t="s">
        <v>218</v>
      </c>
      <c r="V489" s="77"/>
      <c r="W489" s="77"/>
      <c r="X489" s="77"/>
      <c r="Y489" s="77"/>
      <c r="Z489" s="77"/>
      <c r="AA489" s="77"/>
    </row>
    <row r="490" s="19" customFormat="1" ht="25.5" outlineLevel="1" spans="1:27">
      <c r="A490" s="107"/>
      <c r="B490" s="107"/>
      <c r="C490" s="69" t="s">
        <v>1895</v>
      </c>
      <c r="D490" s="74" t="s">
        <v>1896</v>
      </c>
      <c r="E490" s="75">
        <f t="shared" ref="E490:E492" si="139">IF(INT((F490+G490-1)/8)+1=INT(F490/8)+1,INT(F490/8)+1,INT(F490/8)+1&amp;"-"&amp;INT((F490+G490-1)/8)+1)</f>
        <v>1</v>
      </c>
      <c r="F490" s="64">
        <f>F489+G489</f>
        <v>1</v>
      </c>
      <c r="G490" s="65">
        <v>1</v>
      </c>
      <c r="H490" s="65">
        <v>1</v>
      </c>
      <c r="I490" s="65">
        <v>0</v>
      </c>
      <c r="J490" s="65">
        <v>0</v>
      </c>
      <c r="K490" s="65">
        <f t="shared" ref="K490:K506" si="140">(POWER(2,G490)-1)*H490+I490</f>
        <v>1</v>
      </c>
      <c r="L490" s="65">
        <v>0</v>
      </c>
      <c r="M490" s="66" t="s">
        <v>482</v>
      </c>
      <c r="N490" s="75">
        <f t="shared" si="137"/>
        <v>1</v>
      </c>
      <c r="O490" s="76"/>
      <c r="P490" s="66"/>
      <c r="Q490" s="296"/>
      <c r="R490" s="69" t="s">
        <v>1895</v>
      </c>
      <c r="S490" s="59" t="s">
        <v>218</v>
      </c>
      <c r="T490" s="59" t="s">
        <v>218</v>
      </c>
      <c r="U490" s="59" t="s">
        <v>218</v>
      </c>
      <c r="V490" s="77"/>
      <c r="W490" s="77"/>
      <c r="X490" s="77"/>
      <c r="Y490" s="77"/>
      <c r="Z490" s="77"/>
      <c r="AA490" s="77"/>
    </row>
    <row r="491" s="24" customFormat="1" ht="25.5" outlineLevel="1" spans="1:27">
      <c r="C491" s="69" t="s">
        <v>1897</v>
      </c>
      <c r="D491" s="74" t="s">
        <v>1898</v>
      </c>
      <c r="E491" s="75">
        <f t="shared" si="139"/>
        <v>1</v>
      </c>
      <c r="F491" s="64">
        <f t="shared" ref="F491:F493" si="141">F490+G490</f>
        <v>2</v>
      </c>
      <c r="G491" s="65">
        <v>1</v>
      </c>
      <c r="H491" s="65">
        <v>1</v>
      </c>
      <c r="I491" s="65">
        <v>0</v>
      </c>
      <c r="J491" s="65">
        <v>0</v>
      </c>
      <c r="K491" s="65">
        <f t="shared" si="140"/>
        <v>1</v>
      </c>
      <c r="L491" s="65">
        <v>0</v>
      </c>
      <c r="M491" s="66" t="s">
        <v>482</v>
      </c>
      <c r="N491" s="75">
        <f t="shared" si="137"/>
        <v>1</v>
      </c>
      <c r="O491" s="76"/>
      <c r="P491" s="66"/>
      <c r="Q491" s="296"/>
      <c r="R491" s="69" t="s">
        <v>1897</v>
      </c>
      <c r="S491" s="260" t="s">
        <v>218</v>
      </c>
      <c r="T491" s="260" t="s">
        <v>218</v>
      </c>
      <c r="U491" s="260" t="s">
        <v>218</v>
      </c>
    </row>
    <row r="492" s="24" customFormat="1" ht="25.5" outlineLevel="1" spans="1:27">
      <c r="C492" s="69" t="s">
        <v>1899</v>
      </c>
      <c r="D492" s="74" t="s">
        <v>1900</v>
      </c>
      <c r="E492" s="75">
        <f t="shared" si="139"/>
        <v>1</v>
      </c>
      <c r="F492" s="64">
        <f t="shared" si="141"/>
        <v>3</v>
      </c>
      <c r="G492" s="65">
        <v>1</v>
      </c>
      <c r="H492" s="65">
        <v>1</v>
      </c>
      <c r="I492" s="65">
        <v>0</v>
      </c>
      <c r="J492" s="65">
        <v>0</v>
      </c>
      <c r="K492" s="65">
        <f t="shared" si="140"/>
        <v>1</v>
      </c>
      <c r="L492" s="65">
        <v>0</v>
      </c>
      <c r="M492" s="66" t="s">
        <v>482</v>
      </c>
      <c r="N492" s="75">
        <f t="shared" si="137"/>
        <v>1</v>
      </c>
      <c r="O492" s="76"/>
      <c r="P492" s="66"/>
      <c r="Q492" s="296"/>
      <c r="R492" s="69" t="s">
        <v>1899</v>
      </c>
      <c r="S492" s="59" t="s">
        <v>218</v>
      </c>
      <c r="T492" s="59" t="s">
        <v>218</v>
      </c>
      <c r="U492" s="59" t="s">
        <v>218</v>
      </c>
    </row>
    <row r="493" s="27" customFormat="1" ht="25.5" outlineLevel="1" spans="1:27">
      <c r="C493" s="297" t="s">
        <v>449</v>
      </c>
      <c r="D493" s="274" t="s">
        <v>450</v>
      </c>
      <c r="E493" s="84">
        <f t="shared" ref="E493" si="142">IF(INT((F493+G493-1)/8)+1=INT(F493/8)+1,INT(F493/8)+1,INT(F493/8)+1&amp;"-"&amp;INT((F493+G493-1)/8)+1)</f>
        <v>1</v>
      </c>
      <c r="F493" s="81">
        <f t="shared" si="141"/>
        <v>4</v>
      </c>
      <c r="G493" s="277">
        <v>4</v>
      </c>
      <c r="H493" s="277">
        <v>1</v>
      </c>
      <c r="I493" s="277">
        <v>0</v>
      </c>
      <c r="J493" s="277">
        <v>0</v>
      </c>
      <c r="K493" s="82">
        <f t="shared" ref="K493" si="143">(POWER(2,G493)-1)*H493+I493</f>
        <v>15</v>
      </c>
      <c r="L493" s="277">
        <v>0</v>
      </c>
      <c r="M493" s="298" t="s">
        <v>218</v>
      </c>
      <c r="N493" s="84">
        <v>0</v>
      </c>
      <c r="O493" s="299"/>
      <c r="P493" s="298"/>
      <c r="Q493" s="300"/>
      <c r="R493" s="297" t="s">
        <v>218</v>
      </c>
      <c r="S493" s="85" t="s">
        <v>218</v>
      </c>
      <c r="T493" s="85" t="s">
        <v>218</v>
      </c>
      <c r="U493" s="85" t="s">
        <v>218</v>
      </c>
    </row>
    <row r="494" s="19" customFormat="1" ht="25.5" outlineLevel="1" spans="1:27">
      <c r="A494" s="301"/>
      <c r="B494" s="301"/>
      <c r="C494" s="302" t="s">
        <v>1901</v>
      </c>
      <c r="D494" s="148" t="s">
        <v>1902</v>
      </c>
      <c r="E494" s="75">
        <f t="shared" ref="E494:E512" si="144">IF(INT((F494+G494-1)/8)+1=INT(F494/8)+1,INT(F494/8)+1,INT(F494/8)+1&amp;"-"&amp;INT((F494+G494-1)/8)+1)</f>
        <v>2</v>
      </c>
      <c r="F494" s="64">
        <f t="shared" ref="F494:F512" si="145">F493+G493</f>
        <v>8</v>
      </c>
      <c r="G494" s="248">
        <v>8</v>
      </c>
      <c r="H494" s="248">
        <v>1</v>
      </c>
      <c r="I494" s="248">
        <v>0</v>
      </c>
      <c r="J494" s="248">
        <v>0</v>
      </c>
      <c r="K494" s="248">
        <f t="shared" si="140"/>
        <v>255</v>
      </c>
      <c r="L494" s="248">
        <v>0</v>
      </c>
      <c r="M494" s="250" t="s">
        <v>602</v>
      </c>
      <c r="N494" s="303">
        <f t="shared" si="137"/>
        <v>3</v>
      </c>
      <c r="O494" s="304" t="s">
        <v>1903</v>
      </c>
      <c r="P494" s="250"/>
      <c r="Q494" s="305"/>
      <c r="R494" s="302" t="s">
        <v>1901</v>
      </c>
      <c r="S494" s="306" t="s">
        <v>218</v>
      </c>
      <c r="T494" s="306" t="s">
        <v>218</v>
      </c>
      <c r="U494" s="306" t="s">
        <v>218</v>
      </c>
      <c r="V494" s="307"/>
      <c r="W494" s="307"/>
      <c r="X494" s="307"/>
      <c r="Y494" s="307"/>
      <c r="Z494" s="307"/>
      <c r="AA494" s="307"/>
    </row>
    <row r="495" s="24" customFormat="1" ht="25.5" outlineLevel="1" spans="1:27">
      <c r="A495" s="28"/>
      <c r="B495" s="28"/>
      <c r="C495" s="308" t="s">
        <v>1904</v>
      </c>
      <c r="D495" s="114" t="s">
        <v>1905</v>
      </c>
      <c r="E495" s="75">
        <f t="shared" si="144"/>
        <v>3</v>
      </c>
      <c r="F495" s="64">
        <f t="shared" si="145"/>
        <v>16</v>
      </c>
      <c r="G495" s="168">
        <v>8</v>
      </c>
      <c r="H495" s="168">
        <v>1</v>
      </c>
      <c r="I495" s="168">
        <v>0</v>
      </c>
      <c r="J495" s="168">
        <v>0</v>
      </c>
      <c r="K495" s="168">
        <f t="shared" si="140"/>
        <v>255</v>
      </c>
      <c r="L495" s="168">
        <v>0</v>
      </c>
      <c r="M495" s="169" t="s">
        <v>602</v>
      </c>
      <c r="N495" s="188">
        <f t="shared" si="137"/>
        <v>3</v>
      </c>
      <c r="O495" s="166"/>
      <c r="P495" s="309"/>
      <c r="Q495" s="296"/>
      <c r="R495" s="69" t="s">
        <v>1904</v>
      </c>
      <c r="S495" s="59" t="s">
        <v>218</v>
      </c>
      <c r="T495" s="59" t="s">
        <v>218</v>
      </c>
      <c r="U495" s="59" t="s">
        <v>218</v>
      </c>
    </row>
    <row r="496" s="22" customFormat="1" ht="38.25" outlineLevel="1" spans="1:27">
      <c r="A496" s="28"/>
      <c r="B496" s="28"/>
      <c r="C496" s="310" t="s">
        <v>1906</v>
      </c>
      <c r="D496" s="209" t="s">
        <v>1907</v>
      </c>
      <c r="E496" s="75" t="str">
        <f t="shared" si="144"/>
        <v>4-5</v>
      </c>
      <c r="F496" s="64">
        <f t="shared" si="145"/>
        <v>24</v>
      </c>
      <c r="G496" s="204">
        <v>16</v>
      </c>
      <c r="H496" s="204">
        <v>0.1</v>
      </c>
      <c r="I496" s="204">
        <v>0</v>
      </c>
      <c r="J496" s="204">
        <v>0</v>
      </c>
      <c r="K496" s="168">
        <f t="shared" si="140"/>
        <v>6553.5</v>
      </c>
      <c r="L496" s="204">
        <v>0</v>
      </c>
      <c r="M496" s="205" t="s">
        <v>405</v>
      </c>
      <c r="N496" s="188">
        <f t="shared" si="137"/>
        <v>6</v>
      </c>
      <c r="O496" s="311"/>
      <c r="P496" s="205"/>
      <c r="Q496" s="296"/>
      <c r="R496" s="310" t="s">
        <v>1906</v>
      </c>
      <c r="S496" s="59" t="s">
        <v>218</v>
      </c>
      <c r="T496" s="59" t="s">
        <v>218</v>
      </c>
      <c r="U496" s="134" t="s">
        <v>218</v>
      </c>
      <c r="V496" s="24"/>
      <c r="W496" s="24"/>
      <c r="X496" s="24"/>
      <c r="Y496" s="24"/>
      <c r="Z496" s="24"/>
      <c r="AA496" s="24"/>
    </row>
    <row r="497" s="22" customFormat="1" ht="38.25" outlineLevel="1" spans="1:27">
      <c r="A497" s="28"/>
      <c r="B497" s="28"/>
      <c r="C497" s="310" t="s">
        <v>1908</v>
      </c>
      <c r="D497" s="209" t="s">
        <v>1909</v>
      </c>
      <c r="E497" s="75" t="str">
        <f t="shared" si="144"/>
        <v>6-7</v>
      </c>
      <c r="F497" s="64">
        <f t="shared" si="145"/>
        <v>40</v>
      </c>
      <c r="G497" s="204">
        <v>16</v>
      </c>
      <c r="H497" s="204">
        <v>0.1</v>
      </c>
      <c r="I497" s="204">
        <v>0</v>
      </c>
      <c r="J497" s="204">
        <v>0</v>
      </c>
      <c r="K497" s="168">
        <f t="shared" si="140"/>
        <v>6553.5</v>
      </c>
      <c r="L497" s="204">
        <v>0</v>
      </c>
      <c r="M497" s="205" t="s">
        <v>405</v>
      </c>
      <c r="N497" s="188">
        <f t="shared" si="137"/>
        <v>6</v>
      </c>
      <c r="O497" s="311"/>
      <c r="P497" s="205"/>
      <c r="Q497" s="296"/>
      <c r="R497" s="310" t="s">
        <v>1908</v>
      </c>
      <c r="S497" s="59" t="s">
        <v>218</v>
      </c>
      <c r="T497" s="59" t="s">
        <v>218</v>
      </c>
      <c r="U497" s="134" t="s">
        <v>218</v>
      </c>
      <c r="V497" s="24"/>
      <c r="W497" s="24"/>
      <c r="X497" s="24"/>
      <c r="Y497" s="24"/>
      <c r="Z497" s="24"/>
      <c r="AA497" s="24"/>
    </row>
    <row r="498" s="22" customFormat="1" ht="25.5" outlineLevel="1" spans="1:27">
      <c r="A498" s="28"/>
      <c r="B498" s="28"/>
      <c r="C498" s="310" t="s">
        <v>1910</v>
      </c>
      <c r="D498" s="209" t="s">
        <v>1911</v>
      </c>
      <c r="E498" s="75" t="str">
        <f t="shared" si="144"/>
        <v>8-9</v>
      </c>
      <c r="F498" s="64">
        <f t="shared" si="145"/>
        <v>56</v>
      </c>
      <c r="G498" s="204">
        <v>16</v>
      </c>
      <c r="H498" s="204">
        <v>1</v>
      </c>
      <c r="I498" s="204">
        <v>0</v>
      </c>
      <c r="J498" s="204">
        <v>0</v>
      </c>
      <c r="K498" s="168">
        <f t="shared" si="140"/>
        <v>65535</v>
      </c>
      <c r="L498" s="204">
        <v>0</v>
      </c>
      <c r="M498" s="205" t="s">
        <v>440</v>
      </c>
      <c r="N498" s="188">
        <f t="shared" si="137"/>
        <v>5</v>
      </c>
      <c r="O498" s="311"/>
      <c r="P498" s="205"/>
      <c r="Q498" s="296"/>
      <c r="R498" s="310" t="s">
        <v>1910</v>
      </c>
      <c r="S498" s="59" t="s">
        <v>218</v>
      </c>
      <c r="T498" s="59" t="s">
        <v>218</v>
      </c>
      <c r="U498" s="134" t="s">
        <v>218</v>
      </c>
      <c r="V498" s="24"/>
      <c r="W498" s="24"/>
      <c r="X498" s="24"/>
      <c r="Y498" s="24"/>
      <c r="Z498" s="24"/>
      <c r="AA498" s="24"/>
    </row>
    <row r="499" s="22" customFormat="1" ht="38.25" outlineLevel="1" spans="1:27">
      <c r="A499" s="28"/>
      <c r="B499" s="28"/>
      <c r="C499" s="310" t="s">
        <v>1912</v>
      </c>
      <c r="D499" s="209" t="s">
        <v>1913</v>
      </c>
      <c r="E499" s="75" t="str">
        <f t="shared" si="144"/>
        <v>10-11</v>
      </c>
      <c r="F499" s="64">
        <f t="shared" si="145"/>
        <v>72</v>
      </c>
      <c r="G499" s="204">
        <v>16</v>
      </c>
      <c r="H499" s="204">
        <v>0.1</v>
      </c>
      <c r="I499" s="204">
        <v>0</v>
      </c>
      <c r="J499" s="204">
        <v>0</v>
      </c>
      <c r="K499" s="168">
        <f t="shared" si="140"/>
        <v>6553.5</v>
      </c>
      <c r="L499" s="204">
        <v>0</v>
      </c>
      <c r="M499" s="205" t="s">
        <v>1914</v>
      </c>
      <c r="N499" s="188">
        <f t="shared" si="137"/>
        <v>6</v>
      </c>
      <c r="O499" s="311"/>
      <c r="P499" s="205"/>
      <c r="Q499" s="296"/>
      <c r="R499" s="310" t="s">
        <v>1912</v>
      </c>
      <c r="S499" s="59" t="s">
        <v>218</v>
      </c>
      <c r="T499" s="59" t="s">
        <v>218</v>
      </c>
      <c r="U499" s="134" t="s">
        <v>218</v>
      </c>
      <c r="V499" s="24"/>
      <c r="W499" s="24"/>
      <c r="X499" s="24"/>
      <c r="Y499" s="24"/>
      <c r="Z499" s="24"/>
      <c r="AA499" s="24"/>
    </row>
    <row r="500" s="22" customFormat="1" ht="38.25" outlineLevel="1" spans="1:27">
      <c r="A500" s="28"/>
      <c r="B500" s="28"/>
      <c r="C500" s="310" t="s">
        <v>1915</v>
      </c>
      <c r="D500" s="209" t="s">
        <v>1916</v>
      </c>
      <c r="E500" s="75" t="str">
        <f t="shared" si="144"/>
        <v>12-13</v>
      </c>
      <c r="F500" s="64">
        <f t="shared" si="145"/>
        <v>88</v>
      </c>
      <c r="G500" s="204">
        <v>16</v>
      </c>
      <c r="H500" s="204">
        <v>0.1</v>
      </c>
      <c r="I500" s="204">
        <v>0</v>
      </c>
      <c r="J500" s="204">
        <v>0</v>
      </c>
      <c r="K500" s="168">
        <f t="shared" si="140"/>
        <v>6553.5</v>
      </c>
      <c r="L500" s="204">
        <v>0</v>
      </c>
      <c r="M500" s="205" t="s">
        <v>1914</v>
      </c>
      <c r="N500" s="188">
        <f t="shared" si="137"/>
        <v>6</v>
      </c>
      <c r="O500" s="311"/>
      <c r="P500" s="205"/>
      <c r="Q500" s="296"/>
      <c r="R500" s="310" t="s">
        <v>1915</v>
      </c>
      <c r="S500" s="59" t="s">
        <v>218</v>
      </c>
      <c r="T500" s="59" t="s">
        <v>218</v>
      </c>
      <c r="U500" s="134" t="s">
        <v>218</v>
      </c>
      <c r="V500" s="24"/>
      <c r="W500" s="24"/>
      <c r="X500" s="24"/>
      <c r="Y500" s="24"/>
      <c r="Z500" s="24"/>
      <c r="AA500" s="24"/>
    </row>
    <row r="501" s="22" customFormat="1" ht="38.25" outlineLevel="1" spans="1:27">
      <c r="A501" s="24"/>
      <c r="B501" s="24"/>
      <c r="C501" s="310" t="s">
        <v>1917</v>
      </c>
      <c r="D501" s="209" t="s">
        <v>1918</v>
      </c>
      <c r="E501" s="75" t="str">
        <f t="shared" si="144"/>
        <v>14-15</v>
      </c>
      <c r="F501" s="64">
        <f t="shared" si="145"/>
        <v>104</v>
      </c>
      <c r="G501" s="204">
        <v>16</v>
      </c>
      <c r="H501" s="204">
        <v>0.1</v>
      </c>
      <c r="I501" s="204">
        <v>0</v>
      </c>
      <c r="J501" s="204">
        <v>0</v>
      </c>
      <c r="K501" s="168">
        <f t="shared" si="140"/>
        <v>6553.5</v>
      </c>
      <c r="L501" s="204">
        <v>0</v>
      </c>
      <c r="M501" s="205" t="s">
        <v>1914</v>
      </c>
      <c r="N501" s="188">
        <f t="shared" si="137"/>
        <v>6</v>
      </c>
      <c r="O501" s="311"/>
      <c r="P501" s="312"/>
      <c r="Q501" s="296"/>
      <c r="R501" s="310" t="s">
        <v>1917</v>
      </c>
      <c r="S501" s="59" t="s">
        <v>218</v>
      </c>
      <c r="T501" s="59" t="s">
        <v>218</v>
      </c>
      <c r="U501" s="134" t="s">
        <v>218</v>
      </c>
      <c r="V501" s="24"/>
      <c r="W501" s="24"/>
      <c r="X501" s="24"/>
      <c r="Y501" s="24"/>
      <c r="Z501" s="24"/>
      <c r="AA501" s="24"/>
    </row>
    <row r="502" s="22" customFormat="1" ht="38.25" outlineLevel="1" spans="1:27">
      <c r="A502" s="28"/>
      <c r="B502" s="28"/>
      <c r="C502" s="313" t="s">
        <v>1919</v>
      </c>
      <c r="D502" s="218" t="s">
        <v>1920</v>
      </c>
      <c r="E502" s="75">
        <f t="shared" si="144"/>
        <v>16</v>
      </c>
      <c r="F502" s="64">
        <f t="shared" si="145"/>
        <v>120</v>
      </c>
      <c r="G502" s="215">
        <v>8</v>
      </c>
      <c r="H502" s="215">
        <v>1</v>
      </c>
      <c r="I502" s="215">
        <v>0</v>
      </c>
      <c r="J502" s="215">
        <v>0</v>
      </c>
      <c r="K502" s="168">
        <f t="shared" si="140"/>
        <v>255</v>
      </c>
      <c r="L502" s="215">
        <v>0</v>
      </c>
      <c r="M502" s="217" t="s">
        <v>602</v>
      </c>
      <c r="N502" s="188">
        <f t="shared" si="137"/>
        <v>3</v>
      </c>
      <c r="O502" s="314"/>
      <c r="P502" s="217"/>
      <c r="Q502" s="315"/>
      <c r="R502" s="313" t="s">
        <v>1919</v>
      </c>
      <c r="S502" s="167" t="s">
        <v>218</v>
      </c>
      <c r="T502" s="167" t="s">
        <v>218</v>
      </c>
      <c r="U502" s="316" t="s">
        <v>218</v>
      </c>
      <c r="V502" s="28"/>
      <c r="W502" s="28"/>
      <c r="X502" s="28"/>
      <c r="Y502" s="28"/>
      <c r="Z502" s="28"/>
      <c r="AA502" s="28"/>
    </row>
    <row r="503" s="28" customFormat="1" ht="38.25" outlineLevel="1" spans="1:27">
      <c r="C503" s="313" t="s">
        <v>1921</v>
      </c>
      <c r="D503" s="212" t="s">
        <v>1922</v>
      </c>
      <c r="E503" s="75">
        <f t="shared" si="144"/>
        <v>17</v>
      </c>
      <c r="F503" s="64">
        <f t="shared" si="145"/>
        <v>128</v>
      </c>
      <c r="G503" s="215">
        <v>2</v>
      </c>
      <c r="H503" s="215">
        <v>1</v>
      </c>
      <c r="I503" s="215">
        <v>0</v>
      </c>
      <c r="J503" s="215">
        <v>0</v>
      </c>
      <c r="K503" s="168">
        <f t="shared" ref="K503:K504" si="146">(POWER(2,G503)-1)*H503+I503</f>
        <v>3</v>
      </c>
      <c r="L503" s="215">
        <v>0</v>
      </c>
      <c r="M503" s="217" t="s">
        <v>602</v>
      </c>
      <c r="N503" s="188">
        <f t="shared" si="137"/>
        <v>1</v>
      </c>
      <c r="O503" s="314" t="s">
        <v>1923</v>
      </c>
      <c r="P503" s="217"/>
      <c r="Q503" s="317"/>
      <c r="R503" s="313" t="s">
        <v>1921</v>
      </c>
      <c r="S503" s="167" t="s">
        <v>218</v>
      </c>
      <c r="T503" s="167" t="s">
        <v>218</v>
      </c>
      <c r="U503" s="167" t="s">
        <v>218</v>
      </c>
    </row>
    <row r="504" s="24" customFormat="1" ht="38.25" outlineLevel="1" spans="1:27">
      <c r="C504" s="310" t="s">
        <v>1924</v>
      </c>
      <c r="D504" s="202" t="s">
        <v>1925</v>
      </c>
      <c r="E504" s="75">
        <f t="shared" si="144"/>
        <v>17</v>
      </c>
      <c r="F504" s="64">
        <f t="shared" si="145"/>
        <v>130</v>
      </c>
      <c r="G504" s="204">
        <v>2</v>
      </c>
      <c r="H504" s="204">
        <v>1</v>
      </c>
      <c r="I504" s="204">
        <v>0</v>
      </c>
      <c r="J504" s="204">
        <v>0</v>
      </c>
      <c r="K504" s="204">
        <f t="shared" si="146"/>
        <v>3</v>
      </c>
      <c r="L504" s="204">
        <v>0</v>
      </c>
      <c r="M504" s="205" t="s">
        <v>602</v>
      </c>
      <c r="N504" s="222">
        <f t="shared" si="137"/>
        <v>1</v>
      </c>
      <c r="O504" s="311" t="s">
        <v>1923</v>
      </c>
      <c r="P504" s="205"/>
      <c r="Q504" s="318"/>
      <c r="R504" s="310" t="s">
        <v>1924</v>
      </c>
      <c r="S504" s="207" t="s">
        <v>218</v>
      </c>
      <c r="T504" s="207" t="s">
        <v>218</v>
      </c>
      <c r="U504" s="207" t="s">
        <v>218</v>
      </c>
    </row>
    <row r="505" s="24" customFormat="1" ht="38.25" outlineLevel="1" spans="1:27">
      <c r="C505" s="310" t="s">
        <v>1926</v>
      </c>
      <c r="D505" s="209" t="s">
        <v>1927</v>
      </c>
      <c r="E505" s="75">
        <f t="shared" si="144"/>
        <v>17</v>
      </c>
      <c r="F505" s="64">
        <f t="shared" si="145"/>
        <v>132</v>
      </c>
      <c r="G505" s="204">
        <v>1</v>
      </c>
      <c r="H505" s="204">
        <v>1</v>
      </c>
      <c r="I505" s="204">
        <v>0</v>
      </c>
      <c r="J505" s="204">
        <v>0</v>
      </c>
      <c r="K505" s="204">
        <f t="shared" si="140"/>
        <v>1</v>
      </c>
      <c r="L505" s="204">
        <v>0</v>
      </c>
      <c r="M505" s="205" t="s">
        <v>482</v>
      </c>
      <c r="N505" s="222">
        <f t="shared" si="137"/>
        <v>1</v>
      </c>
      <c r="O505" s="311" t="s">
        <v>1928</v>
      </c>
      <c r="P505" s="205"/>
      <c r="Q505" s="318"/>
      <c r="R505" s="310" t="s">
        <v>1926</v>
      </c>
      <c r="S505" s="207" t="s">
        <v>218</v>
      </c>
      <c r="T505" s="207" t="s">
        <v>218</v>
      </c>
      <c r="U505" s="207" t="s">
        <v>218</v>
      </c>
    </row>
    <row r="506" s="24" customFormat="1" ht="25.5" outlineLevel="1" spans="1:27">
      <c r="C506" s="310" t="s">
        <v>1929</v>
      </c>
      <c r="D506" s="209" t="s">
        <v>1930</v>
      </c>
      <c r="E506" s="75">
        <f t="shared" si="144"/>
        <v>17</v>
      </c>
      <c r="F506" s="64">
        <f t="shared" si="145"/>
        <v>133</v>
      </c>
      <c r="G506" s="204">
        <v>1</v>
      </c>
      <c r="H506" s="204">
        <v>1</v>
      </c>
      <c r="I506" s="204">
        <v>0</v>
      </c>
      <c r="J506" s="204">
        <v>0</v>
      </c>
      <c r="K506" s="204">
        <f t="shared" si="140"/>
        <v>1</v>
      </c>
      <c r="L506" s="204">
        <v>0</v>
      </c>
      <c r="M506" s="205" t="s">
        <v>482</v>
      </c>
      <c r="N506" s="222">
        <f t="shared" si="137"/>
        <v>1</v>
      </c>
      <c r="O506" s="311"/>
      <c r="P506" s="205"/>
      <c r="Q506" s="318"/>
      <c r="R506" s="310" t="s">
        <v>1929</v>
      </c>
      <c r="S506" s="207" t="s">
        <v>218</v>
      </c>
      <c r="T506" s="207" t="s">
        <v>218</v>
      </c>
      <c r="U506" s="207" t="s">
        <v>218</v>
      </c>
    </row>
    <row r="507" s="27" customFormat="1" ht="25.5" outlineLevel="1" spans="1:27">
      <c r="C507" s="297" t="s">
        <v>451</v>
      </c>
      <c r="D507" s="274" t="s">
        <v>452</v>
      </c>
      <c r="E507" s="84">
        <f t="shared" si="144"/>
        <v>17</v>
      </c>
      <c r="F507" s="81">
        <f t="shared" si="145"/>
        <v>134</v>
      </c>
      <c r="G507" s="277">
        <v>2</v>
      </c>
      <c r="H507" s="277">
        <v>1</v>
      </c>
      <c r="I507" s="277">
        <v>0</v>
      </c>
      <c r="J507" s="277">
        <v>0</v>
      </c>
      <c r="K507" s="82">
        <f t="shared" ref="K507:K513" si="147">(POWER(2,G507)-1)*H507+I507</f>
        <v>3</v>
      </c>
      <c r="L507" s="277">
        <v>0</v>
      </c>
      <c r="M507" s="319" t="s">
        <v>218</v>
      </c>
      <c r="N507" s="84">
        <v>0</v>
      </c>
      <c r="O507" s="299"/>
      <c r="P507" s="298"/>
      <c r="Q507" s="300"/>
      <c r="R507" s="297" t="s">
        <v>218</v>
      </c>
      <c r="S507" s="85" t="s">
        <v>218</v>
      </c>
      <c r="T507" s="85" t="s">
        <v>218</v>
      </c>
      <c r="U507" s="85" t="s">
        <v>218</v>
      </c>
    </row>
    <row r="508" s="28" customFormat="1" ht="25.5" outlineLevel="1" spans="1:27">
      <c r="C508" s="313" t="s">
        <v>1931</v>
      </c>
      <c r="D508" s="218" t="s">
        <v>1932</v>
      </c>
      <c r="E508" s="75" t="str">
        <f t="shared" si="144"/>
        <v>18-21</v>
      </c>
      <c r="F508" s="64">
        <f t="shared" si="145"/>
        <v>136</v>
      </c>
      <c r="G508" s="215">
        <v>32</v>
      </c>
      <c r="H508" s="215">
        <v>0.001</v>
      </c>
      <c r="I508" s="215">
        <v>-2000</v>
      </c>
      <c r="J508" s="215">
        <v>-2000</v>
      </c>
      <c r="K508" s="215">
        <f t="shared" si="147"/>
        <v>4292967.295</v>
      </c>
      <c r="L508" s="215">
        <v>0</v>
      </c>
      <c r="M508" s="217" t="s">
        <v>416</v>
      </c>
      <c r="N508" s="320">
        <f>LEN(K508)</f>
        <v>11</v>
      </c>
      <c r="O508" s="314"/>
      <c r="P508" s="217"/>
      <c r="Q508" s="317"/>
      <c r="R508" s="313" t="s">
        <v>1931</v>
      </c>
      <c r="S508" s="220" t="s">
        <v>218</v>
      </c>
      <c r="T508" s="220" t="s">
        <v>218</v>
      </c>
      <c r="U508" s="220" t="s">
        <v>218</v>
      </c>
    </row>
    <row r="509" s="24" customFormat="1" ht="38.25" outlineLevel="1" spans="1:27">
      <c r="C509" s="310" t="s">
        <v>1933</v>
      </c>
      <c r="D509" s="209" t="s">
        <v>1934</v>
      </c>
      <c r="E509" s="75">
        <f t="shared" si="144"/>
        <v>22</v>
      </c>
      <c r="F509" s="64">
        <f t="shared" si="145"/>
        <v>168</v>
      </c>
      <c r="G509" s="204">
        <v>2</v>
      </c>
      <c r="H509" s="204">
        <v>1</v>
      </c>
      <c r="I509" s="204">
        <v>0</v>
      </c>
      <c r="J509" s="204">
        <v>0</v>
      </c>
      <c r="K509" s="204">
        <f t="shared" si="147"/>
        <v>3</v>
      </c>
      <c r="L509" s="204">
        <v>0</v>
      </c>
      <c r="M509" s="217" t="s">
        <v>602</v>
      </c>
      <c r="N509" s="222">
        <f t="shared" ref="N509:N512" si="148">LEN(K509)</f>
        <v>1</v>
      </c>
      <c r="O509" s="311" t="s">
        <v>1923</v>
      </c>
      <c r="P509" s="205"/>
      <c r="Q509" s="318"/>
      <c r="R509" s="310" t="s">
        <v>1933</v>
      </c>
      <c r="S509" s="207" t="s">
        <v>218</v>
      </c>
      <c r="T509" s="207" t="s">
        <v>218</v>
      </c>
      <c r="U509" s="207" t="s">
        <v>218</v>
      </c>
    </row>
    <row r="510" s="28" customFormat="1" ht="38.25" outlineLevel="1" spans="1:27">
      <c r="C510" s="313" t="s">
        <v>1935</v>
      </c>
      <c r="D510" s="218" t="s">
        <v>1936</v>
      </c>
      <c r="E510" s="75">
        <f t="shared" si="144"/>
        <v>22</v>
      </c>
      <c r="F510" s="64">
        <f t="shared" si="145"/>
        <v>170</v>
      </c>
      <c r="G510" s="215">
        <v>2</v>
      </c>
      <c r="H510" s="215">
        <v>1</v>
      </c>
      <c r="I510" s="215">
        <v>0</v>
      </c>
      <c r="J510" s="215">
        <v>0</v>
      </c>
      <c r="K510" s="215">
        <f t="shared" si="147"/>
        <v>3</v>
      </c>
      <c r="L510" s="215">
        <v>0</v>
      </c>
      <c r="M510" s="217" t="s">
        <v>602</v>
      </c>
      <c r="N510" s="320">
        <f t="shared" si="148"/>
        <v>1</v>
      </c>
      <c r="O510" s="314" t="s">
        <v>1923</v>
      </c>
      <c r="P510" s="217"/>
      <c r="Q510" s="317"/>
      <c r="R510" s="313" t="s">
        <v>1935</v>
      </c>
      <c r="S510" s="220" t="s">
        <v>218</v>
      </c>
      <c r="T510" s="220" t="s">
        <v>218</v>
      </c>
      <c r="U510" s="220" t="s">
        <v>218</v>
      </c>
    </row>
    <row r="511" s="24" customFormat="1" ht="38.25" outlineLevel="1" spans="1:27">
      <c r="C511" s="310" t="s">
        <v>1937</v>
      </c>
      <c r="D511" s="202" t="s">
        <v>1938</v>
      </c>
      <c r="E511" s="75">
        <f t="shared" si="144"/>
        <v>22</v>
      </c>
      <c r="F511" s="64">
        <f t="shared" si="145"/>
        <v>172</v>
      </c>
      <c r="G511" s="204">
        <v>2</v>
      </c>
      <c r="H511" s="204">
        <v>1</v>
      </c>
      <c r="I511" s="204">
        <v>0</v>
      </c>
      <c r="J511" s="204">
        <v>0</v>
      </c>
      <c r="K511" s="65">
        <f t="shared" ref="K511" si="149">(POWER(2,G511)-1)*H511+I511</f>
        <v>3</v>
      </c>
      <c r="L511" s="204">
        <v>0</v>
      </c>
      <c r="M511" s="217" t="s">
        <v>602</v>
      </c>
      <c r="N511" s="75">
        <f t="shared" si="148"/>
        <v>1</v>
      </c>
      <c r="O511" s="311" t="s">
        <v>1923</v>
      </c>
      <c r="P511" s="205"/>
      <c r="Q511" s="318"/>
      <c r="R511" s="310" t="s">
        <v>1937</v>
      </c>
      <c r="S511" s="59" t="s">
        <v>218</v>
      </c>
      <c r="T511" s="59" t="s">
        <v>218</v>
      </c>
      <c r="U511" s="59" t="s">
        <v>218</v>
      </c>
    </row>
    <row r="512" s="28" customFormat="1" ht="38.25" outlineLevel="1" spans="1:27">
      <c r="C512" s="313" t="s">
        <v>1939</v>
      </c>
      <c r="D512" s="218" t="s">
        <v>1940</v>
      </c>
      <c r="E512" s="75">
        <f t="shared" si="144"/>
        <v>22</v>
      </c>
      <c r="F512" s="64">
        <f t="shared" si="145"/>
        <v>174</v>
      </c>
      <c r="G512" s="215">
        <v>2</v>
      </c>
      <c r="H512" s="215">
        <v>1</v>
      </c>
      <c r="I512" s="215">
        <v>0</v>
      </c>
      <c r="J512" s="215">
        <v>0</v>
      </c>
      <c r="K512" s="215">
        <f t="shared" si="147"/>
        <v>3</v>
      </c>
      <c r="L512" s="215">
        <v>0</v>
      </c>
      <c r="M512" s="217" t="s">
        <v>602</v>
      </c>
      <c r="N512" s="320">
        <f t="shared" si="148"/>
        <v>1</v>
      </c>
      <c r="O512" s="314" t="s">
        <v>1923</v>
      </c>
      <c r="P512" s="217"/>
      <c r="Q512" s="317"/>
      <c r="R512" s="313" t="s">
        <v>1939</v>
      </c>
      <c r="S512" s="167" t="s">
        <v>218</v>
      </c>
      <c r="T512" s="167" t="s">
        <v>218</v>
      </c>
      <c r="U512" s="167" t="s">
        <v>218</v>
      </c>
    </row>
    <row r="513" s="24" customFormat="1" ht="140.25" outlineLevel="1" spans="1:27">
      <c r="C513" s="310" t="s">
        <v>1941</v>
      </c>
      <c r="D513" s="209" t="s">
        <v>1942</v>
      </c>
      <c r="E513" s="75" t="str">
        <f t="shared" ref="E513" si="150">IF(INT((F513+G513-1)/8)+1=INT(F513/8)+1,INT(F513/8)+1,INT(F513/8)+1&amp;"-"&amp;INT((F513+G513-1)/8)+1)</f>
        <v>23-26</v>
      </c>
      <c r="F513" s="64">
        <f t="shared" ref="F513" si="151">F512+G512</f>
        <v>176</v>
      </c>
      <c r="G513" s="204">
        <v>32</v>
      </c>
      <c r="H513" s="204">
        <v>1</v>
      </c>
      <c r="I513" s="204">
        <v>0</v>
      </c>
      <c r="J513" s="204">
        <v>0</v>
      </c>
      <c r="K513" s="215">
        <f t="shared" si="147"/>
        <v>4294967295</v>
      </c>
      <c r="L513" s="204">
        <v>0</v>
      </c>
      <c r="M513" s="205" t="s">
        <v>602</v>
      </c>
      <c r="N513" s="320">
        <f t="shared" ref="N513" si="152">LEN(K513)</f>
        <v>10</v>
      </c>
      <c r="O513" s="311" t="s">
        <v>1943</v>
      </c>
      <c r="P513" s="205"/>
      <c r="Q513" s="318"/>
      <c r="R513" s="310" t="s">
        <v>1941</v>
      </c>
      <c r="S513" s="207" t="s">
        <v>218</v>
      </c>
      <c r="T513" s="207" t="s">
        <v>218</v>
      </c>
      <c r="U513" s="207" t="s">
        <v>218</v>
      </c>
    </row>
    <row r="514" s="26" customFormat="1" spans="1:27">
      <c r="A514" s="235" t="s">
        <v>332</v>
      </c>
      <c r="B514" s="321" t="str">
        <f>VLOOKUP(A514,'Message ID'!A:M,2,FALSE)</f>
        <v>单芯计算的SOC以及各簇SOC结果</v>
      </c>
      <c r="C514" s="235"/>
      <c r="D514" s="235"/>
      <c r="E514" s="236">
        <v>120</v>
      </c>
      <c r="F514" s="237"/>
      <c r="G514" s="238"/>
      <c r="H514" s="238"/>
      <c r="I514" s="238"/>
      <c r="J514" s="238"/>
      <c r="K514" s="238"/>
      <c r="L514" s="238"/>
      <c r="M514" s="238"/>
      <c r="N514" s="236">
        <f>SUM(N515:N519)</f>
        <v>344</v>
      </c>
      <c r="O514" s="240"/>
      <c r="P514" s="238"/>
      <c r="Q514" s="235"/>
      <c r="R514" s="235"/>
      <c r="S514" s="241"/>
      <c r="T514" s="241"/>
      <c r="U514" s="241"/>
      <c r="V514" s="242"/>
      <c r="W514" s="242"/>
      <c r="X514" s="242"/>
      <c r="Y514" s="242"/>
      <c r="Z514" s="242"/>
      <c r="AA514" s="242"/>
    </row>
    <row r="515" s="19" customFormat="1" ht="51" outlineLevel="1" spans="1:27">
      <c r="A515" s="301"/>
      <c r="B515" s="301"/>
      <c r="C515" s="302" t="s">
        <v>1944</v>
      </c>
      <c r="D515" s="148" t="s">
        <v>1945</v>
      </c>
      <c r="E515" s="322" t="s">
        <v>1946</v>
      </c>
      <c r="F515" s="247">
        <v>0</v>
      </c>
      <c r="G515" s="248">
        <v>16</v>
      </c>
      <c r="H515" s="248">
        <v>0.01</v>
      </c>
      <c r="I515" s="248">
        <v>0</v>
      </c>
      <c r="J515" s="248">
        <v>0</v>
      </c>
      <c r="K515" s="249">
        <v>100.01</v>
      </c>
      <c r="L515" s="248">
        <v>0</v>
      </c>
      <c r="M515" s="250" t="s">
        <v>506</v>
      </c>
      <c r="N515" s="303">
        <f>LEN(K515)*16</f>
        <v>96</v>
      </c>
      <c r="O515" s="304" t="s">
        <v>1947</v>
      </c>
      <c r="P515" s="250"/>
      <c r="Q515" s="302" t="s">
        <v>1948</v>
      </c>
      <c r="R515" s="302" t="s">
        <v>1949</v>
      </c>
      <c r="S515" s="253" t="s">
        <v>218</v>
      </c>
      <c r="T515" s="253" t="s">
        <v>218</v>
      </c>
      <c r="U515" s="253" t="s">
        <v>218</v>
      </c>
      <c r="V515" s="307"/>
      <c r="W515" s="307"/>
      <c r="X515" s="307"/>
      <c r="Y515" s="307"/>
      <c r="Z515" s="307"/>
      <c r="AA515" s="307"/>
    </row>
    <row r="516" s="19" customFormat="1" ht="63.75" outlineLevel="1" spans="1:27">
      <c r="A516" s="107"/>
      <c r="B516" s="107"/>
      <c r="C516" s="69" t="s">
        <v>1950</v>
      </c>
      <c r="D516" s="74" t="s">
        <v>1951</v>
      </c>
      <c r="E516" s="84" t="s">
        <v>1952</v>
      </c>
      <c r="F516" s="81">
        <v>256</v>
      </c>
      <c r="G516" s="65">
        <v>8</v>
      </c>
      <c r="H516" s="65">
        <v>1</v>
      </c>
      <c r="I516" s="65">
        <v>0</v>
      </c>
      <c r="J516" s="65">
        <v>0</v>
      </c>
      <c r="K516" s="82">
        <v>10</v>
      </c>
      <c r="L516" s="65">
        <v>0</v>
      </c>
      <c r="M516" s="66" t="s">
        <v>602</v>
      </c>
      <c r="N516" s="75">
        <f>LEN(K516)*16</f>
        <v>32</v>
      </c>
      <c r="O516" s="76" t="s">
        <v>1947</v>
      </c>
      <c r="P516" s="66"/>
      <c r="Q516" s="69" t="s">
        <v>1953</v>
      </c>
      <c r="R516" s="69" t="s">
        <v>1954</v>
      </c>
      <c r="S516" s="59" t="s">
        <v>218</v>
      </c>
      <c r="T516" s="59" t="s">
        <v>218</v>
      </c>
      <c r="U516" s="59" t="s">
        <v>218</v>
      </c>
      <c r="V516" s="77"/>
      <c r="W516" s="77"/>
      <c r="X516" s="77"/>
      <c r="Y516" s="77"/>
      <c r="Z516" s="77"/>
      <c r="AA516" s="77"/>
    </row>
    <row r="517" s="19" customFormat="1" ht="25.5" outlineLevel="1" spans="1:27">
      <c r="A517" s="107"/>
      <c r="B517" s="107"/>
      <c r="C517" s="69" t="s">
        <v>1955</v>
      </c>
      <c r="D517" s="74" t="s">
        <v>1956</v>
      </c>
      <c r="E517" s="84" t="s">
        <v>1957</v>
      </c>
      <c r="F517" s="81">
        <v>384</v>
      </c>
      <c r="G517" s="65">
        <v>16</v>
      </c>
      <c r="H517" s="65">
        <v>0.01</v>
      </c>
      <c r="I517" s="65">
        <v>0</v>
      </c>
      <c r="J517" s="65">
        <v>0</v>
      </c>
      <c r="K517" s="82">
        <v>100.01</v>
      </c>
      <c r="L517" s="65">
        <v>0</v>
      </c>
      <c r="M517" s="66" t="s">
        <v>506</v>
      </c>
      <c r="N517" s="75">
        <f>LEN(K517)*12</f>
        <v>72</v>
      </c>
      <c r="O517" s="76"/>
      <c r="P517" s="66"/>
      <c r="Q517" s="296"/>
      <c r="R517" s="69" t="s">
        <v>1958</v>
      </c>
      <c r="S517" s="59" t="s">
        <v>218</v>
      </c>
      <c r="T517" s="59" t="s">
        <v>218</v>
      </c>
      <c r="U517" s="59" t="s">
        <v>218</v>
      </c>
      <c r="V517" s="77"/>
      <c r="W517" s="77"/>
      <c r="X517" s="77"/>
      <c r="Y517" s="77"/>
      <c r="Z517" s="77"/>
      <c r="AA517" s="77"/>
    </row>
    <row r="518" s="19" customFormat="1" ht="25.5" outlineLevel="1" spans="1:27">
      <c r="A518" s="107"/>
      <c r="B518" s="107"/>
      <c r="C518" s="69" t="s">
        <v>1959</v>
      </c>
      <c r="D518" s="74" t="s">
        <v>1960</v>
      </c>
      <c r="E518" s="84" t="s">
        <v>1961</v>
      </c>
      <c r="F518" s="81">
        <v>576</v>
      </c>
      <c r="G518" s="65">
        <v>16</v>
      </c>
      <c r="H518" s="65">
        <v>0.01</v>
      </c>
      <c r="I518" s="65">
        <v>0</v>
      </c>
      <c r="J518" s="65">
        <v>0</v>
      </c>
      <c r="K518" s="82">
        <v>100.01</v>
      </c>
      <c r="L518" s="65">
        <v>0</v>
      </c>
      <c r="M518" s="66" t="s">
        <v>506</v>
      </c>
      <c r="N518" s="75">
        <f>LEN(K518)*12</f>
        <v>72</v>
      </c>
      <c r="O518" s="76"/>
      <c r="P518" s="66"/>
      <c r="Q518" s="296"/>
      <c r="R518" s="69" t="s">
        <v>1962</v>
      </c>
      <c r="S518" s="59" t="s">
        <v>218</v>
      </c>
      <c r="T518" s="59" t="s">
        <v>218</v>
      </c>
      <c r="U518" s="59" t="s">
        <v>218</v>
      </c>
      <c r="V518" s="77"/>
      <c r="W518" s="77"/>
      <c r="X518" s="77"/>
      <c r="Y518" s="77"/>
      <c r="Z518" s="77"/>
      <c r="AA518" s="77"/>
    </row>
    <row r="519" s="19" customFormat="1" ht="25.5" outlineLevel="1" spans="1:27">
      <c r="A519" s="107"/>
      <c r="B519" s="107"/>
      <c r="C519" s="69" t="s">
        <v>1963</v>
      </c>
      <c r="D519" s="74" t="s">
        <v>1964</v>
      </c>
      <c r="E519" s="84" t="s">
        <v>1965</v>
      </c>
      <c r="F519" s="81">
        <v>768</v>
      </c>
      <c r="G519" s="65">
        <v>16</v>
      </c>
      <c r="H519" s="65">
        <v>0.01</v>
      </c>
      <c r="I519" s="65">
        <v>0</v>
      </c>
      <c r="J519" s="65">
        <v>0</v>
      </c>
      <c r="K519" s="82">
        <v>100.01</v>
      </c>
      <c r="L519" s="65">
        <v>0</v>
      </c>
      <c r="M519" s="66" t="s">
        <v>506</v>
      </c>
      <c r="N519" s="75">
        <f>LEN(K519)*12</f>
        <v>72</v>
      </c>
      <c r="O519" s="76"/>
      <c r="P519" s="66"/>
      <c r="Q519" s="296"/>
      <c r="R519" s="69" t="s">
        <v>1966</v>
      </c>
      <c r="S519" s="59" t="s">
        <v>218</v>
      </c>
      <c r="T519" s="59" t="s">
        <v>218</v>
      </c>
      <c r="U519" s="59" t="s">
        <v>218</v>
      </c>
      <c r="V519" s="77"/>
      <c r="W519" s="77"/>
      <c r="X519" s="77"/>
      <c r="Y519" s="77"/>
      <c r="Z519" s="77"/>
      <c r="AA519" s="77"/>
    </row>
    <row r="520" spans="1:27">
      <c r="A520" s="41" t="s">
        <v>335</v>
      </c>
      <c r="B520" s="295" t="str">
        <f>VLOOKUP(A520,'Message ID'!A:M,2,FALSE)</f>
        <v>单芯计算的SOH以及各簇SOH结果</v>
      </c>
      <c r="C520" s="41"/>
      <c r="D520" s="41"/>
      <c r="E520" s="43">
        <v>168</v>
      </c>
      <c r="F520" s="44"/>
      <c r="G520" s="45"/>
      <c r="H520" s="45"/>
      <c r="I520" s="45"/>
      <c r="J520" s="45"/>
      <c r="K520" s="45"/>
      <c r="L520" s="45"/>
      <c r="M520" s="45"/>
      <c r="N520" s="43">
        <f>SUM(N521:N526)</f>
        <v>504</v>
      </c>
      <c r="O520" s="46"/>
      <c r="P520" s="45"/>
      <c r="Q520" s="41"/>
      <c r="R520" s="41"/>
      <c r="S520" s="47"/>
      <c r="T520" s="47"/>
      <c r="U520" s="47"/>
      <c r="V520" s="48"/>
      <c r="W520" s="48"/>
      <c r="X520" s="48"/>
      <c r="Y520" s="48"/>
      <c r="Z520" s="48"/>
      <c r="AA520" s="48"/>
    </row>
    <row r="521" s="19" customFormat="1" ht="51" outlineLevel="1" spans="1:27">
      <c r="A521" s="107"/>
      <c r="B521" s="107"/>
      <c r="C521" s="69" t="s">
        <v>1967</v>
      </c>
      <c r="D521" s="74" t="s">
        <v>1968</v>
      </c>
      <c r="E521" s="84" t="s">
        <v>1946</v>
      </c>
      <c r="F521" s="64">
        <v>0</v>
      </c>
      <c r="G521" s="65">
        <v>16</v>
      </c>
      <c r="H521" s="65">
        <v>0.1</v>
      </c>
      <c r="I521" s="65">
        <v>0</v>
      </c>
      <c r="J521" s="65">
        <v>0</v>
      </c>
      <c r="K521" s="82">
        <v>1500.1</v>
      </c>
      <c r="L521" s="65">
        <v>0</v>
      </c>
      <c r="M521" s="66" t="s">
        <v>652</v>
      </c>
      <c r="N521" s="75">
        <f>LEN(K521)*16</f>
        <v>96</v>
      </c>
      <c r="O521" s="76" t="s">
        <v>1947</v>
      </c>
      <c r="P521" s="66"/>
      <c r="Q521" s="69" t="s">
        <v>1969</v>
      </c>
      <c r="R521" s="69" t="s">
        <v>1970</v>
      </c>
      <c r="S521" s="59" t="s">
        <v>218</v>
      </c>
      <c r="T521" s="59" t="s">
        <v>218</v>
      </c>
      <c r="U521" s="59" t="s">
        <v>218</v>
      </c>
      <c r="V521" s="77"/>
      <c r="W521" s="77"/>
      <c r="X521" s="77"/>
      <c r="Y521" s="77"/>
      <c r="Z521" s="77"/>
      <c r="AA521" s="77"/>
    </row>
    <row r="522" s="19" customFormat="1" ht="51" outlineLevel="1" spans="1:27">
      <c r="A522" s="107"/>
      <c r="B522" s="107"/>
      <c r="C522" s="69" t="s">
        <v>1971</v>
      </c>
      <c r="D522" s="74" t="s">
        <v>1972</v>
      </c>
      <c r="E522" s="84" t="s">
        <v>1973</v>
      </c>
      <c r="F522" s="81">
        <v>256</v>
      </c>
      <c r="G522" s="65">
        <v>16</v>
      </c>
      <c r="H522" s="65">
        <v>0.1</v>
      </c>
      <c r="I522" s="65">
        <v>0</v>
      </c>
      <c r="J522" s="65">
        <v>0</v>
      </c>
      <c r="K522" s="82">
        <v>1500.1</v>
      </c>
      <c r="L522" s="65">
        <v>0</v>
      </c>
      <c r="M522" s="66" t="s">
        <v>652</v>
      </c>
      <c r="N522" s="75">
        <f>LEN(K522)*16</f>
        <v>96</v>
      </c>
      <c r="O522" s="76" t="s">
        <v>1947</v>
      </c>
      <c r="P522" s="66"/>
      <c r="Q522" s="69" t="s">
        <v>1974</v>
      </c>
      <c r="R522" s="69" t="s">
        <v>1975</v>
      </c>
      <c r="S522" s="59" t="s">
        <v>218</v>
      </c>
      <c r="T522" s="59" t="s">
        <v>218</v>
      </c>
      <c r="U522" s="59" t="s">
        <v>218</v>
      </c>
      <c r="V522" s="77"/>
      <c r="W522" s="77"/>
      <c r="X522" s="77"/>
      <c r="Y522" s="77"/>
      <c r="Z522" s="77"/>
      <c r="AA522" s="77"/>
    </row>
    <row r="523" s="19" customFormat="1" ht="51" outlineLevel="1" spans="1:27">
      <c r="A523" s="107"/>
      <c r="B523" s="107"/>
      <c r="C523" s="69" t="s">
        <v>1976</v>
      </c>
      <c r="D523" s="74" t="s">
        <v>1977</v>
      </c>
      <c r="E523" s="84" t="s">
        <v>1978</v>
      </c>
      <c r="F523" s="81">
        <v>512</v>
      </c>
      <c r="G523" s="65">
        <v>16</v>
      </c>
      <c r="H523" s="65">
        <v>0.1</v>
      </c>
      <c r="I523" s="65">
        <v>0</v>
      </c>
      <c r="J523" s="65">
        <v>0</v>
      </c>
      <c r="K523" s="82">
        <v>1500.1</v>
      </c>
      <c r="L523" s="65">
        <v>0</v>
      </c>
      <c r="M523" s="66" t="s">
        <v>652</v>
      </c>
      <c r="N523" s="75">
        <f>LEN(K523)*16</f>
        <v>96</v>
      </c>
      <c r="O523" s="76" t="s">
        <v>1947</v>
      </c>
      <c r="P523" s="66"/>
      <c r="Q523" s="69" t="s">
        <v>1979</v>
      </c>
      <c r="R523" s="69" t="s">
        <v>1980</v>
      </c>
      <c r="S523" s="59" t="s">
        <v>218</v>
      </c>
      <c r="T523" s="59" t="s">
        <v>218</v>
      </c>
      <c r="U523" s="59" t="s">
        <v>218</v>
      </c>
      <c r="V523" s="77"/>
      <c r="W523" s="77"/>
      <c r="X523" s="77"/>
      <c r="Y523" s="77"/>
      <c r="Z523" s="77"/>
      <c r="AA523" s="77"/>
    </row>
    <row r="524" s="19" customFormat="1" ht="25.5" outlineLevel="1" spans="1:27">
      <c r="A524" s="107"/>
      <c r="B524" s="107"/>
      <c r="C524" s="69" t="s">
        <v>1981</v>
      </c>
      <c r="D524" s="74" t="s">
        <v>1982</v>
      </c>
      <c r="E524" s="84" t="s">
        <v>1965</v>
      </c>
      <c r="F524" s="81">
        <v>768</v>
      </c>
      <c r="G524" s="65">
        <v>16</v>
      </c>
      <c r="H524" s="65">
        <v>0.1</v>
      </c>
      <c r="I524" s="65">
        <v>0</v>
      </c>
      <c r="J524" s="65">
        <v>0</v>
      </c>
      <c r="K524" s="82">
        <v>1500.1</v>
      </c>
      <c r="L524" s="65">
        <v>0</v>
      </c>
      <c r="M524" s="66" t="s">
        <v>652</v>
      </c>
      <c r="N524" s="75">
        <f>LEN(K524)*12</f>
        <v>72</v>
      </c>
      <c r="O524" s="76"/>
      <c r="P524" s="66"/>
      <c r="Q524" s="296"/>
      <c r="R524" s="69" t="s">
        <v>1983</v>
      </c>
      <c r="S524" s="59" t="s">
        <v>218</v>
      </c>
      <c r="T524" s="59" t="s">
        <v>218</v>
      </c>
      <c r="U524" s="59" t="s">
        <v>218</v>
      </c>
      <c r="V524" s="77"/>
      <c r="W524" s="77"/>
      <c r="X524" s="77"/>
      <c r="Y524" s="77"/>
      <c r="Z524" s="77"/>
      <c r="AA524" s="77"/>
    </row>
    <row r="525" s="19" customFormat="1" ht="38.25" outlineLevel="1" spans="1:27">
      <c r="A525" s="107"/>
      <c r="B525" s="107"/>
      <c r="C525" s="69" t="s">
        <v>1984</v>
      </c>
      <c r="D525" s="74" t="s">
        <v>1985</v>
      </c>
      <c r="E525" s="84" t="s">
        <v>1986</v>
      </c>
      <c r="F525" s="81">
        <v>960</v>
      </c>
      <c r="G525" s="65">
        <v>16</v>
      </c>
      <c r="H525" s="65">
        <v>0.1</v>
      </c>
      <c r="I525" s="65">
        <v>0</v>
      </c>
      <c r="J525" s="65">
        <v>0</v>
      </c>
      <c r="K525" s="82">
        <v>1500.1</v>
      </c>
      <c r="L525" s="65">
        <v>0</v>
      </c>
      <c r="M525" s="66" t="s">
        <v>652</v>
      </c>
      <c r="N525" s="75">
        <f>LEN(K525)*12</f>
        <v>72</v>
      </c>
      <c r="O525" s="76"/>
      <c r="P525" s="66"/>
      <c r="Q525" s="296"/>
      <c r="R525" s="69" t="s">
        <v>1987</v>
      </c>
      <c r="S525" s="59" t="s">
        <v>218</v>
      </c>
      <c r="T525" s="59" t="s">
        <v>218</v>
      </c>
      <c r="U525" s="59" t="s">
        <v>218</v>
      </c>
      <c r="V525" s="77"/>
      <c r="W525" s="77"/>
      <c r="X525" s="77"/>
      <c r="Y525" s="77"/>
      <c r="Z525" s="77"/>
      <c r="AA525" s="77"/>
    </row>
    <row r="526" s="19" customFormat="1" ht="38.25" outlineLevel="1" spans="1:27">
      <c r="A526" s="107"/>
      <c r="B526" s="107"/>
      <c r="C526" s="69" t="s">
        <v>1988</v>
      </c>
      <c r="D526" s="74" t="s">
        <v>1989</v>
      </c>
      <c r="E526" s="84" t="s">
        <v>1990</v>
      </c>
      <c r="F526" s="81">
        <v>1152</v>
      </c>
      <c r="G526" s="65">
        <v>16</v>
      </c>
      <c r="H526" s="65">
        <v>0.1</v>
      </c>
      <c r="I526" s="65">
        <v>0</v>
      </c>
      <c r="J526" s="65">
        <v>0</v>
      </c>
      <c r="K526" s="82">
        <v>1500.1</v>
      </c>
      <c r="L526" s="65">
        <v>0</v>
      </c>
      <c r="M526" s="66" t="s">
        <v>652</v>
      </c>
      <c r="N526" s="75">
        <f>LEN(K526)*12</f>
        <v>72</v>
      </c>
      <c r="O526" s="76"/>
      <c r="P526" s="66"/>
      <c r="Q526" s="296"/>
      <c r="R526" s="69" t="s">
        <v>1991</v>
      </c>
      <c r="S526" s="59" t="s">
        <v>218</v>
      </c>
      <c r="T526" s="59" t="s">
        <v>218</v>
      </c>
      <c r="U526" s="59" t="s">
        <v>218</v>
      </c>
      <c r="V526" s="77"/>
      <c r="W526" s="77"/>
      <c r="X526" s="77"/>
      <c r="Y526" s="77"/>
      <c r="Z526" s="77"/>
      <c r="AA526" s="77"/>
    </row>
    <row r="527" spans="1:27">
      <c r="A527" s="41" t="s">
        <v>338</v>
      </c>
      <c r="B527" s="151" t="str">
        <f>VLOOKUP(A527,'Message ID'!A:M,2,FALSE)</f>
        <v>BBMS_A核的故障列表</v>
      </c>
      <c r="C527" s="41"/>
      <c r="D527" s="41"/>
      <c r="E527" s="43">
        <v>25</v>
      </c>
      <c r="F527" s="45"/>
      <c r="G527" s="45"/>
      <c r="H527" s="45"/>
      <c r="I527" s="45"/>
      <c r="J527" s="45"/>
      <c r="K527" s="45"/>
      <c r="L527" s="45"/>
      <c r="M527" s="45"/>
      <c r="N527" s="43">
        <f>N528*200</f>
        <v>200</v>
      </c>
      <c r="O527" s="41"/>
      <c r="P527" s="45"/>
      <c r="Q527" s="41"/>
      <c r="R527" s="41"/>
      <c r="S527" s="47"/>
      <c r="T527" s="47"/>
      <c r="U527" s="47"/>
      <c r="V527" s="48"/>
      <c r="W527" s="48"/>
      <c r="X527" s="48"/>
      <c r="Y527" s="48"/>
      <c r="Z527" s="48"/>
      <c r="AA527" s="48"/>
    </row>
    <row r="528" s="19" customFormat="1" ht="25.5" outlineLevel="1" spans="1:27">
      <c r="A528" s="59"/>
      <c r="B528" s="59"/>
      <c r="C528" s="70" t="s">
        <v>1992</v>
      </c>
      <c r="D528" s="70" t="s">
        <v>1993</v>
      </c>
      <c r="E528" s="152" t="s">
        <v>951</v>
      </c>
      <c r="F528" s="65">
        <v>0</v>
      </c>
      <c r="G528" s="75">
        <v>1</v>
      </c>
      <c r="H528" s="75">
        <v>1</v>
      </c>
      <c r="I528" s="75">
        <v>0</v>
      </c>
      <c r="J528" s="75">
        <v>0</v>
      </c>
      <c r="K528" s="75">
        <f>(POWER(2,G528)-1)*H528+I528</f>
        <v>1</v>
      </c>
      <c r="L528" s="75">
        <v>0</v>
      </c>
      <c r="M528" s="65" t="s">
        <v>218</v>
      </c>
      <c r="N528" s="75">
        <f t="shared" si="137"/>
        <v>1</v>
      </c>
      <c r="O528" s="70" t="s">
        <v>1247</v>
      </c>
      <c r="P528" s="65" t="s">
        <v>942</v>
      </c>
      <c r="Q528" s="77"/>
      <c r="R528" s="70" t="s">
        <v>953</v>
      </c>
      <c r="S528" s="59" t="s">
        <v>218</v>
      </c>
      <c r="T528" s="59" t="s">
        <v>218</v>
      </c>
      <c r="U528" s="59" t="s">
        <v>218</v>
      </c>
      <c r="V528" s="77"/>
      <c r="W528" s="77"/>
      <c r="X528" s="77"/>
      <c r="Y528" s="77"/>
      <c r="Z528" s="77"/>
      <c r="AA528" s="77"/>
    </row>
    <row r="529" spans="1:27">
      <c r="A529" s="41" t="s">
        <v>340</v>
      </c>
      <c r="B529" s="151" t="s">
        <v>1994</v>
      </c>
      <c r="C529" s="41"/>
      <c r="D529" s="41"/>
      <c r="E529" s="43">
        <v>25</v>
      </c>
      <c r="F529" s="45"/>
      <c r="G529" s="45"/>
      <c r="H529" s="45"/>
      <c r="I529" s="45"/>
      <c r="J529" s="45"/>
      <c r="K529" s="45"/>
      <c r="L529" s="45"/>
      <c r="M529" s="45"/>
      <c r="N529" s="43">
        <f>N530*200</f>
        <v>200</v>
      </c>
      <c r="O529" s="41"/>
      <c r="P529" s="45"/>
      <c r="Q529" s="41"/>
      <c r="R529" s="41"/>
      <c r="S529" s="47"/>
      <c r="T529" s="47"/>
      <c r="U529" s="47"/>
      <c r="V529" s="48"/>
      <c r="W529" s="48"/>
      <c r="X529" s="48"/>
      <c r="Y529" s="48"/>
      <c r="Z529" s="48"/>
      <c r="AA529" s="48"/>
    </row>
    <row r="530" s="19" customFormat="1" ht="25.5" outlineLevel="1" spans="1:27">
      <c r="A530" s="59"/>
      <c r="B530" s="59"/>
      <c r="C530" s="70" t="s">
        <v>1995</v>
      </c>
      <c r="D530" s="70" t="s">
        <v>1996</v>
      </c>
      <c r="E530" s="152" t="s">
        <v>951</v>
      </c>
      <c r="F530" s="65">
        <v>0</v>
      </c>
      <c r="G530" s="75">
        <v>1</v>
      </c>
      <c r="H530" s="75">
        <v>1</v>
      </c>
      <c r="I530" s="75">
        <v>0</v>
      </c>
      <c r="J530" s="75">
        <v>0</v>
      </c>
      <c r="K530" s="75">
        <f>(POWER(2,G530)-1)*H530+I530</f>
        <v>1</v>
      </c>
      <c r="L530" s="75">
        <v>0</v>
      </c>
      <c r="M530" s="65" t="s">
        <v>218</v>
      </c>
      <c r="N530" s="75">
        <f t="shared" ref="N530" si="153">LEN(K530)</f>
        <v>1</v>
      </c>
      <c r="O530" s="70"/>
      <c r="P530" s="65"/>
      <c r="Q530" s="77"/>
      <c r="R530" s="70" t="s">
        <v>218</v>
      </c>
      <c r="S530" s="59" t="s">
        <v>1997</v>
      </c>
      <c r="T530" s="59" t="s">
        <v>1997</v>
      </c>
      <c r="U530" s="59" t="s">
        <v>1997</v>
      </c>
      <c r="V530" s="77"/>
      <c r="W530" s="77"/>
      <c r="X530" s="77"/>
      <c r="Y530" s="77"/>
      <c r="Z530" s="77"/>
      <c r="AA530" s="77"/>
    </row>
    <row r="531" spans="1:27">
      <c r="A531" s="323" t="s">
        <v>343</v>
      </c>
      <c r="B531" s="324" t="str">
        <f>VLOOKUP(A531,'Message ID'!A:M,2,FALSE)</f>
        <v>读取-自放电率演变信息</v>
      </c>
      <c r="C531" s="323"/>
      <c r="D531" s="323"/>
      <c r="E531" s="325">
        <v>5</v>
      </c>
      <c r="F531" s="326"/>
      <c r="G531" s="326"/>
      <c r="H531" s="326"/>
      <c r="I531" s="326"/>
      <c r="J531" s="326"/>
      <c r="K531" s="326"/>
      <c r="L531" s="326"/>
      <c r="M531" s="326"/>
      <c r="N531" s="325">
        <f>SUM(N532:N534)</f>
        <v>13</v>
      </c>
      <c r="O531" s="323"/>
      <c r="P531" s="326"/>
      <c r="Q531" s="323"/>
      <c r="R531" s="323"/>
      <c r="S531" s="327"/>
      <c r="T531" s="327"/>
      <c r="U531" s="327"/>
      <c r="V531" s="328"/>
      <c r="W531" s="328"/>
      <c r="X531" s="328"/>
      <c r="Y531" s="328"/>
      <c r="Z531" s="328"/>
      <c r="AA531" s="328"/>
    </row>
    <row r="532" s="19" customFormat="1" ht="38.25" outlineLevel="1" spans="1:27">
      <c r="A532" s="207"/>
      <c r="B532" s="207"/>
      <c r="C532" s="202" t="s">
        <v>1998</v>
      </c>
      <c r="D532" s="329" t="s">
        <v>1999</v>
      </c>
      <c r="E532" s="330">
        <f>IF(INT((F532+G532-1)/8)+1=INT(F532/8)+1,INT(F532/8)+1,INT(F532/8)+1&amp;"-"&amp;INT((F532+G532-1)/8)+1)</f>
        <v>1</v>
      </c>
      <c r="F532" s="204">
        <v>0</v>
      </c>
      <c r="G532" s="222">
        <v>8</v>
      </c>
      <c r="H532" s="222">
        <v>1</v>
      </c>
      <c r="I532" s="222">
        <v>0</v>
      </c>
      <c r="J532" s="222">
        <v>0</v>
      </c>
      <c r="K532" s="222">
        <f>(POWER(2,G532)-1)*H532+I532</f>
        <v>255</v>
      </c>
      <c r="L532" s="222">
        <v>0</v>
      </c>
      <c r="M532" s="204" t="s">
        <v>2000</v>
      </c>
      <c r="N532" s="331">
        <v>1</v>
      </c>
      <c r="O532" s="202"/>
      <c r="P532" s="204"/>
      <c r="Q532" s="221"/>
      <c r="R532" s="207" t="s">
        <v>218</v>
      </c>
      <c r="S532" s="202" t="s">
        <v>1998</v>
      </c>
      <c r="T532" s="207" t="s">
        <v>218</v>
      </c>
      <c r="U532" s="207" t="s">
        <v>218</v>
      </c>
      <c r="V532" s="221"/>
      <c r="W532" s="221"/>
      <c r="X532" s="221"/>
      <c r="Y532" s="221"/>
      <c r="Z532" s="221"/>
      <c r="AA532" s="221"/>
    </row>
    <row r="533" s="19" customFormat="1" ht="28.5" outlineLevel="1" spans="1:27">
      <c r="A533" s="207"/>
      <c r="B533" s="207"/>
      <c r="C533" s="202" t="s">
        <v>2001</v>
      </c>
      <c r="D533" s="332" t="s">
        <v>2002</v>
      </c>
      <c r="E533" s="330" t="str">
        <f t="shared" ref="E533:E534" si="154">IF(INT((F533+G533-1)/8)+1=INT(F533/8)+1,INT(F533/8)+1,INT(F533/8)+1&amp;"-"&amp;INT((F533+G533-1)/8)+1)</f>
        <v>2-3</v>
      </c>
      <c r="F533" s="204">
        <f>F532+G532</f>
        <v>8</v>
      </c>
      <c r="G533" s="222">
        <v>16</v>
      </c>
      <c r="H533" s="222">
        <v>0.1</v>
      </c>
      <c r="I533" s="222">
        <v>0</v>
      </c>
      <c r="J533" s="222">
        <v>0</v>
      </c>
      <c r="K533" s="222">
        <f t="shared" ref="K533:K534" si="155">(POWER(2,G533)-1)*H533+I533</f>
        <v>6553.5</v>
      </c>
      <c r="L533" s="222">
        <v>0</v>
      </c>
      <c r="M533" s="204" t="s">
        <v>218</v>
      </c>
      <c r="N533" s="222">
        <f t="shared" ref="N533:N534" si="156">LEN(K533)</f>
        <v>6</v>
      </c>
      <c r="O533" s="202"/>
      <c r="P533" s="204"/>
      <c r="Q533" s="221"/>
      <c r="R533" s="207" t="s">
        <v>218</v>
      </c>
      <c r="S533" s="202" t="s">
        <v>2001</v>
      </c>
      <c r="T533" s="207" t="s">
        <v>218</v>
      </c>
      <c r="U533" s="207" t="s">
        <v>218</v>
      </c>
      <c r="V533" s="221"/>
      <c r="W533" s="221"/>
      <c r="X533" s="221"/>
      <c r="Y533" s="221"/>
      <c r="Z533" s="221"/>
      <c r="AA533" s="221"/>
    </row>
    <row r="534" s="19" customFormat="1" ht="25.5" outlineLevel="1" spans="1:27">
      <c r="A534" s="207"/>
      <c r="B534" s="207"/>
      <c r="C534" s="202" t="s">
        <v>2003</v>
      </c>
      <c r="D534" s="329" t="s">
        <v>2004</v>
      </c>
      <c r="E534" s="330" t="str">
        <f t="shared" si="154"/>
        <v>4-5</v>
      </c>
      <c r="F534" s="204">
        <f>F533+G533</f>
        <v>24</v>
      </c>
      <c r="G534" s="222">
        <v>16</v>
      </c>
      <c r="H534" s="222">
        <v>0.01</v>
      </c>
      <c r="I534" s="222">
        <v>0</v>
      </c>
      <c r="J534" s="222">
        <v>0</v>
      </c>
      <c r="K534" s="222">
        <f t="shared" si="155"/>
        <v>655.35</v>
      </c>
      <c r="L534" s="222">
        <v>0</v>
      </c>
      <c r="M534" s="204" t="s">
        <v>506</v>
      </c>
      <c r="N534" s="222">
        <f t="shared" si="156"/>
        <v>6</v>
      </c>
      <c r="O534" s="202"/>
      <c r="P534" s="204"/>
      <c r="Q534" s="221"/>
      <c r="R534" s="207" t="s">
        <v>218</v>
      </c>
      <c r="S534" s="202" t="s">
        <v>2003</v>
      </c>
      <c r="T534" s="207" t="s">
        <v>218</v>
      </c>
      <c r="U534" s="207" t="s">
        <v>218</v>
      </c>
      <c r="V534" s="221"/>
      <c r="W534" s="221"/>
      <c r="X534" s="221"/>
      <c r="Y534" s="221"/>
      <c r="Z534" s="221"/>
      <c r="AA534" s="221"/>
    </row>
    <row r="535" spans="1:27">
      <c r="A535" s="323" t="s">
        <v>346</v>
      </c>
      <c r="B535" s="324" t="str">
        <f>VLOOKUP(A535,'Message ID'!A:M,2,FALSE)</f>
        <v>功能安全相关信号</v>
      </c>
      <c r="C535" s="323"/>
      <c r="D535" s="323"/>
      <c r="E535" s="325">
        <v>3</v>
      </c>
      <c r="F535" s="326"/>
      <c r="G535" s="326"/>
      <c r="H535" s="326"/>
      <c r="I535" s="326"/>
      <c r="J535" s="326"/>
      <c r="K535" s="326"/>
      <c r="L535" s="326"/>
      <c r="M535" s="326"/>
      <c r="N535" s="325">
        <f>SUM(N536:N538)</f>
        <v>7</v>
      </c>
      <c r="O535" s="323"/>
      <c r="P535" s="326"/>
      <c r="Q535" s="323"/>
      <c r="R535" s="323"/>
      <c r="S535" s="327"/>
      <c r="T535" s="327"/>
      <c r="U535" s="327"/>
      <c r="V535" s="328"/>
      <c r="W535" s="328"/>
      <c r="X535" s="328"/>
      <c r="Y535" s="328"/>
      <c r="Z535" s="328"/>
      <c r="AA535" s="328"/>
    </row>
    <row r="536" s="19" customFormat="1" ht="25.5" outlineLevel="1" spans="1:27">
      <c r="A536" s="207"/>
      <c r="B536" s="207"/>
      <c r="C536" s="202" t="s">
        <v>2005</v>
      </c>
      <c r="D536" s="329" t="s">
        <v>2006</v>
      </c>
      <c r="E536" s="330">
        <f>IF(INT((F536+G536-1)/8)+1=INT(F536/8)+1,INT(F536/8)+1,INT(F536/8)+1&amp;"-"&amp;INT((F536+G536-1)/8)+1)</f>
        <v>1</v>
      </c>
      <c r="F536" s="204">
        <v>0</v>
      </c>
      <c r="G536" s="222">
        <v>8</v>
      </c>
      <c r="H536" s="222">
        <v>1</v>
      </c>
      <c r="I536" s="222">
        <v>0</v>
      </c>
      <c r="J536" s="222">
        <v>0</v>
      </c>
      <c r="K536" s="222">
        <f>(POWER(2,G536)-1)*H536+I536</f>
        <v>255</v>
      </c>
      <c r="L536" s="222">
        <v>0</v>
      </c>
      <c r="M536" s="204" t="s">
        <v>2000</v>
      </c>
      <c r="N536" s="222">
        <v>1</v>
      </c>
      <c r="O536" s="202"/>
      <c r="P536" s="204"/>
      <c r="Q536" s="221"/>
      <c r="R536" s="202" t="s">
        <v>2007</v>
      </c>
      <c r="S536" s="202" t="s">
        <v>218</v>
      </c>
      <c r="T536" s="202" t="s">
        <v>218</v>
      </c>
      <c r="U536" s="202" t="s">
        <v>2008</v>
      </c>
      <c r="V536" s="221"/>
      <c r="W536" s="221"/>
      <c r="X536" s="221"/>
      <c r="Y536" s="221"/>
      <c r="Z536" s="221"/>
      <c r="AA536" s="221"/>
    </row>
    <row r="537" s="19" customFormat="1" ht="28.5" outlineLevel="1" spans="1:27">
      <c r="A537" s="207"/>
      <c r="B537" s="207"/>
      <c r="C537" s="202" t="s">
        <v>2009</v>
      </c>
      <c r="D537" s="332" t="s">
        <v>2010</v>
      </c>
      <c r="E537" s="330">
        <f t="shared" ref="E537:E538" si="157">IF(INT((F537+G537-1)/8)+1=INT(F537/8)+1,INT(F537/8)+1,INT(F537/8)+1&amp;"-"&amp;INT((F537+G537-1)/8)+1)</f>
        <v>2</v>
      </c>
      <c r="F537" s="204">
        <f>F536+G536</f>
        <v>8</v>
      </c>
      <c r="G537" s="222">
        <v>8</v>
      </c>
      <c r="H537" s="222">
        <v>1</v>
      </c>
      <c r="I537" s="222">
        <v>0</v>
      </c>
      <c r="J537" s="222">
        <v>0</v>
      </c>
      <c r="K537" s="222">
        <f t="shared" ref="K537:K538" si="158">(POWER(2,G537)-1)*H537+I537</f>
        <v>255</v>
      </c>
      <c r="L537" s="222">
        <v>0</v>
      </c>
      <c r="M537" s="204" t="s">
        <v>218</v>
      </c>
      <c r="N537" s="222">
        <f t="shared" ref="N537:N538" si="159">LEN(K537)</f>
        <v>3</v>
      </c>
      <c r="O537" s="202"/>
      <c r="P537" s="204"/>
      <c r="Q537" s="221"/>
      <c r="R537" s="202" t="s">
        <v>2011</v>
      </c>
      <c r="S537" s="202" t="s">
        <v>218</v>
      </c>
      <c r="T537" s="202" t="s">
        <v>218</v>
      </c>
      <c r="U537" s="202" t="s">
        <v>2012</v>
      </c>
      <c r="V537" s="221"/>
      <c r="W537" s="221"/>
      <c r="X537" s="221"/>
      <c r="Y537" s="221"/>
      <c r="Z537" s="221"/>
      <c r="AA537" s="221"/>
    </row>
    <row r="538" s="19" customFormat="1" ht="24.75" outlineLevel="1" spans="1:27">
      <c r="A538" s="207"/>
      <c r="B538" s="207"/>
      <c r="C538" s="202" t="s">
        <v>2013</v>
      </c>
      <c r="D538" s="329" t="s">
        <v>2014</v>
      </c>
      <c r="E538" s="330">
        <f t="shared" si="157"/>
        <v>3</v>
      </c>
      <c r="F538" s="204">
        <f>F537+G537</f>
        <v>16</v>
      </c>
      <c r="G538" s="222">
        <v>8</v>
      </c>
      <c r="H538" s="222">
        <v>1</v>
      </c>
      <c r="I538" s="222">
        <v>0</v>
      </c>
      <c r="J538" s="222">
        <v>0</v>
      </c>
      <c r="K538" s="222">
        <f t="shared" si="158"/>
        <v>255</v>
      </c>
      <c r="L538" s="222">
        <v>0</v>
      </c>
      <c r="M538" s="204" t="s">
        <v>218</v>
      </c>
      <c r="N538" s="222">
        <f t="shared" si="159"/>
        <v>3</v>
      </c>
      <c r="O538" s="202"/>
      <c r="P538" s="204"/>
      <c r="Q538" s="221"/>
      <c r="R538" s="202" t="s">
        <v>2015</v>
      </c>
      <c r="S538" s="202" t="s">
        <v>218</v>
      </c>
      <c r="T538" s="202" t="s">
        <v>218</v>
      </c>
      <c r="U538" s="202" t="s">
        <v>2016</v>
      </c>
      <c r="V538" s="221"/>
      <c r="W538" s="221"/>
      <c r="X538" s="221"/>
      <c r="Y538" s="221"/>
      <c r="Z538" s="221"/>
      <c r="AA538" s="221"/>
    </row>
    <row r="539" spans="1:27">
      <c r="A539" s="323" t="s">
        <v>349</v>
      </c>
      <c r="B539" s="324" t="str">
        <f>VLOOKUP(A539,'Message ID'!A:M,2,FALSE)</f>
        <v>A核控制命令</v>
      </c>
      <c r="C539" s="323"/>
      <c r="D539" s="323"/>
      <c r="E539" s="325">
        <v>2</v>
      </c>
      <c r="F539" s="326"/>
      <c r="G539" s="326"/>
      <c r="H539" s="326"/>
      <c r="I539" s="326"/>
      <c r="J539" s="326"/>
      <c r="K539" s="326"/>
      <c r="L539" s="326"/>
      <c r="M539" s="326"/>
      <c r="N539" s="325">
        <f>SUM(N540:N540)</f>
        <v>5</v>
      </c>
      <c r="O539" s="323"/>
      <c r="P539" s="326"/>
      <c r="Q539" s="323"/>
      <c r="R539" s="323"/>
      <c r="S539" s="327"/>
      <c r="T539" s="327"/>
      <c r="U539" s="327"/>
      <c r="V539" s="328"/>
      <c r="W539" s="328"/>
      <c r="X539" s="328"/>
      <c r="Y539" s="328"/>
      <c r="Z539" s="328"/>
      <c r="AA539" s="328"/>
    </row>
    <row r="540" s="19" customFormat="1" ht="38.25" outlineLevel="1" spans="1:27">
      <c r="A540" s="207"/>
      <c r="B540" s="207"/>
      <c r="C540" s="202" t="s">
        <v>2017</v>
      </c>
      <c r="D540" s="329" t="s">
        <v>2018</v>
      </c>
      <c r="E540" s="330" t="str">
        <f>IF(INT((F540+G540-1)/8)+1=INT(F540/8)+1,INT(F540/8)+1,INT(F540/8)+1&amp;"-"&amp;INT((F540+G540-1)/8)+1)</f>
        <v>1-2</v>
      </c>
      <c r="F540" s="204">
        <v>0</v>
      </c>
      <c r="G540" s="222">
        <v>16</v>
      </c>
      <c r="H540" s="222">
        <v>1</v>
      </c>
      <c r="I540" s="222">
        <v>0</v>
      </c>
      <c r="J540" s="222">
        <v>0</v>
      </c>
      <c r="K540" s="222">
        <f>(POWER(2,G540)-1)*H540+I540</f>
        <v>65535</v>
      </c>
      <c r="L540" s="222">
        <v>0</v>
      </c>
      <c r="M540" s="204" t="s">
        <v>602</v>
      </c>
      <c r="N540" s="222">
        <f>LEN(K540)</f>
        <v>5</v>
      </c>
      <c r="O540" s="202" t="s">
        <v>2019</v>
      </c>
      <c r="P540" s="204"/>
      <c r="Q540" s="221"/>
      <c r="R540" s="202" t="s">
        <v>2020</v>
      </c>
      <c r="S540" s="202" t="s">
        <v>218</v>
      </c>
      <c r="T540" s="202" t="s">
        <v>2021</v>
      </c>
      <c r="U540" s="202" t="s">
        <v>218</v>
      </c>
      <c r="V540" s="221"/>
      <c r="W540" s="221"/>
      <c r="X540" s="221"/>
      <c r="Y540" s="221"/>
      <c r="Z540" s="221"/>
      <c r="AA540" s="221"/>
    </row>
  </sheetData>
  <autoFilter xmlns:etc="http://www.wps.cn/officeDocument/2017/etCustomData" ref="A1:AA540" etc:filterBottomFollowUsedRange="0">
    <extLst/>
  </autoFilter>
  <conditionalFormatting sqref="L5:M5">
    <cfRule type="cellIs" dxfId="0" priority="954" stopIfTrue="1" operator="notEqual">
      <formula>#REF!</formula>
    </cfRule>
  </conditionalFormatting>
  <conditionalFormatting sqref="P9">
    <cfRule type="cellIs" dxfId="1" priority="341" stopIfTrue="1" operator="notEqual">
      <formula>#REF!</formula>
    </cfRule>
    <cfRule type="cellIs" dxfId="0" priority="343" stopIfTrue="1" operator="notEqual">
      <formula>#REF!</formula>
    </cfRule>
  </conditionalFormatting>
  <conditionalFormatting sqref="P11">
    <cfRule type="cellIs" dxfId="1" priority="344" stopIfTrue="1" operator="notEqual">
      <formula>#REF!</formula>
    </cfRule>
    <cfRule type="cellIs" dxfId="0" priority="346" stopIfTrue="1" operator="notEqual">
      <formula>#REF!</formula>
    </cfRule>
  </conditionalFormatting>
  <conditionalFormatting sqref="O12:P12">
    <cfRule type="cellIs" dxfId="1" priority="115" stopIfTrue="1" operator="notEqual">
      <formula>#REF!</formula>
    </cfRule>
    <cfRule type="cellIs" dxfId="1" priority="116" stopIfTrue="1" operator="equal">
      <formula>#REF!</formula>
    </cfRule>
  </conditionalFormatting>
  <conditionalFormatting sqref="P12">
    <cfRule type="cellIs" dxfId="1" priority="113" stopIfTrue="1" operator="notEqual">
      <formula>#REF!</formula>
    </cfRule>
    <cfRule type="cellIs" dxfId="0" priority="114" stopIfTrue="1" operator="notEqual">
      <formula>#REF!</formula>
    </cfRule>
  </conditionalFormatting>
  <conditionalFormatting sqref="D13">
    <cfRule type="cellIs" dxfId="1" priority="106" stopIfTrue="1" operator="notEqual">
      <formula>#REF!</formula>
    </cfRule>
    <cfRule type="cellIs" dxfId="1" priority="107" stopIfTrue="1" operator="equal">
      <formula>#REF!</formula>
    </cfRule>
  </conditionalFormatting>
  <conditionalFormatting sqref="O13:P13">
    <cfRule type="cellIs" dxfId="1" priority="108" stopIfTrue="1" operator="notEqual">
      <formula>#REF!</formula>
    </cfRule>
    <cfRule type="cellIs" dxfId="1" priority="110" stopIfTrue="1" operator="equal">
      <formula>#REF!</formula>
    </cfRule>
    <cfRule type="cellIs" dxfId="0" priority="111" stopIfTrue="1" operator="notEqual">
      <formula>#REF!</formula>
    </cfRule>
  </conditionalFormatting>
  <conditionalFormatting sqref="P13">
    <cfRule type="cellIs" dxfId="1" priority="105" stopIfTrue="1" operator="notEqual">
      <formula>#REF!</formula>
    </cfRule>
  </conditionalFormatting>
  <conditionalFormatting sqref="P14:Q14">
    <cfRule type="cellIs" dxfId="1" priority="97" stopIfTrue="1" operator="equal">
      <formula>#REF!</formula>
    </cfRule>
  </conditionalFormatting>
  <conditionalFormatting sqref="P15">
    <cfRule type="cellIs" dxfId="1" priority="348" stopIfTrue="1" operator="notEqual">
      <formula>#REF!</formula>
    </cfRule>
    <cfRule type="cellIs" dxfId="0" priority="349" stopIfTrue="1" operator="notEqual">
      <formula>#REF!</formula>
    </cfRule>
  </conditionalFormatting>
  <conditionalFormatting sqref="P22">
    <cfRule type="cellIs" dxfId="1" priority="431" stopIfTrue="1" operator="notEqual">
      <formula>#REF!</formula>
    </cfRule>
    <cfRule type="cellIs" dxfId="1" priority="432" stopIfTrue="1" operator="equal">
      <formula>#REF!</formula>
    </cfRule>
    <cfRule type="cellIs" dxfId="0" priority="433" stopIfTrue="1" operator="notEqual">
      <formula>#REF!</formula>
    </cfRule>
  </conditionalFormatting>
  <conditionalFormatting sqref="P27">
    <cfRule type="cellIs" dxfId="1" priority="427" stopIfTrue="1" operator="notEqual">
      <formula>#REF!</formula>
    </cfRule>
    <cfRule type="cellIs" dxfId="1" priority="428" stopIfTrue="1" operator="equal">
      <formula>#REF!</formula>
    </cfRule>
    <cfRule type="cellIs" dxfId="0" priority="429" stopIfTrue="1" operator="notEqual">
      <formula>#REF!</formula>
    </cfRule>
  </conditionalFormatting>
  <conditionalFormatting sqref="P28">
    <cfRule type="cellIs" dxfId="1" priority="426" stopIfTrue="1" operator="notEqual">
      <formula>#REF!</formula>
    </cfRule>
  </conditionalFormatting>
  <conditionalFormatting sqref="P29">
    <cfRule type="cellIs" dxfId="1" priority="390" stopIfTrue="1" operator="notEqual">
      <formula>#REF!</formula>
    </cfRule>
    <cfRule type="cellIs" dxfId="1" priority="391" stopIfTrue="1" operator="equal">
      <formula>#REF!</formula>
    </cfRule>
    <cfRule type="cellIs" dxfId="0" priority="392" stopIfTrue="1" operator="notEqual">
      <formula>#REF!</formula>
    </cfRule>
  </conditionalFormatting>
  <conditionalFormatting sqref="P30">
    <cfRule type="cellIs" dxfId="1" priority="264" stopIfTrue="1" operator="notEqual">
      <formula>#REF!</formula>
    </cfRule>
    <cfRule type="cellIs" dxfId="1" priority="265" stopIfTrue="1" operator="equal">
      <formula>#REF!</formula>
    </cfRule>
    <cfRule type="cellIs" dxfId="0" priority="266" stopIfTrue="1" operator="notEqual">
      <formula>#REF!</formula>
    </cfRule>
  </conditionalFormatting>
  <conditionalFormatting sqref="P31">
    <cfRule type="cellIs" dxfId="1" priority="260" stopIfTrue="1" operator="notEqual">
      <formula>#REF!</formula>
    </cfRule>
    <cfRule type="cellIs" dxfId="1" priority="261" stopIfTrue="1" operator="equal">
      <formula>#REF!</formula>
    </cfRule>
    <cfRule type="cellIs" dxfId="0" priority="262" stopIfTrue="1" operator="notEqual">
      <formula>#REF!</formula>
    </cfRule>
  </conditionalFormatting>
  <conditionalFormatting sqref="P32">
    <cfRule type="cellIs" dxfId="1" priority="256" stopIfTrue="1" operator="notEqual">
      <formula>#REF!</formula>
    </cfRule>
    <cfRule type="cellIs" dxfId="1" priority="257" stopIfTrue="1" operator="equal">
      <formula>#REF!</formula>
    </cfRule>
    <cfRule type="cellIs" dxfId="0" priority="258" stopIfTrue="1" operator="notEqual">
      <formula>#REF!</formula>
    </cfRule>
  </conditionalFormatting>
  <conditionalFormatting sqref="P37">
    <cfRule type="cellIs" dxfId="1" priority="252" stopIfTrue="1" operator="notEqual">
      <formula>#REF!</formula>
    </cfRule>
    <cfRule type="cellIs" dxfId="1" priority="253" stopIfTrue="1" operator="equal">
      <formula>#REF!</formula>
    </cfRule>
    <cfRule type="cellIs" dxfId="0" priority="254" stopIfTrue="1" operator="notEqual">
      <formula>#REF!</formula>
    </cfRule>
  </conditionalFormatting>
  <conditionalFormatting sqref="P38">
    <cfRule type="cellIs" dxfId="1" priority="248" stopIfTrue="1" operator="notEqual">
      <formula>#REF!</formula>
    </cfRule>
    <cfRule type="cellIs" dxfId="1" priority="249" stopIfTrue="1" operator="equal">
      <formula>#REF!</formula>
    </cfRule>
    <cfRule type="cellIs" dxfId="0" priority="250" stopIfTrue="1" operator="notEqual">
      <formula>#REF!</formula>
    </cfRule>
  </conditionalFormatting>
  <conditionalFormatting sqref="P41">
    <cfRule type="cellIs" dxfId="1" priority="425" stopIfTrue="1" operator="notEqual">
      <formula>#REF!</formula>
    </cfRule>
    <cfRule type="cellIs" dxfId="0" priority="337" stopIfTrue="1" operator="notEqual">
      <formula>#REF!</formula>
    </cfRule>
  </conditionalFormatting>
  <conditionalFormatting sqref="P42">
    <cfRule type="cellIs" dxfId="1" priority="424" stopIfTrue="1" operator="notEqual">
      <formula>#REF!</formula>
    </cfRule>
    <cfRule type="cellIs" dxfId="0" priority="334" stopIfTrue="1" operator="notEqual">
      <formula>#REF!</formula>
    </cfRule>
  </conditionalFormatting>
  <conditionalFormatting sqref="P43">
    <cfRule type="cellIs" dxfId="1" priority="423" stopIfTrue="1" operator="notEqual">
      <formula>#REF!</formula>
    </cfRule>
    <cfRule type="cellIs" dxfId="0" priority="331" stopIfTrue="1" operator="notEqual">
      <formula>#REF!</formula>
    </cfRule>
  </conditionalFormatting>
  <conditionalFormatting sqref="P44">
    <cfRule type="cellIs" dxfId="1" priority="422" stopIfTrue="1" operator="notEqual">
      <formula>#REF!</formula>
    </cfRule>
    <cfRule type="cellIs" dxfId="0" priority="328" stopIfTrue="1" operator="notEqual">
      <formula>#REF!</formula>
    </cfRule>
  </conditionalFormatting>
  <conditionalFormatting sqref="P45">
    <cfRule type="cellIs" dxfId="1" priority="421" stopIfTrue="1" operator="notEqual">
      <formula>#REF!</formula>
    </cfRule>
    <cfRule type="cellIs" dxfId="0" priority="325" stopIfTrue="1" operator="notEqual">
      <formula>#REF!</formula>
    </cfRule>
  </conditionalFormatting>
  <conditionalFormatting sqref="P46">
    <cfRule type="cellIs" dxfId="1" priority="420" stopIfTrue="1" operator="notEqual">
      <formula>#REF!</formula>
    </cfRule>
    <cfRule type="cellIs" dxfId="0" priority="322" stopIfTrue="1" operator="notEqual">
      <formula>#REF!</formula>
    </cfRule>
  </conditionalFormatting>
  <conditionalFormatting sqref="P47:Q47">
    <cfRule type="cellIs" dxfId="1" priority="62" stopIfTrue="1" operator="equal">
      <formula>#REF!</formula>
    </cfRule>
  </conditionalFormatting>
  <conditionalFormatting sqref="P48">
    <cfRule type="cellIs" dxfId="1" priority="419" stopIfTrue="1" operator="notEqual">
      <formula>#REF!</formula>
    </cfRule>
    <cfRule type="cellIs" dxfId="0" priority="319" stopIfTrue="1" operator="notEqual">
      <formula>#REF!</formula>
    </cfRule>
  </conditionalFormatting>
  <conditionalFormatting sqref="P49:Q49">
    <cfRule type="cellIs" dxfId="1" priority="55" stopIfTrue="1" operator="equal">
      <formula>#REF!</formula>
    </cfRule>
  </conditionalFormatting>
  <conditionalFormatting sqref="P50">
    <cfRule type="cellIs" dxfId="1" priority="418" stopIfTrue="1" operator="notEqual">
      <formula>#REF!</formula>
    </cfRule>
    <cfRule type="cellIs" dxfId="0" priority="316" stopIfTrue="1" operator="notEqual">
      <formula>#REF!</formula>
    </cfRule>
  </conditionalFormatting>
  <conditionalFormatting sqref="P51">
    <cfRule type="cellIs" dxfId="1" priority="417" stopIfTrue="1" operator="notEqual">
      <formula>#REF!</formula>
    </cfRule>
  </conditionalFormatting>
  <conditionalFormatting sqref="P53">
    <cfRule type="cellIs" dxfId="1" priority="415" stopIfTrue="1" operator="notEqual">
      <formula>#REF!</formula>
    </cfRule>
  </conditionalFormatting>
  <conditionalFormatting sqref="P57">
    <cfRule type="cellIs" dxfId="1" priority="413" stopIfTrue="1" operator="notEqual">
      <formula>#REF!</formula>
    </cfRule>
  </conditionalFormatting>
  <conditionalFormatting sqref="O58">
    <cfRule type="cellIs" dxfId="1" priority="44" stopIfTrue="1" operator="notEqual">
      <formula>#REF!</formula>
    </cfRule>
    <cfRule type="cellIs" dxfId="1" priority="45" stopIfTrue="1" operator="equal">
      <formula>#REF!</formula>
    </cfRule>
    <cfRule type="cellIs" dxfId="0" priority="46" stopIfTrue="1" operator="notEqual">
      <formula>#REF!</formula>
    </cfRule>
  </conditionalFormatting>
  <conditionalFormatting sqref="P58:Q58">
    <cfRule type="cellIs" dxfId="1" priority="90" stopIfTrue="1" operator="equal">
      <formula>#REF!</formula>
    </cfRule>
  </conditionalFormatting>
  <conditionalFormatting sqref="P59">
    <cfRule type="cellIs" dxfId="1" priority="272" stopIfTrue="1" operator="notEqual">
      <formula>#REF!</formula>
    </cfRule>
    <cfRule type="cellIs" dxfId="1" priority="273" stopIfTrue="1" operator="equal">
      <formula>#REF!</formula>
    </cfRule>
    <cfRule type="cellIs" dxfId="0" priority="274" stopIfTrue="1" operator="notEqual">
      <formula>#REF!</formula>
    </cfRule>
  </conditionalFormatting>
  <conditionalFormatting sqref="P60">
    <cfRule type="cellIs" dxfId="1" priority="244" stopIfTrue="1" operator="notEqual">
      <formula>#REF!</formula>
    </cfRule>
    <cfRule type="cellIs" dxfId="1" priority="245" stopIfTrue="1" operator="equal">
      <formula>#REF!</formula>
    </cfRule>
    <cfRule type="cellIs" dxfId="0" priority="246" stopIfTrue="1" operator="notEqual">
      <formula>#REF!</formula>
    </cfRule>
  </conditionalFormatting>
  <conditionalFormatting sqref="P61">
    <cfRule type="cellIs" dxfId="1" priority="240" stopIfTrue="1" operator="notEqual">
      <formula>#REF!</formula>
    </cfRule>
    <cfRule type="cellIs" dxfId="1" priority="241" stopIfTrue="1" operator="equal">
      <formula>#REF!</formula>
    </cfRule>
    <cfRule type="cellIs" dxfId="0" priority="242" stopIfTrue="1" operator="notEqual">
      <formula>#REF!</formula>
    </cfRule>
  </conditionalFormatting>
  <conditionalFormatting sqref="P67">
    <cfRule type="cellIs" dxfId="1" priority="305" stopIfTrue="1" operator="equal">
      <formula>#REF!</formula>
    </cfRule>
    <cfRule type="cellIs" dxfId="1" priority="306" stopIfTrue="1" operator="notEqual">
      <formula>#REF!</formula>
    </cfRule>
    <cfRule type="cellIs" dxfId="0" priority="307" stopIfTrue="1" operator="notEqual">
      <formula>#REF!</formula>
    </cfRule>
  </conditionalFormatting>
  <conditionalFormatting sqref="P70">
    <cfRule type="cellIs" dxfId="1" priority="301" stopIfTrue="1" operator="equal">
      <formula>#REF!</formula>
    </cfRule>
    <cfRule type="cellIs" dxfId="1" priority="302" stopIfTrue="1" operator="notEqual">
      <formula>#REF!</formula>
    </cfRule>
    <cfRule type="cellIs" dxfId="0" priority="303" stopIfTrue="1" operator="notEqual">
      <formula>#REF!</formula>
    </cfRule>
  </conditionalFormatting>
  <conditionalFormatting sqref="P74">
    <cfRule type="cellIs" dxfId="1" priority="382" stopIfTrue="1" operator="notEqual">
      <formula>#REF!</formula>
    </cfRule>
    <cfRule type="cellIs" dxfId="1" priority="383" stopIfTrue="1" operator="equal">
      <formula>#REF!</formula>
    </cfRule>
    <cfRule type="cellIs" dxfId="0" priority="384" stopIfTrue="1" operator="notEqual">
      <formula>#REF!</formula>
    </cfRule>
  </conditionalFormatting>
  <conditionalFormatting sqref="O76">
    <cfRule type="cellIs" dxfId="1" priority="937" stopIfTrue="1" operator="notEqual">
      <formula>#REF!</formula>
    </cfRule>
    <cfRule type="cellIs" dxfId="1" priority="938" stopIfTrue="1" operator="equal">
      <formula>#REF!</formula>
    </cfRule>
    <cfRule type="cellIs" dxfId="0" priority="939" stopIfTrue="1" operator="notEqual">
      <formula>#REF!</formula>
    </cfRule>
  </conditionalFormatting>
  <conditionalFormatting sqref="P77">
    <cfRule type="cellIs" dxfId="1" priority="297" stopIfTrue="1" operator="equal">
      <formula>#REF!</formula>
    </cfRule>
    <cfRule type="cellIs" dxfId="1" priority="298" stopIfTrue="1" operator="notEqual">
      <formula>#REF!</formula>
    </cfRule>
    <cfRule type="cellIs" dxfId="0" priority="299" stopIfTrue="1" operator="notEqual">
      <formula>#REF!</formula>
    </cfRule>
  </conditionalFormatting>
  <conditionalFormatting sqref="P78">
    <cfRule type="cellIs" dxfId="1" priority="268" stopIfTrue="1" operator="notEqual">
      <formula>#REF!</formula>
    </cfRule>
    <cfRule type="cellIs" dxfId="1" priority="269" stopIfTrue="1" operator="equal">
      <formula>#REF!</formula>
    </cfRule>
    <cfRule type="cellIs" dxfId="0" priority="270" stopIfTrue="1" operator="notEqual">
      <formula>#REF!</formula>
    </cfRule>
  </conditionalFormatting>
  <conditionalFormatting sqref="P80">
    <cfRule type="cellIs" dxfId="1" priority="236" stopIfTrue="1" operator="notEqual">
      <formula>#REF!</formula>
    </cfRule>
    <cfRule type="cellIs" dxfId="1" priority="237" stopIfTrue="1" operator="equal">
      <formula>#REF!</formula>
    </cfRule>
    <cfRule type="cellIs" dxfId="0" priority="238" stopIfTrue="1" operator="notEqual">
      <formula>#REF!</formula>
    </cfRule>
  </conditionalFormatting>
  <conditionalFormatting sqref="P89">
    <cfRule type="cellIs" dxfId="1" priority="378" stopIfTrue="1" operator="notEqual">
      <formula>#REF!</formula>
    </cfRule>
    <cfRule type="cellIs" dxfId="1" priority="379" stopIfTrue="1" operator="equal">
      <formula>#REF!</formula>
    </cfRule>
    <cfRule type="cellIs" dxfId="0" priority="380" stopIfTrue="1" operator="notEqual">
      <formula>#REF!</formula>
    </cfRule>
  </conditionalFormatting>
  <conditionalFormatting sqref="P94">
    <cfRule type="cellIs" dxfId="1" priority="293" stopIfTrue="1" operator="equal">
      <formula>#REF!</formula>
    </cfRule>
    <cfRule type="cellIs" dxfId="1" priority="294" stopIfTrue="1" operator="notEqual">
      <formula>#REF!</formula>
    </cfRule>
    <cfRule type="cellIs" dxfId="0" priority="295" stopIfTrue="1" operator="notEqual">
      <formula>#REF!</formula>
    </cfRule>
  </conditionalFormatting>
  <conditionalFormatting sqref="P95">
    <cfRule type="cellIs" dxfId="1" priority="49" stopIfTrue="1" operator="notEqual">
      <formula>#REF!</formula>
    </cfRule>
    <cfRule type="cellIs" dxfId="1" priority="50" stopIfTrue="1" operator="equal">
      <formula>#REF!</formula>
    </cfRule>
    <cfRule type="cellIs" dxfId="0" priority="52" stopIfTrue="1" operator="notEqual">
      <formula>#REF!</formula>
    </cfRule>
  </conditionalFormatting>
  <conditionalFormatting sqref="Q95">
    <cfRule type="cellIs" dxfId="1" priority="83" stopIfTrue="1" operator="equal">
      <formula>#REF!</formula>
    </cfRule>
  </conditionalFormatting>
  <conditionalFormatting sqref="P96:Q96">
    <cfRule type="cellIs" dxfId="1" priority="76" stopIfTrue="1" operator="equal">
      <formula>#REF!</formula>
    </cfRule>
  </conditionalFormatting>
  <conditionalFormatting sqref="C102:D102">
    <cfRule type="cellIs" dxfId="1" priority="185" stopIfTrue="1" operator="notEqual">
      <formula>#REF!</formula>
    </cfRule>
    <cfRule type="cellIs" dxfId="0" priority="187" stopIfTrue="1" operator="notEqual">
      <formula>#REF!</formula>
    </cfRule>
    <cfRule type="cellIs" dxfId="1" priority="188" stopIfTrue="1" operator="equal">
      <formula>#REF!</formula>
    </cfRule>
  </conditionalFormatting>
  <conditionalFormatting sqref="P111">
    <cfRule type="cellIs" dxfId="1" priority="281" stopIfTrue="1" operator="equal">
      <formula>#REF!</formula>
    </cfRule>
    <cfRule type="cellIs" dxfId="1" priority="282" stopIfTrue="1" operator="notEqual">
      <formula>#REF!</formula>
    </cfRule>
    <cfRule type="cellIs" dxfId="0" priority="283" stopIfTrue="1" operator="notEqual">
      <formula>#REF!</formula>
    </cfRule>
  </conditionalFormatting>
  <conditionalFormatting sqref="P112">
    <cfRule type="cellIs" dxfId="1" priority="277" stopIfTrue="1" operator="equal">
      <formula>#REF!</formula>
    </cfRule>
    <cfRule type="cellIs" dxfId="1" priority="278" stopIfTrue="1" operator="notEqual">
      <formula>#REF!</formula>
    </cfRule>
    <cfRule type="cellIs" dxfId="0" priority="279" stopIfTrue="1" operator="notEqual">
      <formula>#REF!</formula>
    </cfRule>
  </conditionalFormatting>
  <conditionalFormatting sqref="P113">
    <cfRule type="cellIs" dxfId="1" priority="289" stopIfTrue="1" operator="equal">
      <formula>#REF!</formula>
    </cfRule>
    <cfRule type="cellIs" dxfId="1" priority="290" stopIfTrue="1" operator="notEqual">
      <formula>#REF!</formula>
    </cfRule>
    <cfRule type="cellIs" dxfId="0" priority="291" stopIfTrue="1" operator="notEqual">
      <formula>#REF!</formula>
    </cfRule>
  </conditionalFormatting>
  <conditionalFormatting sqref="P114">
    <cfRule type="cellIs" dxfId="1" priority="285" stopIfTrue="1" operator="equal">
      <formula>#REF!</formula>
    </cfRule>
    <cfRule type="cellIs" dxfId="1" priority="286" stopIfTrue="1" operator="notEqual">
      <formula>#REF!</formula>
    </cfRule>
    <cfRule type="cellIs" dxfId="0" priority="287" stopIfTrue="1" operator="notEqual">
      <formula>#REF!</formula>
    </cfRule>
  </conditionalFormatting>
  <conditionalFormatting sqref="P123">
    <cfRule type="cellIs" dxfId="1" priority="143" stopIfTrue="1" operator="notEqual">
      <formula>#REF!</formula>
    </cfRule>
    <cfRule type="cellIs" dxfId="1" priority="146" stopIfTrue="1" operator="equal">
      <formula>#REF!</formula>
    </cfRule>
    <cfRule type="cellIs" dxfId="0" priority="144" stopIfTrue="1" operator="notEqual">
      <formula>#REF!</formula>
    </cfRule>
  </conditionalFormatting>
  <conditionalFormatting sqref="D137">
    <cfRule type="cellIs" dxfId="1" priority="904" stopIfTrue="1" operator="notEqual">
      <formula>#REF!</formula>
    </cfRule>
    <cfRule type="cellIs" dxfId="0" priority="905" stopIfTrue="1" operator="notEqual">
      <formula>#REF!</formula>
    </cfRule>
    <cfRule type="cellIs" dxfId="1" priority="907" stopIfTrue="1" operator="equal">
      <formula>#REF!</formula>
    </cfRule>
  </conditionalFormatting>
  <conditionalFormatting sqref="R137">
    <cfRule type="cellIs" dxfId="1" priority="806" stopIfTrue="1" operator="notEqual">
      <formula>#REF!</formula>
    </cfRule>
    <cfRule type="cellIs" dxfId="0" priority="807" stopIfTrue="1" operator="notEqual">
      <formula>#REF!</formula>
    </cfRule>
    <cfRule type="cellIs" dxfId="1" priority="809" stopIfTrue="1" operator="equal">
      <formula>#REF!</formula>
    </cfRule>
  </conditionalFormatting>
  <conditionalFormatting sqref="C145">
    <cfRule type="duplicateValues" dxfId="2" priority="1195" stopIfTrue="1"/>
  </conditionalFormatting>
  <conditionalFormatting sqref="M160">
    <cfRule type="cellIs" dxfId="1" priority="965" stopIfTrue="1" operator="notEqual">
      <formula>#REF!</formula>
    </cfRule>
    <cfRule type="cellIs" dxfId="0" priority="966" stopIfTrue="1" operator="notEqual">
      <formula>#REF!</formula>
    </cfRule>
  </conditionalFormatting>
  <conditionalFormatting sqref="C178">
    <cfRule type="duplicateValues" dxfId="2" priority="13" stopIfTrue="1"/>
  </conditionalFormatting>
  <conditionalFormatting sqref="C182">
    <cfRule type="duplicateValues" dxfId="2" priority="10" stopIfTrue="1"/>
  </conditionalFormatting>
  <conditionalFormatting sqref="C186:D186">
    <cfRule type="cellIs" dxfId="1" priority="126" stopIfTrue="1" operator="notEqual">
      <formula>#REF!</formula>
    </cfRule>
    <cfRule type="cellIs" dxfId="0" priority="127" stopIfTrue="1" operator="notEqual">
      <formula>#REF!</formula>
    </cfRule>
    <cfRule type="cellIs" dxfId="1" priority="128" stopIfTrue="1" operator="equal">
      <formula>#REF!</formula>
    </cfRule>
  </conditionalFormatting>
  <conditionalFormatting sqref="C205">
    <cfRule type="duplicateValues" dxfId="2" priority="1238" stopIfTrue="1"/>
  </conditionalFormatting>
  <conditionalFormatting sqref="C206">
    <cfRule type="duplicateValues" dxfId="2" priority="1239" stopIfTrue="1"/>
  </conditionalFormatting>
  <conditionalFormatting sqref="C210">
    <cfRule type="duplicateValues" dxfId="2" priority="6" stopIfTrue="1"/>
  </conditionalFormatting>
  <conditionalFormatting sqref="C213">
    <cfRule type="duplicateValues" dxfId="2" priority="3" stopIfTrue="1"/>
  </conditionalFormatting>
  <conditionalFormatting sqref="C217">
    <cfRule type="cellIs" dxfId="1" priority="888" stopIfTrue="1" operator="notEqual">
      <formula>#REF!</formula>
    </cfRule>
    <cfRule type="cellIs" dxfId="0" priority="889" stopIfTrue="1" operator="notEqual">
      <formula>#REF!</formula>
    </cfRule>
  </conditionalFormatting>
  <conditionalFormatting sqref="D217">
    <cfRule type="cellIs" dxfId="1" priority="894" stopIfTrue="1" operator="notEqual">
      <formula>#REF!</formula>
    </cfRule>
    <cfRule type="cellIs" dxfId="1" priority="895" stopIfTrue="1" operator="equal">
      <formula>#REF!</formula>
    </cfRule>
  </conditionalFormatting>
  <conditionalFormatting sqref="R217">
    <cfRule type="cellIs" dxfId="1" priority="802" stopIfTrue="1" operator="notEqual">
      <formula>#REF!</formula>
    </cfRule>
    <cfRule type="cellIs" dxfId="0" priority="803" stopIfTrue="1" operator="notEqual">
      <formula>#REF!</formula>
    </cfRule>
    <cfRule type="cellIs" dxfId="1" priority="805" stopIfTrue="1" operator="equal">
      <formula>#REF!</formula>
    </cfRule>
  </conditionalFormatting>
  <conditionalFormatting sqref="C269">
    <cfRule type="duplicateValues" dxfId="2" priority="864" stopIfTrue="1"/>
  </conditionalFormatting>
  <conditionalFormatting sqref="D269">
    <cfRule type="duplicateValues" dxfId="2" priority="865" stopIfTrue="1"/>
  </conditionalFormatting>
  <conditionalFormatting sqref="C343">
    <cfRule type="duplicateValues" dxfId="2" priority="878" stopIfTrue="1"/>
  </conditionalFormatting>
  <conditionalFormatting sqref="T399">
    <cfRule type="duplicateValues" dxfId="2" priority="816" stopIfTrue="1"/>
  </conditionalFormatting>
  <conditionalFormatting sqref="C403">
    <cfRule type="duplicateValues" dxfId="2" priority="1026" stopIfTrue="1"/>
  </conditionalFormatting>
  <conditionalFormatting sqref="C404">
    <cfRule type="duplicateValues" dxfId="2" priority="797" stopIfTrue="1"/>
  </conditionalFormatting>
  <conditionalFormatting sqref="T404">
    <cfRule type="duplicateValues" dxfId="2" priority="795" stopIfTrue="1"/>
  </conditionalFormatting>
  <conditionalFormatting sqref="R406">
    <cfRule type="duplicateValues" dxfId="2" priority="231" stopIfTrue="1"/>
  </conditionalFormatting>
  <conditionalFormatting sqref="R407">
    <cfRule type="duplicateValues" dxfId="2" priority="577" stopIfTrue="1"/>
  </conditionalFormatting>
  <conditionalFormatting sqref="R408">
    <cfRule type="duplicateValues" dxfId="2" priority="576" stopIfTrue="1"/>
  </conditionalFormatting>
  <conditionalFormatting sqref="R409">
    <cfRule type="duplicateValues" dxfId="2" priority="230" stopIfTrue="1"/>
  </conditionalFormatting>
  <conditionalFormatting sqref="C412">
    <cfRule type="duplicateValues" dxfId="2" priority="728" stopIfTrue="1"/>
  </conditionalFormatting>
  <conditionalFormatting sqref="R412">
    <cfRule type="duplicateValues" dxfId="2" priority="532" stopIfTrue="1"/>
  </conditionalFormatting>
  <conditionalFormatting sqref="C413">
    <cfRule type="duplicateValues" dxfId="2" priority="1076" stopIfTrue="1"/>
  </conditionalFormatting>
  <conditionalFormatting sqref="R413">
    <cfRule type="duplicateValues" dxfId="2" priority="531" stopIfTrue="1"/>
  </conditionalFormatting>
  <conditionalFormatting sqref="S413">
    <cfRule type="duplicateValues" dxfId="2" priority="1078" stopIfTrue="1"/>
  </conditionalFormatting>
  <conditionalFormatting sqref="C418">
    <cfRule type="duplicateValues" dxfId="2" priority="747" stopIfTrue="1"/>
  </conditionalFormatting>
  <conditionalFormatting sqref="R418">
    <cfRule type="duplicateValues" dxfId="2" priority="578" stopIfTrue="1"/>
  </conditionalFormatting>
  <conditionalFormatting sqref="C419">
    <cfRule type="duplicateValues" dxfId="2" priority="732" stopIfTrue="1"/>
  </conditionalFormatting>
  <conditionalFormatting sqref="D419">
    <cfRule type="duplicateValues" dxfId="2" priority="731" stopIfTrue="1"/>
  </conditionalFormatting>
  <conditionalFormatting sqref="R419">
    <cfRule type="duplicateValues" dxfId="2" priority="572" stopIfTrue="1"/>
  </conditionalFormatting>
  <conditionalFormatting sqref="S419">
    <cfRule type="duplicateValues" dxfId="2" priority="729" stopIfTrue="1"/>
  </conditionalFormatting>
  <conditionalFormatting sqref="C425">
    <cfRule type="duplicateValues" dxfId="2" priority="234" stopIfTrue="1"/>
  </conditionalFormatting>
  <conditionalFormatting sqref="D425">
    <cfRule type="duplicateValues" dxfId="2" priority="235" stopIfTrue="1"/>
  </conditionalFormatting>
  <conditionalFormatting sqref="R425">
    <cfRule type="duplicateValues" dxfId="2" priority="233" stopIfTrue="1"/>
  </conditionalFormatting>
  <conditionalFormatting sqref="S425">
    <cfRule type="duplicateValues" dxfId="2" priority="232" stopIfTrue="1"/>
  </conditionalFormatting>
  <conditionalFormatting sqref="C426">
    <cfRule type="duplicateValues" dxfId="2" priority="724" stopIfTrue="1"/>
  </conditionalFormatting>
  <conditionalFormatting sqref="R426">
    <cfRule type="duplicateValues" dxfId="2" priority="452" stopIfTrue="1"/>
  </conditionalFormatting>
  <conditionalFormatting sqref="S426">
    <cfRule type="duplicateValues" dxfId="2" priority="451" stopIfTrue="1"/>
  </conditionalFormatting>
  <conditionalFormatting sqref="R427">
    <cfRule type="duplicateValues" dxfId="2" priority="228" stopIfTrue="1"/>
  </conditionalFormatting>
  <conditionalFormatting sqref="S428">
    <cfRule type="duplicateValues" dxfId="2" priority="718" stopIfTrue="1"/>
  </conditionalFormatting>
  <conditionalFormatting sqref="C430">
    <cfRule type="duplicateValues" dxfId="2" priority="714" stopIfTrue="1"/>
  </conditionalFormatting>
  <conditionalFormatting sqref="D430">
    <cfRule type="duplicateValues" dxfId="2" priority="713" stopIfTrue="1"/>
  </conditionalFormatting>
  <conditionalFormatting sqref="R430">
    <cfRule type="duplicateValues" dxfId="2" priority="227" stopIfTrue="1"/>
  </conditionalFormatting>
  <conditionalFormatting sqref="S430">
    <cfRule type="duplicateValues" dxfId="2" priority="711" stopIfTrue="1"/>
  </conditionalFormatting>
  <conditionalFormatting sqref="C431">
    <cfRule type="duplicateValues" dxfId="2" priority="708" stopIfTrue="1"/>
  </conditionalFormatting>
  <conditionalFormatting sqref="R431">
    <cfRule type="duplicateValues" dxfId="2" priority="565" stopIfTrue="1"/>
  </conditionalFormatting>
  <conditionalFormatting sqref="C432">
    <cfRule type="duplicateValues" dxfId="2" priority="456" stopIfTrue="1"/>
  </conditionalFormatting>
  <conditionalFormatting sqref="R432">
    <cfRule type="duplicateValues" dxfId="2" priority="225" stopIfTrue="1"/>
  </conditionalFormatting>
  <conditionalFormatting sqref="C433">
    <cfRule type="duplicateValues" dxfId="2" priority="455" stopIfTrue="1"/>
  </conditionalFormatting>
  <conditionalFormatting sqref="R433">
    <cfRule type="duplicateValues" dxfId="2" priority="224" stopIfTrue="1"/>
  </conditionalFormatting>
  <conditionalFormatting sqref="C434">
    <cfRule type="duplicateValues" dxfId="2" priority="457" stopIfTrue="1"/>
  </conditionalFormatting>
  <conditionalFormatting sqref="R434">
    <cfRule type="duplicateValues" dxfId="2" priority="226" stopIfTrue="1"/>
  </conditionalFormatting>
  <conditionalFormatting sqref="C435">
    <cfRule type="duplicateValues" dxfId="2" priority="1087" stopIfTrue="1"/>
  </conditionalFormatting>
  <conditionalFormatting sqref="D435">
    <cfRule type="duplicateValues" dxfId="2" priority="218" stopIfTrue="1"/>
  </conditionalFormatting>
  <conditionalFormatting sqref="R435">
    <cfRule type="duplicateValues" dxfId="2" priority="1093" stopIfTrue="1"/>
  </conditionalFormatting>
  <conditionalFormatting sqref="S435">
    <cfRule type="duplicateValues" dxfId="2" priority="1051" stopIfTrue="1"/>
  </conditionalFormatting>
  <conditionalFormatting sqref="C436">
    <cfRule type="duplicateValues" dxfId="2" priority="454" stopIfTrue="1"/>
  </conditionalFormatting>
  <conditionalFormatting sqref="R436">
    <cfRule type="duplicateValues" dxfId="2" priority="223" stopIfTrue="1"/>
  </conditionalFormatting>
  <conditionalFormatting sqref="C437">
    <cfRule type="duplicateValues" dxfId="2" priority="453" stopIfTrue="1"/>
  </conditionalFormatting>
  <conditionalFormatting sqref="R437">
    <cfRule type="duplicateValues" dxfId="2" priority="222" stopIfTrue="1"/>
  </conditionalFormatting>
  <conditionalFormatting sqref="C439">
    <cfRule type="duplicateValues" dxfId="2" priority="1099" stopIfTrue="1"/>
  </conditionalFormatting>
  <conditionalFormatting sqref="R439">
    <cfRule type="duplicateValues" dxfId="2" priority="1103" stopIfTrue="1"/>
  </conditionalFormatting>
  <conditionalFormatting sqref="C440">
    <cfRule type="duplicateValues" dxfId="2" priority="688" stopIfTrue="1"/>
  </conditionalFormatting>
  <conditionalFormatting sqref="D440">
    <cfRule type="duplicateValues" dxfId="2" priority="1100" stopIfTrue="1"/>
  </conditionalFormatting>
  <conditionalFormatting sqref="R440">
    <cfRule type="duplicateValues" dxfId="2" priority="561" stopIfTrue="1"/>
  </conditionalFormatting>
  <conditionalFormatting sqref="C441">
    <cfRule type="duplicateValues" dxfId="2" priority="673" stopIfTrue="1"/>
  </conditionalFormatting>
  <conditionalFormatting sqref="D441">
    <cfRule type="duplicateValues" dxfId="2" priority="672" stopIfTrue="1"/>
  </conditionalFormatting>
  <conditionalFormatting sqref="R441">
    <cfRule type="duplicateValues" dxfId="2" priority="555" stopIfTrue="1"/>
  </conditionalFormatting>
  <conditionalFormatting sqref="C450">
    <cfRule type="duplicateValues" dxfId="2" priority="669" stopIfTrue="1"/>
  </conditionalFormatting>
  <conditionalFormatting sqref="R450">
    <cfRule type="duplicateValues" dxfId="2" priority="554" stopIfTrue="1"/>
  </conditionalFormatting>
  <conditionalFormatting sqref="C451">
    <cfRule type="duplicateValues" dxfId="2" priority="655" stopIfTrue="1"/>
  </conditionalFormatting>
  <conditionalFormatting sqref="D451">
    <cfRule type="duplicateValues" dxfId="2" priority="654" stopIfTrue="1"/>
  </conditionalFormatting>
  <conditionalFormatting sqref="R451">
    <cfRule type="duplicateValues" dxfId="2" priority="549" stopIfTrue="1"/>
  </conditionalFormatting>
  <conditionalFormatting sqref="C456">
    <cfRule type="duplicateValues" dxfId="2" priority="1028" stopIfTrue="1"/>
  </conditionalFormatting>
  <conditionalFormatting sqref="R456">
    <cfRule type="duplicateValues" dxfId="2" priority="534" stopIfTrue="1"/>
  </conditionalFormatting>
  <conditionalFormatting sqref="R457">
    <cfRule type="duplicateValues" dxfId="2" priority="533" stopIfTrue="1"/>
  </conditionalFormatting>
  <conditionalFormatting sqref="R458">
    <cfRule type="duplicateValues" dxfId="2" priority="546" stopIfTrue="1"/>
  </conditionalFormatting>
  <conditionalFormatting sqref="C459">
    <cfRule type="duplicateValues" dxfId="2" priority="690" stopIfTrue="1"/>
  </conditionalFormatting>
  <conditionalFormatting sqref="R459">
    <cfRule type="duplicateValues" dxfId="2" priority="562" stopIfTrue="1"/>
  </conditionalFormatting>
  <conditionalFormatting sqref="C460">
    <cfRule type="duplicateValues" dxfId="2" priority="638" stopIfTrue="1"/>
  </conditionalFormatting>
  <conditionalFormatting sqref="D460">
    <cfRule type="duplicateValues" dxfId="2" priority="637" stopIfTrue="1"/>
  </conditionalFormatting>
  <conditionalFormatting sqref="R460">
    <cfRule type="duplicateValues" dxfId="2" priority="544" stopIfTrue="1"/>
  </conditionalFormatting>
  <conditionalFormatting sqref="C461">
    <cfRule type="duplicateValues" dxfId="2" priority="634" stopIfTrue="1"/>
  </conditionalFormatting>
  <conditionalFormatting sqref="D461">
    <cfRule type="duplicateValues" dxfId="2" priority="633" stopIfTrue="1"/>
  </conditionalFormatting>
  <conditionalFormatting sqref="R461">
    <cfRule type="duplicateValues" dxfId="2" priority="543" stopIfTrue="1"/>
  </conditionalFormatting>
  <conditionalFormatting sqref="C481">
    <cfRule type="duplicateValues" dxfId="2" priority="515" stopIfTrue="1"/>
  </conditionalFormatting>
  <conditionalFormatting sqref="D481">
    <cfRule type="duplicateValues" dxfId="2" priority="516" stopIfTrue="1"/>
  </conditionalFormatting>
  <conditionalFormatting sqref="R481">
    <cfRule type="duplicateValues" dxfId="2" priority="514" stopIfTrue="1"/>
  </conditionalFormatting>
  <conditionalFormatting sqref="D493">
    <cfRule type="duplicateValues" dxfId="2" priority="20" stopIfTrue="1"/>
  </conditionalFormatting>
  <conditionalFormatting sqref="D507">
    <cfRule type="duplicateValues" dxfId="2" priority="48" stopIfTrue="1"/>
  </conditionalFormatting>
  <conditionalFormatting sqref="D511">
    <cfRule type="duplicateValues" dxfId="2" priority="22" stopIfTrue="1"/>
  </conditionalFormatting>
  <conditionalFormatting sqref="C528">
    <cfRule type="cellIs" dxfId="1" priority="471" stopIfTrue="1" operator="notEqual">
      <formula>#REF!</formula>
    </cfRule>
    <cfRule type="cellIs" dxfId="0" priority="472" stopIfTrue="1" operator="notEqual">
      <formula>#REF!</formula>
    </cfRule>
  </conditionalFormatting>
  <conditionalFormatting sqref="D528">
    <cfRule type="cellIs" dxfId="1" priority="475" stopIfTrue="1" operator="notEqual">
      <formula>#REF!</formula>
    </cfRule>
    <cfRule type="cellIs" dxfId="0" priority="476" stopIfTrue="1" operator="notEqual">
      <formula>#REF!</formula>
    </cfRule>
    <cfRule type="cellIs" dxfId="1" priority="478" stopIfTrue="1" operator="equal">
      <formula>#REF!</formula>
    </cfRule>
  </conditionalFormatting>
  <conditionalFormatting sqref="R528">
    <cfRule type="cellIs" dxfId="1" priority="467" stopIfTrue="1" operator="notEqual">
      <formula>#REF!</formula>
    </cfRule>
    <cfRule type="cellIs" dxfId="0" priority="468" stopIfTrue="1" operator="notEqual">
      <formula>#REF!</formula>
    </cfRule>
    <cfRule type="cellIs" dxfId="1" priority="470" stopIfTrue="1" operator="equal">
      <formula>#REF!</formula>
    </cfRule>
  </conditionalFormatting>
  <conditionalFormatting sqref="C530">
    <cfRule type="cellIs" dxfId="1" priority="439" stopIfTrue="1" operator="notEqual">
      <formula>#REF!</formula>
    </cfRule>
    <cfRule type="cellIs" dxfId="0" priority="440" stopIfTrue="1" operator="notEqual">
      <formula>#REF!</formula>
    </cfRule>
  </conditionalFormatting>
  <conditionalFormatting sqref="D530">
    <cfRule type="cellIs" dxfId="1" priority="443" stopIfTrue="1" operator="notEqual">
      <formula>#REF!</formula>
    </cfRule>
    <cfRule type="cellIs" dxfId="0" priority="444" stopIfTrue="1" operator="notEqual">
      <formula>#REF!</formula>
    </cfRule>
    <cfRule type="cellIs" dxfId="1" priority="446" stopIfTrue="1" operator="equal">
      <formula>#REF!</formula>
    </cfRule>
  </conditionalFormatting>
  <conditionalFormatting sqref="R530">
    <cfRule type="cellIs" dxfId="1" priority="435" stopIfTrue="1" operator="notEqual">
      <formula>#REF!</formula>
    </cfRule>
    <cfRule type="cellIs" dxfId="0" priority="436" stopIfTrue="1" operator="notEqual">
      <formula>#REF!</formula>
    </cfRule>
    <cfRule type="cellIs" dxfId="1" priority="438" stopIfTrue="1" operator="equal">
      <formula>#REF!</formula>
    </cfRule>
  </conditionalFormatting>
  <conditionalFormatting sqref="C540">
    <cfRule type="cellIs" dxfId="1" priority="29" stopIfTrue="1" operator="notEqual">
      <formula>#REF!</formula>
    </cfRule>
    <cfRule type="cellIs" dxfId="1" priority="30" stopIfTrue="1" operator="equal">
      <formula>#REF!</formula>
    </cfRule>
    <cfRule type="cellIs" dxfId="0" priority="28" stopIfTrue="1" operator="notEqual">
      <formula>#REF!</formula>
    </cfRule>
  </conditionalFormatting>
  <conditionalFormatting sqref="R540:U540">
    <cfRule type="cellIs" dxfId="1" priority="25" stopIfTrue="1" operator="notEqual">
      <formula>#REF!</formula>
    </cfRule>
    <cfRule type="cellIs" dxfId="1" priority="26" stopIfTrue="1" operator="equal">
      <formula>#REF!</formula>
    </cfRule>
    <cfRule type="cellIs" dxfId="0" priority="24" stopIfTrue="1" operator="notEqual">
      <formula>#REF!</formula>
    </cfRule>
  </conditionalFormatting>
  <conditionalFormatting sqref="C141:C143">
    <cfRule type="duplicateValues" dxfId="2" priority="1213" stopIfTrue="1"/>
  </conditionalFormatting>
  <conditionalFormatting sqref="C192:C195">
    <cfRule type="duplicateValues" dxfId="2" priority="1196" stopIfTrue="1"/>
  </conditionalFormatting>
  <conditionalFormatting sqref="C201:C204">
    <cfRule type="duplicateValues" dxfId="2" priority="1237" stopIfTrue="1"/>
  </conditionalFormatting>
  <conditionalFormatting sqref="C207:C209">
    <cfRule type="duplicateValues" dxfId="2" priority="1240" stopIfTrue="1"/>
  </conditionalFormatting>
  <conditionalFormatting sqref="C211:C212">
    <cfRule type="duplicateValues" dxfId="2" priority="19" stopIfTrue="1"/>
  </conditionalFormatting>
  <conditionalFormatting sqref="C214:C215">
    <cfRule type="duplicateValues" dxfId="2" priority="7" stopIfTrue="1"/>
  </conditionalFormatting>
  <conditionalFormatting sqref="C270:C279">
    <cfRule type="duplicateValues" dxfId="2" priority="1080" stopIfTrue="1"/>
  </conditionalFormatting>
  <conditionalFormatting sqref="C280:C281">
    <cfRule type="duplicateValues" dxfId="2" priority="163" stopIfTrue="1"/>
  </conditionalFormatting>
  <conditionalFormatting sqref="C285:C302">
    <cfRule type="duplicateValues" dxfId="2" priority="885" stopIfTrue="1"/>
  </conditionalFormatting>
  <conditionalFormatting sqref="C304:C313">
    <cfRule type="duplicateValues" dxfId="2" priority="884" stopIfTrue="1"/>
  </conditionalFormatting>
  <conditionalFormatting sqref="C315:C319">
    <cfRule type="duplicateValues" dxfId="2" priority="883" stopIfTrue="1"/>
  </conditionalFormatting>
  <conditionalFormatting sqref="C320:C324">
    <cfRule type="duplicateValues" dxfId="2" priority="857" stopIfTrue="1"/>
  </conditionalFormatting>
  <conditionalFormatting sqref="C326:C342">
    <cfRule type="duplicateValues" dxfId="2" priority="856" stopIfTrue="1"/>
  </conditionalFormatting>
  <conditionalFormatting sqref="C344:C353">
    <cfRule type="duplicateValues" dxfId="2" priority="855" stopIfTrue="1"/>
  </conditionalFormatting>
  <conditionalFormatting sqref="C380:C381">
    <cfRule type="duplicateValues" dxfId="2" priority="848" stopIfTrue="1"/>
  </conditionalFormatting>
  <conditionalFormatting sqref="C382:C383">
    <cfRule type="duplicateValues" dxfId="2" priority="846" stopIfTrue="1"/>
  </conditionalFormatting>
  <conditionalFormatting sqref="C384:C385">
    <cfRule type="duplicateValues" dxfId="2" priority="844" stopIfTrue="1"/>
  </conditionalFormatting>
  <conditionalFormatting sqref="C386:C387">
    <cfRule type="duplicateValues" dxfId="2" priority="842" stopIfTrue="1"/>
  </conditionalFormatting>
  <conditionalFormatting sqref="C388:C389">
    <cfRule type="duplicateValues" dxfId="2" priority="840" stopIfTrue="1"/>
  </conditionalFormatting>
  <conditionalFormatting sqref="C390:C391">
    <cfRule type="duplicateValues" dxfId="2" priority="838" stopIfTrue="1"/>
  </conditionalFormatting>
  <conditionalFormatting sqref="C393:C394">
    <cfRule type="duplicateValues" dxfId="2" priority="836" stopIfTrue="1"/>
  </conditionalFormatting>
  <conditionalFormatting sqref="C395:C396">
    <cfRule type="duplicateValues" dxfId="2" priority="834" stopIfTrue="1"/>
  </conditionalFormatting>
  <conditionalFormatting sqref="C397:C398">
    <cfRule type="duplicateValues" dxfId="2" priority="832" stopIfTrue="1"/>
  </conditionalFormatting>
  <conditionalFormatting sqref="C399:C400">
    <cfRule type="duplicateValues" dxfId="2" priority="830" stopIfTrue="1"/>
  </conditionalFormatting>
  <conditionalFormatting sqref="C401:C402">
    <cfRule type="duplicateValues" dxfId="2" priority="828" stopIfTrue="1"/>
  </conditionalFormatting>
  <conditionalFormatting sqref="C406:C407">
    <cfRule type="duplicateValues" dxfId="2" priority="745" stopIfTrue="1"/>
  </conditionalFormatting>
  <conditionalFormatting sqref="C408:C409">
    <cfRule type="duplicateValues" dxfId="2" priority="744" stopIfTrue="1"/>
  </conditionalFormatting>
  <conditionalFormatting sqref="C410:C411">
    <cfRule type="duplicateValues" dxfId="2" priority="743" stopIfTrue="1"/>
  </conditionalFormatting>
  <conditionalFormatting sqref="C414:C415">
    <cfRule type="duplicateValues" dxfId="2" priority="742" stopIfTrue="1"/>
  </conditionalFormatting>
  <conditionalFormatting sqref="C416:C417">
    <cfRule type="duplicateValues" dxfId="2" priority="741" stopIfTrue="1"/>
  </conditionalFormatting>
  <conditionalFormatting sqref="C420:C421">
    <cfRule type="duplicateValues" dxfId="2" priority="726" stopIfTrue="1"/>
  </conditionalFormatting>
  <conditionalFormatting sqref="C428:C429">
    <cfRule type="duplicateValues" dxfId="2" priority="723" stopIfTrue="1"/>
  </conditionalFormatting>
  <conditionalFormatting sqref="C442:C443">
    <cfRule type="duplicateValues" dxfId="2" priority="667" stopIfTrue="1"/>
  </conditionalFormatting>
  <conditionalFormatting sqref="C444:C445">
    <cfRule type="duplicateValues" dxfId="2" priority="666" stopIfTrue="1"/>
  </conditionalFormatting>
  <conditionalFormatting sqref="C446:C447">
    <cfRule type="duplicateValues" dxfId="2" priority="665" stopIfTrue="1"/>
  </conditionalFormatting>
  <conditionalFormatting sqref="C448:C449">
    <cfRule type="duplicateValues" dxfId="2" priority="664" stopIfTrue="1"/>
  </conditionalFormatting>
  <conditionalFormatting sqref="C452:C453">
    <cfRule type="duplicateValues" dxfId="2" priority="651" stopIfTrue="1"/>
  </conditionalFormatting>
  <conditionalFormatting sqref="C454:C455">
    <cfRule type="duplicateValues" dxfId="2" priority="650" stopIfTrue="1"/>
  </conditionalFormatting>
  <conditionalFormatting sqref="C457:C458">
    <cfRule type="duplicateValues" dxfId="2" priority="649" stopIfTrue="1"/>
  </conditionalFormatting>
  <conditionalFormatting sqref="C462:C463">
    <cfRule type="duplicateValues" dxfId="2" priority="630" stopIfTrue="1"/>
  </conditionalFormatting>
  <conditionalFormatting sqref="C464:C465">
    <cfRule type="duplicateValues" dxfId="2" priority="629" stopIfTrue="1"/>
  </conditionalFormatting>
  <conditionalFormatting sqref="C466:C469">
    <cfRule type="duplicateValues" dxfId="2" priority="1122" stopIfTrue="1"/>
  </conditionalFormatting>
  <conditionalFormatting sqref="C532:C534">
    <cfRule type="cellIs" dxfId="1" priority="206" stopIfTrue="1" operator="notEqual">
      <formula>#REF!</formula>
    </cfRule>
    <cfRule type="cellIs" dxfId="0" priority="207" stopIfTrue="1" operator="notEqual">
      <formula>#REF!</formula>
    </cfRule>
  </conditionalFormatting>
  <conditionalFormatting sqref="C536:C538">
    <cfRule type="cellIs" dxfId="1" priority="171" stopIfTrue="1" operator="notEqual">
      <formula>#REF!</formula>
    </cfRule>
    <cfRule type="cellIs" dxfId="1" priority="172" stopIfTrue="1" operator="equal">
      <formula>#REF!</formula>
    </cfRule>
    <cfRule type="cellIs" dxfId="0" priority="170" stopIfTrue="1" operator="notEqual">
      <formula>#REF!</formula>
    </cfRule>
  </conditionalFormatting>
  <conditionalFormatting sqref="D196:D197">
    <cfRule type="cellIs" dxfId="1" priority="220" stopIfTrue="1" operator="notEqual">
      <formula>#REF!</formula>
    </cfRule>
    <cfRule type="cellIs" dxfId="1" priority="221" stopIfTrue="1" operator="equal">
      <formula>#REF!</formula>
    </cfRule>
  </conditionalFormatting>
  <conditionalFormatting sqref="D270:D279">
    <cfRule type="duplicateValues" dxfId="2" priority="1081" stopIfTrue="1"/>
  </conditionalFormatting>
  <conditionalFormatting sqref="D280:D281">
    <cfRule type="duplicateValues" dxfId="2" priority="164" stopIfTrue="1"/>
  </conditionalFormatting>
  <conditionalFormatting sqref="D285:D302">
    <cfRule type="duplicateValues" dxfId="2" priority="881" stopIfTrue="1"/>
  </conditionalFormatting>
  <conditionalFormatting sqref="D304:D313">
    <cfRule type="duplicateValues" dxfId="2" priority="880" stopIfTrue="1"/>
  </conditionalFormatting>
  <conditionalFormatting sqref="D315:D324">
    <cfRule type="duplicateValues" dxfId="2" priority="879" stopIfTrue="1"/>
  </conditionalFormatting>
  <conditionalFormatting sqref="D380:D381">
    <cfRule type="duplicateValues" dxfId="2" priority="849" stopIfTrue="1"/>
  </conditionalFormatting>
  <conditionalFormatting sqref="D382:D383">
    <cfRule type="duplicateValues" dxfId="2" priority="815" stopIfTrue="1"/>
  </conditionalFormatting>
  <conditionalFormatting sqref="D384:D385">
    <cfRule type="duplicateValues" dxfId="2" priority="814" stopIfTrue="1"/>
  </conditionalFormatting>
  <conditionalFormatting sqref="D386:D387">
    <cfRule type="duplicateValues" dxfId="2" priority="843" stopIfTrue="1"/>
  </conditionalFormatting>
  <conditionalFormatting sqref="D388:D389">
    <cfRule type="duplicateValues" dxfId="2" priority="841" stopIfTrue="1"/>
  </conditionalFormatting>
  <conditionalFormatting sqref="D390:D391">
    <cfRule type="duplicateValues" dxfId="2" priority="839" stopIfTrue="1"/>
  </conditionalFormatting>
  <conditionalFormatting sqref="D393:D404">
    <cfRule type="duplicateValues" dxfId="2" priority="837" stopIfTrue="1"/>
  </conditionalFormatting>
  <conditionalFormatting sqref="D442:D450">
    <cfRule type="duplicateValues" dxfId="2" priority="668" stopIfTrue="1"/>
  </conditionalFormatting>
  <conditionalFormatting sqref="D462:D469">
    <cfRule type="duplicateValues" dxfId="2" priority="1123" stopIfTrue="1"/>
  </conditionalFormatting>
  <conditionalFormatting sqref="D503:D504">
    <cfRule type="duplicateValues" dxfId="2" priority="21" stopIfTrue="1"/>
  </conditionalFormatting>
  <conditionalFormatting sqref="M192:M195">
    <cfRule type="cellIs" dxfId="1" priority="963" stopIfTrue="1" operator="notEqual">
      <formula>#REF!</formula>
    </cfRule>
    <cfRule type="cellIs" dxfId="1" priority="964" stopIfTrue="1" operator="equal">
      <formula>#REF!</formula>
    </cfRule>
  </conditionalFormatting>
  <conditionalFormatting sqref="O19:O20">
    <cfRule type="cellIs" dxfId="0" priority="943" stopIfTrue="1" operator="notEqual">
      <formula>#REF!</formula>
    </cfRule>
  </conditionalFormatting>
  <conditionalFormatting sqref="O113:O114">
    <cfRule type="cellIs" dxfId="1" priority="458" stopIfTrue="1" operator="equal">
      <formula>#REF!</formula>
    </cfRule>
    <cfRule type="cellIs" dxfId="1" priority="461" stopIfTrue="1" operator="notEqual">
      <formula>#REF!</formula>
    </cfRule>
  </conditionalFormatting>
  <conditionalFormatting sqref="O120:O123">
    <cfRule type="cellIs" dxfId="1" priority="195" stopIfTrue="1" operator="notEqual">
      <formula>#REF!</formula>
    </cfRule>
    <cfRule type="cellIs" dxfId="1" priority="196" stopIfTrue="1" operator="equal">
      <formula>#REF!</formula>
    </cfRule>
    <cfRule type="cellIs" dxfId="0" priority="197" stopIfTrue="1" operator="notEqual">
      <formula>#REF!</formula>
    </cfRule>
  </conditionalFormatting>
  <conditionalFormatting sqref="O197:O200">
    <cfRule type="cellIs" dxfId="1" priority="918" stopIfTrue="1" operator="notEqual">
      <formula>#REF!</formula>
    </cfRule>
    <cfRule type="cellIs" dxfId="1" priority="919" stopIfTrue="1" operator="equal">
      <formula>#REF!</formula>
    </cfRule>
    <cfRule type="cellIs" dxfId="0" priority="920" stopIfTrue="1" operator="notEqual">
      <formula>#REF!</formula>
    </cfRule>
  </conditionalFormatting>
  <conditionalFormatting sqref="O229:O230">
    <cfRule type="cellIs" dxfId="1" priority="41" stopIfTrue="1" operator="notEqual">
      <formula>#REF!</formula>
    </cfRule>
    <cfRule type="cellIs" dxfId="1" priority="42" stopIfTrue="1" operator="equal">
      <formula>#REF!</formula>
    </cfRule>
    <cfRule type="cellIs" dxfId="0" priority="43" stopIfTrue="1" operator="notEqual">
      <formula>#REF!</formula>
    </cfRule>
  </conditionalFormatting>
  <conditionalFormatting sqref="P8:P9">
    <cfRule type="cellIs" dxfId="1" priority="339" stopIfTrue="1" operator="notEqual">
      <formula>#REF!</formula>
    </cfRule>
    <cfRule type="cellIs" dxfId="0" priority="340" stopIfTrue="1" operator="notEqual">
      <formula>#REF!</formula>
    </cfRule>
  </conditionalFormatting>
  <conditionalFormatting sqref="R410:R411">
    <cfRule type="duplicateValues" dxfId="2" priority="229" stopIfTrue="1"/>
  </conditionalFormatting>
  <conditionalFormatting sqref="R414:R415">
    <cfRule type="duplicateValues" dxfId="2" priority="574" stopIfTrue="1"/>
  </conditionalFormatting>
  <conditionalFormatting sqref="R416:R417">
    <cfRule type="duplicateValues" dxfId="2" priority="573" stopIfTrue="1"/>
  </conditionalFormatting>
  <conditionalFormatting sqref="R420:R421">
    <cfRule type="duplicateValues" dxfId="2" priority="570" stopIfTrue="1"/>
  </conditionalFormatting>
  <conditionalFormatting sqref="R422:R424">
    <cfRule type="duplicateValues" dxfId="2" priority="1046" stopIfTrue="1"/>
  </conditionalFormatting>
  <conditionalFormatting sqref="R428:R429">
    <cfRule type="duplicateValues" dxfId="2" priority="567" stopIfTrue="1"/>
  </conditionalFormatting>
  <conditionalFormatting sqref="R442:R443">
    <cfRule type="duplicateValues" dxfId="2" priority="553" stopIfTrue="1"/>
  </conditionalFormatting>
  <conditionalFormatting sqref="R444:R445">
    <cfRule type="duplicateValues" dxfId="2" priority="552" stopIfTrue="1"/>
  </conditionalFormatting>
  <conditionalFormatting sqref="R446:R447">
    <cfRule type="duplicateValues" dxfId="2" priority="551" stopIfTrue="1"/>
  </conditionalFormatting>
  <conditionalFormatting sqref="R454:R455">
    <cfRule type="duplicateValues" dxfId="2" priority="547" stopIfTrue="1"/>
  </conditionalFormatting>
  <conditionalFormatting sqref="R466:R469">
    <cfRule type="duplicateValues" dxfId="2" priority="1121" stopIfTrue="1"/>
  </conditionalFormatting>
  <conditionalFormatting sqref="S417:S418">
    <cfRule type="duplicateValues" dxfId="2" priority="735" stopIfTrue="1"/>
  </conditionalFormatting>
  <conditionalFormatting sqref="S532:S534">
    <cfRule type="cellIs" dxfId="1" priority="191" stopIfTrue="1" operator="notEqual">
      <formula>#REF!</formula>
    </cfRule>
    <cfRule type="cellIs" dxfId="1" priority="192" stopIfTrue="1" operator="equal">
      <formula>#REF!</formula>
    </cfRule>
    <cfRule type="cellIs" dxfId="0" priority="190" stopIfTrue="1" operator="notEqual">
      <formula>#REF!</formula>
    </cfRule>
  </conditionalFormatting>
  <conditionalFormatting sqref="T397:T398">
    <cfRule type="duplicateValues" dxfId="2" priority="817" stopIfTrue="1"/>
  </conditionalFormatting>
  <conditionalFormatting sqref="U296:U297">
    <cfRule type="duplicateValues" dxfId="2" priority="850" stopIfTrue="1"/>
  </conditionalFormatting>
  <conditionalFormatting sqref="U304:U313">
    <cfRule type="duplicateValues" dxfId="2" priority="876" stopIfTrue="1"/>
  </conditionalFormatting>
  <conditionalFormatting sqref="U315:U319">
    <cfRule type="duplicateValues" dxfId="2" priority="851" stopIfTrue="1"/>
  </conditionalFormatting>
  <conditionalFormatting sqref="U320:U324">
    <cfRule type="duplicateValues" dxfId="2" priority="875" stopIfTrue="1"/>
  </conditionalFormatting>
  <conditionalFormatting sqref="U326:U353">
    <cfRule type="duplicateValues" dxfId="2" priority="874" stopIfTrue="1"/>
  </conditionalFormatting>
  <conditionalFormatting sqref="U380:U381">
    <cfRule type="duplicateValues" dxfId="2" priority="825" stopIfTrue="1"/>
  </conditionalFormatting>
  <conditionalFormatting sqref="U382:U383">
    <cfRule type="duplicateValues" dxfId="2" priority="824" stopIfTrue="1"/>
  </conditionalFormatting>
  <conditionalFormatting sqref="U384:U385">
    <cfRule type="duplicateValues" dxfId="2" priority="823" stopIfTrue="1"/>
  </conditionalFormatting>
  <conditionalFormatting sqref="U386:U387">
    <cfRule type="duplicateValues" dxfId="2" priority="822" stopIfTrue="1"/>
  </conditionalFormatting>
  <conditionalFormatting sqref="U388:U389">
    <cfRule type="duplicateValues" dxfId="2" priority="821" stopIfTrue="1"/>
  </conditionalFormatting>
  <conditionalFormatting sqref="U390:U391">
    <cfRule type="duplicateValues" dxfId="2" priority="820" stopIfTrue="1"/>
  </conditionalFormatting>
  <conditionalFormatting sqref="O15:P16 O8:P11 C217 C137 C198:D199 C196:C197 C75:D76 C18:D20 C187:D191 C5:D5 C146:D161 C528 C530 C532:C534 C119:D123 C203:D204 C8:D12 C13 C14:D16 C95:D96 C23:D59 C229:D230 C200:C202">
    <cfRule type="cellIs" dxfId="1" priority="890" stopIfTrue="1" operator="notEqual">
      <formula>#REF!</formula>
    </cfRule>
  </conditionalFormatting>
  <conditionalFormatting sqref="Q59 P18:Q18 P28:Q28 O33:P36 O29:O32 O37:O38 O19:O20 O39:P46 O15:P16 O48:P48 O50:P57 O8:P11 C217 C137 C198:D199 C196:C197 C75:D76 C18:D20 C187:D191 C5:D5 C158:D161 C528 C113:D114 C530 C532:C534 C119:D123 C203:D204 C8:D12 C13 C14:D16 C95:D96 C23:D59 C229:D230 C200:C202">
    <cfRule type="cellIs" dxfId="1" priority="891" stopIfTrue="1" operator="equal">
      <formula>#REF!</formula>
    </cfRule>
  </conditionalFormatting>
  <conditionalFormatting sqref="D217 Q59 L28:M28 P28:Q28 L18:M18 P18:Q18 O51:P57 C137 C25:D28 C187:D189 C5:D5 C146:D161 C16:D20 C14:D14 C58:D58 C95:D96 C47:D47 C49:D49">
    <cfRule type="cellIs" dxfId="0" priority="893" stopIfTrue="1" operator="notEqual">
      <formula>#REF!</formula>
    </cfRule>
  </conditionalFormatting>
  <conditionalFormatting sqref="L5:M5 L16:M16 O16:P16 O5:P5 P6:P7">
    <cfRule type="cellIs" dxfId="1" priority="953" stopIfTrue="1" operator="notEqual">
      <formula>#REF!</formula>
    </cfRule>
  </conditionalFormatting>
  <conditionalFormatting sqref="O5:P5 P6:P7">
    <cfRule type="cellIs" dxfId="1" priority="955" stopIfTrue="1" operator="equal">
      <formula>#REF!</formula>
    </cfRule>
  </conditionalFormatting>
  <conditionalFormatting sqref="L14:M14 P14:Q14">
    <cfRule type="cellIs" dxfId="1" priority="95" stopIfTrue="1" operator="notEqual">
      <formula>#REF!</formula>
    </cfRule>
    <cfRule type="cellIs" dxfId="0" priority="98" stopIfTrue="1" operator="notEqual">
      <formula>#REF!</formula>
    </cfRule>
  </conditionalFormatting>
  <conditionalFormatting sqref="L16:M16 O16:P16">
    <cfRule type="cellIs" dxfId="0" priority="934" stopIfTrue="1" operator="notEqual">
      <formula>#REF!</formula>
    </cfRule>
  </conditionalFormatting>
  <conditionalFormatting sqref="L17:M17 O17:P17 C17:D17">
    <cfRule type="cellIs" dxfId="1" priority="517" stopIfTrue="1" operator="notEqual">
      <formula>#REF!</formula>
    </cfRule>
  </conditionalFormatting>
  <conditionalFormatting sqref="O17:P17 C17:D17">
    <cfRule type="cellIs" dxfId="1" priority="518" stopIfTrue="1" operator="equal">
      <formula>#REF!</formula>
    </cfRule>
  </conditionalFormatting>
  <conditionalFormatting sqref="L17:M17 O17:P17">
    <cfRule type="cellIs" dxfId="0" priority="519" stopIfTrue="1" operator="notEqual">
      <formula>#REF!</formula>
    </cfRule>
  </conditionalFormatting>
  <conditionalFormatting sqref="Q59 L18:M18 P18:Q18 O19:O20 O51:P57">
    <cfRule type="cellIs" dxfId="1" priority="887" stopIfTrue="1" operator="notEqual">
      <formula>#REF!</formula>
    </cfRule>
  </conditionalFormatting>
  <conditionalFormatting sqref="L19:M22">
    <cfRule type="cellIs" dxfId="1" priority="940" stopIfTrue="1" operator="notEqual">
      <formula>#REF!</formula>
    </cfRule>
    <cfRule type="cellIs" dxfId="0" priority="941" stopIfTrue="1" operator="notEqual">
      <formula>#REF!</formula>
    </cfRule>
  </conditionalFormatting>
  <conditionalFormatting sqref="L25:M27">
    <cfRule type="cellIs" dxfId="1" priority="927" stopIfTrue="1" operator="notEqual">
      <formula>#REF!</formula>
    </cfRule>
    <cfRule type="cellIs" dxfId="0" priority="928" stopIfTrue="1" operator="notEqual">
      <formula>#REF!</formula>
    </cfRule>
  </conditionalFormatting>
  <conditionalFormatting sqref="D217 L28:M28 P28:Q28">
    <cfRule type="cellIs" dxfId="1" priority="892" stopIfTrue="1" operator="notEqual">
      <formula>#REF!</formula>
    </cfRule>
  </conditionalFormatting>
  <conditionalFormatting sqref="O33:P36 O29:O32 O39:P46 O37:O38 O48:P48 O50:P50">
    <cfRule type="cellIs" dxfId="1" priority="962" stopIfTrue="1" operator="notEqual">
      <formula>#REF!</formula>
    </cfRule>
  </conditionalFormatting>
  <conditionalFormatting sqref="L47:M47 P47:Q47">
    <cfRule type="cellIs" dxfId="1" priority="60" stopIfTrue="1" operator="notEqual">
      <formula>#REF!</formula>
    </cfRule>
    <cfRule type="cellIs" dxfId="0" priority="63" stopIfTrue="1" operator="notEqual">
      <formula>#REF!</formula>
    </cfRule>
  </conditionalFormatting>
  <conditionalFormatting sqref="L49:M49 P49:Q49">
    <cfRule type="cellIs" dxfId="1" priority="53" stopIfTrue="1" operator="notEqual">
      <formula>#REF!</formula>
    </cfRule>
    <cfRule type="cellIs" dxfId="0" priority="56" stopIfTrue="1" operator="notEqual">
      <formula>#REF!</formula>
    </cfRule>
  </conditionalFormatting>
  <conditionalFormatting sqref="L58:M58 P58:Q58">
    <cfRule type="cellIs" dxfId="1" priority="88" stopIfTrue="1" operator="notEqual">
      <formula>#REF!</formula>
    </cfRule>
    <cfRule type="cellIs" dxfId="0" priority="91" stopIfTrue="1" operator="notEqual">
      <formula>#REF!</formula>
    </cfRule>
  </conditionalFormatting>
  <conditionalFormatting sqref="L95:M95 Q95">
    <cfRule type="cellIs" dxfId="1" priority="81" stopIfTrue="1" operator="notEqual">
      <formula>#REF!</formula>
    </cfRule>
    <cfRule type="cellIs" dxfId="0" priority="84" stopIfTrue="1" operator="notEqual">
      <formula>#REF!</formula>
    </cfRule>
  </conditionalFormatting>
  <conditionalFormatting sqref="L96:M96 P96:Q96">
    <cfRule type="cellIs" dxfId="1" priority="74" stopIfTrue="1" operator="notEqual">
      <formula>#REF!</formula>
    </cfRule>
    <cfRule type="cellIs" dxfId="0" priority="77" stopIfTrue="1" operator="notEqual">
      <formula>#REF!</formula>
    </cfRule>
  </conditionalFormatting>
  <conditionalFormatting sqref="C113:D114">
    <cfRule type="cellIs" dxfId="1" priority="459" stopIfTrue="1" operator="notEqual">
      <formula>#REF!</formula>
    </cfRule>
  </conditionalFormatting>
  <conditionalFormatting sqref="C124:D131">
    <cfRule type="cellIs" dxfId="1" priority="119" stopIfTrue="1" operator="notEqual">
      <formula>#REF!</formula>
    </cfRule>
    <cfRule type="cellIs" dxfId="1" priority="120" stopIfTrue="1" operator="equal">
      <formula>#REF!</formula>
    </cfRule>
  </conditionalFormatting>
  <conditionalFormatting sqref="O124:P131">
    <cfRule type="cellIs" dxfId="1" priority="121" stopIfTrue="1" operator="notEqual">
      <formula>#REF!</formula>
    </cfRule>
    <cfRule type="cellIs" dxfId="1" priority="122" stopIfTrue="1" operator="equal">
      <formula>#REF!</formula>
    </cfRule>
  </conditionalFormatting>
  <conditionalFormatting sqref="M137:P137 F137">
    <cfRule type="cellIs" dxfId="1" priority="908" stopIfTrue="1" operator="notEqual">
      <formula>#REF!</formula>
    </cfRule>
    <cfRule type="cellIs" dxfId="0" priority="909" stopIfTrue="1" operator="notEqual">
      <formula>#REF!</formula>
    </cfRule>
    <cfRule type="cellIs" dxfId="1" priority="911" stopIfTrue="1" operator="equal">
      <formula>#REF!</formula>
    </cfRule>
  </conditionalFormatting>
  <conditionalFormatting sqref="O158:O161 O146:P157 C146:D161">
    <cfRule type="cellIs" dxfId="1" priority="985" stopIfTrue="1" operator="notEqual">
      <formula>#REF!</formula>
    </cfRule>
    <cfRule type="cellIs" dxfId="1" priority="986" stopIfTrue="1" operator="equal">
      <formula>#REF!</formula>
    </cfRule>
  </conditionalFormatting>
  <conditionalFormatting sqref="C162:C177 C146:C157 C179:C181 C183:C185">
    <cfRule type="duplicateValues" dxfId="2" priority="1189" stopIfTrue="1"/>
  </conditionalFormatting>
  <conditionalFormatting sqref="L146:M161 G146:J161 O158:O161 O146:P157">
    <cfRule type="cellIs" dxfId="1" priority="978" stopIfTrue="1" operator="notEqual">
      <formula>#REF!</formula>
    </cfRule>
    <cfRule type="cellIs" dxfId="0" priority="979" stopIfTrue="1" operator="notEqual">
      <formula>#REF!</formula>
    </cfRule>
  </conditionalFormatting>
  <conditionalFormatting sqref="G166:J166 L166:M166">
    <cfRule type="cellIs" dxfId="1" priority="976" stopIfTrue="1" operator="notEqual">
      <formula>#REF!</formula>
    </cfRule>
    <cfRule type="cellIs" dxfId="0" priority="977" stopIfTrue="1" operator="notEqual">
      <formula>#REF!</formula>
    </cfRule>
  </conditionalFormatting>
  <conditionalFormatting sqref="G168:J177 L168:M177">
    <cfRule type="cellIs" dxfId="1" priority="974" stopIfTrue="1" operator="notEqual">
      <formula>#REF!</formula>
    </cfRule>
    <cfRule type="cellIs" dxfId="0" priority="975" stopIfTrue="1" operator="notEqual">
      <formula>#REF!</formula>
    </cfRule>
  </conditionalFormatting>
  <conditionalFormatting sqref="G178:J178 L178:M178">
    <cfRule type="cellIs" dxfId="1" priority="11" stopIfTrue="1" operator="notEqual">
      <formula>#REF!</formula>
    </cfRule>
    <cfRule type="cellIs" dxfId="0" priority="12" stopIfTrue="1" operator="notEqual">
      <formula>#REF!</formula>
    </cfRule>
  </conditionalFormatting>
  <conditionalFormatting sqref="G179:J181 L179:M181">
    <cfRule type="cellIs" dxfId="1" priority="972" stopIfTrue="1" operator="notEqual">
      <formula>#REF!</formula>
    </cfRule>
    <cfRule type="cellIs" dxfId="0" priority="973" stopIfTrue="1" operator="notEqual">
      <formula>#REF!</formula>
    </cfRule>
  </conditionalFormatting>
  <conditionalFormatting sqref="G182:J182 L182:M182">
    <cfRule type="cellIs" dxfId="1" priority="8" stopIfTrue="1" operator="notEqual">
      <formula>#REF!</formula>
    </cfRule>
    <cfRule type="cellIs" dxfId="0" priority="9" stopIfTrue="1" operator="notEqual">
      <formula>#REF!</formula>
    </cfRule>
  </conditionalFormatting>
  <conditionalFormatting sqref="G183:J185 L183:M185 L187:M189 G187:J189">
    <cfRule type="cellIs" dxfId="1" priority="970" stopIfTrue="1" operator="notEqual">
      <formula>#REF!</formula>
    </cfRule>
    <cfRule type="cellIs" dxfId="0" priority="971" stopIfTrue="1" operator="notEqual">
      <formula>#REF!</formula>
    </cfRule>
  </conditionalFormatting>
  <conditionalFormatting sqref="C203:D204 C201:C202">
    <cfRule type="cellIs" dxfId="1" priority="154" stopIfTrue="1" operator="notEqual">
      <formula>#REF!</formula>
    </cfRule>
    <cfRule type="cellIs" dxfId="0" priority="155" stopIfTrue="1" operator="notEqual">
      <formula>#REF!</formula>
    </cfRule>
  </conditionalFormatting>
  <conditionalFormatting sqref="L201:M204 G201:J204 O201:P202 O203:O204">
    <cfRule type="cellIs" dxfId="1" priority="156" stopIfTrue="1" operator="notEqual">
      <formula>#REF!</formula>
    </cfRule>
    <cfRule type="cellIs" dxfId="0" priority="157" stopIfTrue="1" operator="notEqual">
      <formula>#REF!</formula>
    </cfRule>
  </conditionalFormatting>
  <conditionalFormatting sqref="O201:P202 O203:O204">
    <cfRule type="cellIs" dxfId="1" priority="159" stopIfTrue="1" operator="notEqual">
      <formula>#REF!</formula>
    </cfRule>
    <cfRule type="cellIs" dxfId="1" priority="160" stopIfTrue="1" operator="equal">
      <formula>#REF!</formula>
    </cfRule>
  </conditionalFormatting>
  <conditionalFormatting sqref="G207:J209 L207:M209">
    <cfRule type="cellIs" dxfId="1" priority="137" stopIfTrue="1" operator="notEqual">
      <formula>#REF!</formula>
    </cfRule>
    <cfRule type="cellIs" dxfId="0" priority="138" stopIfTrue="1" operator="notEqual">
      <formula>#REF!</formula>
    </cfRule>
  </conditionalFormatting>
  <conditionalFormatting sqref="G210:J210 L210:M210">
    <cfRule type="cellIs" dxfId="1" priority="4" stopIfTrue="1" operator="notEqual">
      <formula>#REF!</formula>
    </cfRule>
    <cfRule type="cellIs" dxfId="0" priority="5" stopIfTrue="1" operator="notEqual">
      <formula>#REF!</formula>
    </cfRule>
  </conditionalFormatting>
  <conditionalFormatting sqref="G211:J212 L211:M212">
    <cfRule type="cellIs" dxfId="1" priority="17" stopIfTrue="1" operator="notEqual">
      <formula>#REF!</formula>
    </cfRule>
    <cfRule type="cellIs" dxfId="0" priority="18" stopIfTrue="1" operator="notEqual">
      <formula>#REF!</formula>
    </cfRule>
  </conditionalFormatting>
  <conditionalFormatting sqref="G213:J213 L213:M213">
    <cfRule type="cellIs" dxfId="1" priority="1" stopIfTrue="1" operator="notEqual">
      <formula>#REF!</formula>
    </cfRule>
    <cfRule type="cellIs" dxfId="0" priority="2" stopIfTrue="1" operator="notEqual">
      <formula>#REF!</formula>
    </cfRule>
  </conditionalFormatting>
  <conditionalFormatting sqref="G214:J215 L214:M215">
    <cfRule type="cellIs" dxfId="1" priority="14" stopIfTrue="1" operator="notEqual">
      <formula>#REF!</formula>
    </cfRule>
    <cfRule type="cellIs" dxfId="0" priority="15" stopIfTrue="1" operator="notEqual">
      <formula>#REF!</formula>
    </cfRule>
  </conditionalFormatting>
  <conditionalFormatting sqref="M217 F217 O217:P217">
    <cfRule type="cellIs" dxfId="1" priority="896" stopIfTrue="1" operator="notEqual">
      <formula>#REF!</formula>
    </cfRule>
    <cfRule type="cellIs" dxfId="0" priority="897" stopIfTrue="1" operator="notEqual">
      <formula>#REF!</formula>
    </cfRule>
    <cfRule type="cellIs" dxfId="1" priority="899" stopIfTrue="1" operator="equal">
      <formula>#REF!</formula>
    </cfRule>
  </conditionalFormatting>
  <conditionalFormatting sqref="U285:U295 U298:U302">
    <cfRule type="duplicateValues" dxfId="2" priority="877" stopIfTrue="1"/>
  </conditionalFormatting>
  <conditionalFormatting sqref="T393:T394 T400:T401">
    <cfRule type="duplicateValues" dxfId="2" priority="819" stopIfTrue="1"/>
  </conditionalFormatting>
  <conditionalFormatting sqref="T395:T396 T402:T403">
    <cfRule type="duplicateValues" dxfId="2" priority="818" stopIfTrue="1"/>
  </conditionalFormatting>
  <conditionalFormatting sqref="D406:D411 D416 D418">
    <cfRule type="duplicateValues" dxfId="2" priority="746" stopIfTrue="1"/>
  </conditionalFormatting>
  <conditionalFormatting sqref="S406 S416">
    <cfRule type="duplicateValues" dxfId="2" priority="736" stopIfTrue="1"/>
  </conditionalFormatting>
  <conditionalFormatting sqref="D436:D437 D420:D424 D412 D426:D429">
    <cfRule type="duplicateValues" dxfId="2" priority="727" stopIfTrue="1"/>
  </conditionalFormatting>
  <conditionalFormatting sqref="S429 S412 S420:S421">
    <cfRule type="duplicateValues" dxfId="2" priority="717" stopIfTrue="1"/>
  </conditionalFormatting>
  <conditionalFormatting sqref="D456 D431:D434 D413">
    <cfRule type="duplicateValues" dxfId="2" priority="1054" stopIfTrue="1"/>
  </conditionalFormatting>
  <conditionalFormatting sqref="C422:C424 C427">
    <cfRule type="duplicateValues" dxfId="2" priority="1035" stopIfTrue="1"/>
  </conditionalFormatting>
  <conditionalFormatting sqref="S422:S424 S427">
    <cfRule type="duplicateValues" dxfId="2" priority="1041" stopIfTrue="1"/>
  </conditionalFormatting>
  <conditionalFormatting sqref="D452:D455 D457:D459">
    <cfRule type="duplicateValues" dxfId="2" priority="689" stopIfTrue="1"/>
  </conditionalFormatting>
  <conditionalFormatting sqref="M528 F528 O528:P528">
    <cfRule type="cellIs" dxfId="1" priority="479" stopIfTrue="1" operator="notEqual">
      <formula>#REF!</formula>
    </cfRule>
    <cfRule type="cellIs" dxfId="0" priority="480" stopIfTrue="1" operator="notEqual">
      <formula>#REF!</formula>
    </cfRule>
    <cfRule type="cellIs" dxfId="1" priority="482" stopIfTrue="1" operator="equal">
      <formula>#REF!</formula>
    </cfRule>
  </conditionalFormatting>
  <conditionalFormatting sqref="M530 F530 O530:P530">
    <cfRule type="cellIs" dxfId="1" priority="447" stopIfTrue="1" operator="notEqual">
      <formula>#REF!</formula>
    </cfRule>
    <cfRule type="cellIs" dxfId="0" priority="448" stopIfTrue="1" operator="notEqual">
      <formula>#REF!</formula>
    </cfRule>
    <cfRule type="cellIs" dxfId="1" priority="450" stopIfTrue="1" operator="equal">
      <formula>#REF!</formula>
    </cfRule>
  </conditionalFormatting>
  <conditionalFormatting sqref="M532:M534 O532:P534 F532:F534">
    <cfRule type="cellIs" dxfId="1" priority="214" stopIfTrue="1" operator="notEqual">
      <formula>#REF!</formula>
    </cfRule>
    <cfRule type="cellIs" dxfId="0" priority="215" stopIfTrue="1" operator="notEqual">
      <formula>#REF!</formula>
    </cfRule>
    <cfRule type="cellIs" dxfId="1" priority="217" stopIfTrue="1" operator="equal">
      <formula>#REF!</formula>
    </cfRule>
  </conditionalFormatting>
  <conditionalFormatting sqref="M536:M538 O536:P538 F536:F538">
    <cfRule type="cellIs" dxfId="1" priority="181" stopIfTrue="1" operator="notEqual">
      <formula>#REF!</formula>
    </cfRule>
    <cfRule type="cellIs" dxfId="0" priority="182" stopIfTrue="1" operator="notEqual">
      <formula>#REF!</formula>
    </cfRule>
    <cfRule type="cellIs" dxfId="1" priority="184" stopIfTrue="1" operator="equal">
      <formula>#REF!</formula>
    </cfRule>
  </conditionalFormatting>
  <conditionalFormatting sqref="R536:U538">
    <cfRule type="cellIs" dxfId="1" priority="167" stopIfTrue="1" operator="notEqual">
      <formula>#REF!</formula>
    </cfRule>
    <cfRule type="cellIs" dxfId="1" priority="168" stopIfTrue="1" operator="equal">
      <formula>#REF!</formula>
    </cfRule>
    <cfRule type="cellIs" dxfId="0" priority="166" stopIfTrue="1" operator="notEqual">
      <formula>#REF!</formula>
    </cfRule>
  </conditionalFormatting>
  <conditionalFormatting sqref="M540 O540:P540 F540">
    <cfRule type="cellIs" dxfId="1" priority="35" stopIfTrue="1" operator="notEqual">
      <formula>#REF!</formula>
    </cfRule>
    <cfRule type="cellIs" dxfId="0" priority="36" stopIfTrue="1" operator="notEqual">
      <formula>#REF!</formula>
    </cfRule>
    <cfRule type="cellIs" dxfId="1" priority="38" stopIfTrue="1" operator="equal">
      <formula>#REF!</formula>
    </cfRule>
  </conditionalFormatting>
  <pageMargins left="0.7" right="0.7" top="0.75" bottom="0.75" header="0.3" footer="0.3"/>
  <pageSetup paperSize="9" orientation="portrait"/>
  <headerFooter/>
  <ignoredErrors>
    <ignoredError sqref="N28" formula="1"/>
  </ignoredErrors>
  <picture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C8"/>
  <sheetViews>
    <sheetView zoomScale="175" zoomScaleNormal="175" workbookViewId="0">
      <selection activeCell="O5" sqref="O5"/>
    </sheetView>
  </sheetViews>
  <sheetFormatPr defaultColWidth="8.81904761904762" defaultRowHeight="12.75" outlineLevelRow="7" outlineLevelCol="2"/>
  <cols>
    <col min="1" max="1" width="19" style="17" customWidth="1"/>
    <col min="2" max="2" width="15.8571428571429" style="17" customWidth="1"/>
    <col min="3" max="3" width="14.4380952380952" style="17" customWidth="1"/>
    <col min="4" max="16384" width="8.81904761904762" style="17"/>
  </cols>
  <sheetData>
    <row r="1" spans="1:3">
      <c r="A1" s="18" t="s">
        <v>2022</v>
      </c>
      <c r="B1" s="18" t="s">
        <v>2023</v>
      </c>
      <c r="C1" s="18" t="s">
        <v>2024</v>
      </c>
    </row>
    <row r="2" spans="1:3">
      <c r="A2" s="18" t="s">
        <v>2025</v>
      </c>
      <c r="B2" s="18" t="s">
        <v>2026</v>
      </c>
      <c r="C2" s="18">
        <v>0</v>
      </c>
    </row>
    <row r="3" spans="1:3">
      <c r="A3" s="18" t="s">
        <v>2027</v>
      </c>
      <c r="B3" s="18" t="s">
        <v>216</v>
      </c>
      <c r="C3" s="18">
        <v>0</v>
      </c>
    </row>
    <row r="4" spans="1:3">
      <c r="A4" s="18" t="s">
        <v>204</v>
      </c>
      <c r="B4" s="18" t="s">
        <v>216</v>
      </c>
      <c r="C4" s="18">
        <v>1</v>
      </c>
    </row>
    <row r="5" spans="1:3">
      <c r="A5" s="18" t="s">
        <v>205</v>
      </c>
      <c r="B5" s="18" t="s">
        <v>216</v>
      </c>
      <c r="C5" s="18">
        <v>2</v>
      </c>
    </row>
    <row r="6" spans="1:3">
      <c r="A6" s="18" t="s">
        <v>206</v>
      </c>
      <c r="B6" s="18" t="s">
        <v>263</v>
      </c>
      <c r="C6" s="18">
        <v>1</v>
      </c>
    </row>
    <row r="7" spans="1:3">
      <c r="A7" s="18" t="s">
        <v>207</v>
      </c>
      <c r="B7" s="18" t="s">
        <v>236</v>
      </c>
      <c r="C7" s="18" t="s">
        <v>2028</v>
      </c>
    </row>
    <row r="8" spans="1:3">
      <c r="A8" s="18" t="s">
        <v>2029</v>
      </c>
      <c r="B8" s="18" t="s">
        <v>2030</v>
      </c>
      <c r="C8" s="18" t="s">
        <v>2031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I57"/>
  <sheetViews>
    <sheetView topLeftCell="A4" workbookViewId="0">
      <selection activeCell="O5" sqref="O5"/>
    </sheetView>
  </sheetViews>
  <sheetFormatPr defaultColWidth="9" defaultRowHeight="12.75"/>
  <cols>
    <col min="1" max="1" width="20.0857142857143" customWidth="1"/>
    <col min="2" max="2" width="16.8190476190476" customWidth="1"/>
    <col min="3" max="3" width="13.6285714285714" customWidth="1"/>
    <col min="4" max="4" width="27.4285714285714" customWidth="1"/>
    <col min="5" max="5" width="12.4571428571429" customWidth="1"/>
    <col min="6" max="6" width="17.6285714285714" customWidth="1"/>
    <col min="7" max="7" width="12.6285714285714" style="2" customWidth="1"/>
    <col min="8" max="8" width="17.8190476190476" customWidth="1"/>
    <col min="9" max="9" width="20.7238095238095" customWidth="1"/>
  </cols>
  <sheetData>
    <row r="1" s="1" customFormat="1" spans="1:9">
      <c r="A1" s="3" t="str">
        <f>'Message ID'!A1</f>
        <v>Message Name</v>
      </c>
      <c r="B1" s="1" t="str">
        <f>'Message ID'!D1</f>
        <v>Periodic Time (ms)</v>
      </c>
      <c r="C1" s="1" t="str">
        <f>'Message ID'!O1</f>
        <v>BBMS_A Store</v>
      </c>
      <c r="D1" s="1" t="s">
        <v>363</v>
      </c>
      <c r="E1" s="1" t="s">
        <v>2032</v>
      </c>
      <c r="F1" s="4" t="s">
        <v>2033</v>
      </c>
      <c r="G1" s="5" t="s">
        <v>2034</v>
      </c>
      <c r="H1" s="4" t="s">
        <v>2035</v>
      </c>
      <c r="I1" s="4" t="s">
        <v>2036</v>
      </c>
    </row>
    <row r="2" spans="1:9">
      <c r="A2" s="6" t="str">
        <f>'Message ID'!A2</f>
        <v>RBMS_SumInfo</v>
      </c>
      <c r="B2" s="7">
        <f>'Message ID'!D2</f>
        <v>1000</v>
      </c>
      <c r="C2" s="7">
        <f>'Message ID'!O2</f>
        <v>1</v>
      </c>
      <c r="D2" s="8">
        <f>VLOOKUP(A2,'Comm Matrix'!A:N,14,FALSE)</f>
        <v>805</v>
      </c>
      <c r="E2" s="8">
        <f t="shared" ref="E2:E10" si="0">IF(OR(ISNUMBER(SEARCH("RBMS",A2)),ISNUMBER(SEARCH("Para",A2))),$F$52,1)</f>
        <v>12</v>
      </c>
      <c r="F2" s="9">
        <f>IF(C2=1,D2*E2*60*60*24*C2/(B2/1000),0)/1024</f>
        <v>815062.5</v>
      </c>
      <c r="G2" s="10" cm="1">
        <f ca="1" t="array" ref="G2">MATCH(FALSE,INDEX(TRIM(INDIRECT("'Comm Matrix'!G"&amp;(MATCH(A2,'Comm Matrix'!A:A,0)+1)&amp;":G1000"))&lt;&gt;"",0),0)-1</f>
        <v>129</v>
      </c>
      <c r="H2" s="9">
        <f ca="1">IF(C2=1,G2*E2*60*60*24*C2/(B2/1000),0)/1024</f>
        <v>130612.5</v>
      </c>
      <c r="I2" s="9">
        <f>IF(C2=1,19*E2*60*60*24*C2/(B2/1000),0)/1024</f>
        <v>19237.5</v>
      </c>
    </row>
    <row r="3" spans="1:9">
      <c r="A3" s="6" t="str">
        <f>'Message ID'!A3</f>
        <v>RBMS_Volt</v>
      </c>
      <c r="B3" s="7">
        <f>'Message ID'!D3</f>
        <v>1000</v>
      </c>
      <c r="C3" s="7">
        <f>'Message ID'!O3</f>
        <v>1</v>
      </c>
      <c r="D3" s="8">
        <f>VLOOKUP(A3,'Comm Matrix'!A:N,14,FALSE)</f>
        <v>2400</v>
      </c>
      <c r="E3" s="8">
        <f t="shared" si="0"/>
        <v>12</v>
      </c>
      <c r="F3" s="9">
        <f t="shared" ref="F3:F46" si="1">IF(C3=1,D3*E3*60*60*24*C3/(B3/1000),0)/1024</f>
        <v>2430000</v>
      </c>
      <c r="G3" s="11">
        <f>416+416+32</f>
        <v>864</v>
      </c>
      <c r="H3" s="9">
        <f t="shared" ref="H3:H46" si="2">IF(C3=1,G3*E3*60*60*24*C3/(B3/1000),0)/1024</f>
        <v>874800</v>
      </c>
      <c r="I3" s="9">
        <f t="shared" ref="I3:I46" si="3">IF(C3=1,19*E3*60*60*24*C3/(B3/1000),0)/1024</f>
        <v>19237.5</v>
      </c>
    </row>
    <row r="4" spans="1:9">
      <c r="A4" s="6" t="str">
        <f>'Message ID'!A4</f>
        <v>RBMS_Temp</v>
      </c>
      <c r="B4" s="7">
        <f>'Message ID'!D4</f>
        <v>1000</v>
      </c>
      <c r="C4" s="7">
        <f>'Message ID'!O4</f>
        <v>1</v>
      </c>
      <c r="D4" s="8">
        <f>VLOOKUP(A4,'Comm Matrix'!A:N,14,FALSE)</f>
        <v>2672</v>
      </c>
      <c r="E4" s="8">
        <f t="shared" si="0"/>
        <v>12</v>
      </c>
      <c r="F4" s="9">
        <f t="shared" si="1"/>
        <v>2705400</v>
      </c>
      <c r="G4" s="11">
        <f>416+64+16+32+32</f>
        <v>560</v>
      </c>
      <c r="H4" s="9">
        <f t="shared" si="2"/>
        <v>567000</v>
      </c>
      <c r="I4" s="9">
        <f t="shared" si="3"/>
        <v>19237.5</v>
      </c>
    </row>
    <row r="5" spans="1:9">
      <c r="A5" s="6" t="str">
        <f>'Message ID'!A5</f>
        <v>RBMS_CellBalSt</v>
      </c>
      <c r="B5" s="7">
        <f>'Message ID'!D5</f>
        <v>10000</v>
      </c>
      <c r="C5" s="7">
        <f>'Message ID'!O5</f>
        <v>1</v>
      </c>
      <c r="D5" s="8">
        <f>VLOOKUP(A5,'Comm Matrix'!A:N,14,FALSE)</f>
        <v>416</v>
      </c>
      <c r="E5" s="8">
        <f t="shared" si="0"/>
        <v>12</v>
      </c>
      <c r="F5" s="9">
        <f t="shared" si="1"/>
        <v>42120</v>
      </c>
      <c r="G5" s="11">
        <f>416</f>
        <v>416</v>
      </c>
      <c r="H5" s="9">
        <f t="shared" si="2"/>
        <v>42120</v>
      </c>
      <c r="I5" s="9">
        <f t="shared" si="3"/>
        <v>1923.75</v>
      </c>
    </row>
    <row r="6" spans="1:9">
      <c r="A6" s="6" t="str">
        <f>'Message ID'!A6</f>
        <v>RBMS_CellSdr</v>
      </c>
      <c r="B6" s="7">
        <f>'Message ID'!D6</f>
        <v>30000</v>
      </c>
      <c r="C6" s="7">
        <f>'Message ID'!O6</f>
        <v>0</v>
      </c>
      <c r="D6" s="8">
        <f>VLOOKUP(A6,'Comm Matrix'!A:N,14,FALSE)</f>
        <v>2080</v>
      </c>
      <c r="E6" s="8">
        <f t="shared" si="0"/>
        <v>12</v>
      </c>
      <c r="F6" s="9">
        <f t="shared" si="1"/>
        <v>0</v>
      </c>
      <c r="G6" s="11">
        <f>416</f>
        <v>416</v>
      </c>
      <c r="H6" s="9">
        <f t="shared" si="2"/>
        <v>0</v>
      </c>
      <c r="I6" s="9">
        <f t="shared" si="3"/>
        <v>0</v>
      </c>
    </row>
    <row r="7" spans="1:9">
      <c r="A7" s="6" t="str">
        <f>'Message ID'!A7</f>
        <v>RBMS_Fault</v>
      </c>
      <c r="B7" s="7">
        <f>'Message ID'!D7</f>
        <v>1000</v>
      </c>
      <c r="C7" s="7">
        <f>'Message ID'!O7</f>
        <v>1</v>
      </c>
      <c r="D7" s="8">
        <f>VLOOKUP(A7,'Comm Matrix'!A:N,14,FALSE)</f>
        <v>200</v>
      </c>
      <c r="E7" s="8">
        <f t="shared" si="0"/>
        <v>12</v>
      </c>
      <c r="F7" s="9">
        <f t="shared" si="1"/>
        <v>202500</v>
      </c>
      <c r="G7" s="11">
        <f>200</f>
        <v>200</v>
      </c>
      <c r="H7" s="9">
        <f t="shared" si="2"/>
        <v>202500</v>
      </c>
      <c r="I7" s="9">
        <f t="shared" si="3"/>
        <v>19237.5</v>
      </c>
    </row>
    <row r="8" spans="1:9">
      <c r="A8" s="6" t="str">
        <f>'Message ID'!A8</f>
        <v>BBMS_SumInfo</v>
      </c>
      <c r="B8" s="7">
        <f>'Message ID'!D8</f>
        <v>1000</v>
      </c>
      <c r="C8" s="7">
        <f>'Message ID'!O8</f>
        <v>1</v>
      </c>
      <c r="D8" s="8">
        <f>VLOOKUP(A8,'Comm Matrix'!A:N,14,FALSE)</f>
        <v>366</v>
      </c>
      <c r="E8" s="8">
        <f t="shared" si="0"/>
        <v>1</v>
      </c>
      <c r="F8" s="9">
        <f t="shared" si="1"/>
        <v>30881.25</v>
      </c>
      <c r="G8" s="10" cm="1">
        <f ca="1" t="array" ref="G8">MATCH(FALSE,INDEX(TRIM(INDIRECT("'Comm Matrix'!G"&amp;(MATCH(A8,'Comm Matrix'!A:A,0)+1)&amp;":G1000"))&lt;&gt;"",0),0)-1</f>
        <v>77</v>
      </c>
      <c r="H8" s="9">
        <f ca="1" t="shared" si="2"/>
        <v>6496.875</v>
      </c>
      <c r="I8" s="9">
        <f t="shared" si="3"/>
        <v>1603.125</v>
      </c>
    </row>
    <row r="9" spans="1:9">
      <c r="A9" s="6" t="str">
        <f>'Message ID'!A9</f>
        <v>BBMS_Fault</v>
      </c>
      <c r="B9" s="7">
        <f>'Message ID'!D9</f>
        <v>1000</v>
      </c>
      <c r="C9" s="7">
        <f>'Message ID'!O9</f>
        <v>1</v>
      </c>
      <c r="D9" s="8">
        <f>VLOOKUP(A9,'Comm Matrix'!A:N,14,FALSE)</f>
        <v>200</v>
      </c>
      <c r="E9" s="8">
        <f t="shared" si="0"/>
        <v>1</v>
      </c>
      <c r="F9" s="9">
        <f t="shared" si="1"/>
        <v>16875</v>
      </c>
      <c r="G9" s="11">
        <f>200</f>
        <v>200</v>
      </c>
      <c r="H9" s="9">
        <f t="shared" si="2"/>
        <v>16875</v>
      </c>
      <c r="I9" s="9">
        <f t="shared" si="3"/>
        <v>1603.125</v>
      </c>
    </row>
    <row r="10" spans="1:9">
      <c r="A10" s="6" t="str">
        <f>'Message ID'!A10</f>
        <v>BBMS_CtlWord</v>
      </c>
      <c r="B10" s="7">
        <f>'Message ID'!D10</f>
        <v>1000</v>
      </c>
      <c r="C10" s="7">
        <f>'Message ID'!O10</f>
        <v>0</v>
      </c>
      <c r="D10" s="8">
        <f>VLOOKUP(A10,'Comm Matrix'!A:N,14,FALSE)</f>
        <v>22</v>
      </c>
      <c r="E10" s="8">
        <f t="shared" si="0"/>
        <v>1</v>
      </c>
      <c r="F10" s="9">
        <f t="shared" si="1"/>
        <v>0</v>
      </c>
      <c r="G10" s="10" cm="1">
        <f ca="1" t="array" ref="G10">MATCH(FALSE,INDEX(TRIM(INDIRECT("'Comm Matrix'!G"&amp;(MATCH(A10,'Comm Matrix'!A:A,0)+1)&amp;":G1000"))&lt;&gt;"",0),0)-1</f>
        <v>12</v>
      </c>
      <c r="H10" s="9">
        <f ca="1" t="shared" si="2"/>
        <v>0</v>
      </c>
      <c r="I10" s="9">
        <f t="shared" si="3"/>
        <v>0</v>
      </c>
    </row>
    <row r="11" spans="1:9">
      <c r="A11" s="6" t="str">
        <f>'Message ID'!A11</f>
        <v>BBMS_CtlWord</v>
      </c>
      <c r="B11" s="7">
        <f>'Message ID'!D11</f>
        <v>1000</v>
      </c>
      <c r="C11" s="7">
        <f>'Message ID'!O11</f>
        <v>1</v>
      </c>
      <c r="D11" s="8">
        <f>VLOOKUP(A11,'Comm Matrix'!A:N,14,FALSE)</f>
        <v>22</v>
      </c>
      <c r="E11" s="12">
        <v>12</v>
      </c>
      <c r="F11" s="9">
        <f t="shared" si="1"/>
        <v>22275</v>
      </c>
      <c r="G11" s="10" cm="1">
        <f ca="1" t="array" ref="G11">MATCH(FALSE,INDEX(TRIM(INDIRECT("'Comm Matrix'!G"&amp;(MATCH(A11,'Comm Matrix'!A:A,0)+1)&amp;":G1000"))&lt;&gt;"",0),0)-1</f>
        <v>12</v>
      </c>
      <c r="H11" s="9">
        <f ca="1" t="shared" si="2"/>
        <v>12150</v>
      </c>
      <c r="I11" s="9">
        <f t="shared" si="3"/>
        <v>19237.5</v>
      </c>
    </row>
    <row r="12" spans="1:9">
      <c r="A12" s="6" t="str">
        <f>'Message ID'!A12</f>
        <v>HMI_CtlWord</v>
      </c>
      <c r="B12" s="7" t="str">
        <f>'Message ID'!D12</f>
        <v>/</v>
      </c>
      <c r="C12" s="7">
        <f>'Message ID'!O12</f>
        <v>0</v>
      </c>
      <c r="D12" s="8">
        <f>VLOOKUP(A12,'Comm Matrix'!A:N,14,FALSE)</f>
        <v>20</v>
      </c>
      <c r="E12" s="8">
        <f>IF(OR(ISNUMBER(SEARCH("RBMS",A12)),ISNUMBER(SEARCH("Para",A12))),$F$52,1)</f>
        <v>1</v>
      </c>
      <c r="F12" s="9">
        <f t="shared" si="1"/>
        <v>0</v>
      </c>
      <c r="G12" s="10" cm="1">
        <f ca="1" t="array" ref="G12">MATCH(FALSE,INDEX(TRIM(INDIRECT("'Comm Matrix'!G"&amp;(MATCH(A12,'Comm Matrix'!A:A,0)+1)&amp;":G1000"))&lt;&gt;"",0),0)-1</f>
        <v>13</v>
      </c>
      <c r="H12" s="9">
        <f ca="1" t="shared" si="2"/>
        <v>0</v>
      </c>
      <c r="I12" s="9">
        <f t="shared" si="3"/>
        <v>0</v>
      </c>
    </row>
    <row r="13" spans="1:9">
      <c r="A13" s="6" t="str">
        <f>'Message ID'!A13</f>
        <v>HMI_TMSCtrlWord</v>
      </c>
      <c r="B13" s="7" t="str">
        <f>'Message ID'!D13</f>
        <v>/</v>
      </c>
      <c r="C13" s="7">
        <f>'Message ID'!O13</f>
        <v>0</v>
      </c>
      <c r="D13" s="8">
        <f>VLOOKUP(A13,'Comm Matrix'!A:N,14,FALSE)</f>
        <v>7</v>
      </c>
      <c r="E13" s="8">
        <f>IF(OR(ISNUMBER(SEARCH("RBMS",A13)),ISNUMBER(SEARCH("Para",A13))),$F$52,1)</f>
        <v>1</v>
      </c>
      <c r="F13" s="9">
        <f t="shared" si="1"/>
        <v>0</v>
      </c>
      <c r="G13" s="10" cm="1">
        <f ca="1" t="array" ref="G13">MATCH(FALSE,INDEX(TRIM(INDIRECT("'Comm Matrix'!G"&amp;(MATCH(A13,'Comm Matrix'!A:A,0)+1)&amp;":G1000"))&lt;&gt;"",0),0)-1</f>
        <v>4</v>
      </c>
      <c r="H13" s="9">
        <f ca="1" t="shared" si="2"/>
        <v>0</v>
      </c>
      <c r="I13" s="9">
        <f t="shared" si="3"/>
        <v>0</v>
      </c>
    </row>
    <row r="14" spans="1:9">
      <c r="A14" s="6" t="str">
        <f>'Message ID'!A14</f>
        <v>HMI_TMSCtrlWord</v>
      </c>
      <c r="B14" s="7" t="str">
        <f>'Message ID'!D14</f>
        <v>/</v>
      </c>
      <c r="C14" s="7">
        <f>'Message ID'!O14</f>
        <v>0</v>
      </c>
      <c r="D14" s="8">
        <f>VLOOKUP(A14,'Comm Matrix'!A:N,14,FALSE)</f>
        <v>7</v>
      </c>
      <c r="E14" s="13">
        <v>12</v>
      </c>
      <c r="F14" s="9">
        <f t="shared" ref="F14" si="4">IF(C14=1,D14*E14*60*60*24*C14/(B14/1000),0)/1024</f>
        <v>0</v>
      </c>
      <c r="G14" s="10" cm="1">
        <f ca="1" t="array" ref="G14">MATCH(FALSE,INDEX(TRIM(INDIRECT("'Comm Matrix'!G"&amp;(MATCH(A14,'Comm Matrix'!A:A,0)+1)&amp;":G1000"))&lt;&gt;"",0),0)-1</f>
        <v>4</v>
      </c>
      <c r="H14" s="9">
        <f ca="1" t="shared" ref="H14" si="5">IF(C14=1,G14*E14*60*60*24*C14/(B14/1000),0)/1024</f>
        <v>0</v>
      </c>
      <c r="I14" s="9">
        <f t="shared" ref="I14" si="6">IF(C14=1,19*E14*60*60*24*C14/(B14/1000),0)/1024</f>
        <v>0</v>
      </c>
    </row>
    <row r="15" spans="1:9">
      <c r="A15" s="6" t="str">
        <f>'Message ID'!A15</f>
        <v>HMI_BankDOCtrl</v>
      </c>
      <c r="B15" s="7" t="str">
        <f>'Message ID'!D15</f>
        <v>/</v>
      </c>
      <c r="C15" s="7">
        <f>'Message ID'!O15</f>
        <v>0</v>
      </c>
      <c r="D15" s="8">
        <f>VLOOKUP(A15,'Comm Matrix'!A:N,14,FALSE)</f>
        <v>1</v>
      </c>
      <c r="E15" s="8">
        <f>IF(OR(ISNUMBER(SEARCH("RBMS",A15)),ISNUMBER(SEARCH("Para",A15))),$F$52,1)</f>
        <v>1</v>
      </c>
      <c r="F15" s="9">
        <f t="shared" si="1"/>
        <v>0</v>
      </c>
      <c r="G15" s="10" cm="1">
        <f ca="1" t="array" ref="G15">MATCH(FALSE,INDEX(TRIM(INDIRECT("'Comm Matrix'!G"&amp;(MATCH(A15,'Comm Matrix'!A:A,0)+1)&amp;":G1000"))&lt;&gt;"",0),0)-1</f>
        <v>1</v>
      </c>
      <c r="H15" s="9">
        <f ca="1" t="shared" si="2"/>
        <v>0</v>
      </c>
      <c r="I15" s="9">
        <f t="shared" si="3"/>
        <v>0</v>
      </c>
    </row>
    <row r="16" spans="1:9">
      <c r="A16" s="6" t="str">
        <f>'Message ID'!A16</f>
        <v>HMI_RackCaliCtrl</v>
      </c>
      <c r="B16" s="7" t="str">
        <f>'Message ID'!D16</f>
        <v>/</v>
      </c>
      <c r="C16" s="7">
        <f>'Message ID'!O16</f>
        <v>0</v>
      </c>
      <c r="D16" s="8">
        <f>VLOOKUP(A16,'Comm Matrix'!A:N,14,FALSE)</f>
        <v>42</v>
      </c>
      <c r="E16" s="8">
        <f>IF(OR(ISNUMBER(SEARCH("RBMS",A16)),ISNUMBER(SEARCH("Para",A16))),$F$52,1)</f>
        <v>1</v>
      </c>
      <c r="F16" s="9">
        <f t="shared" si="1"/>
        <v>0</v>
      </c>
      <c r="G16" s="10" cm="1">
        <f ca="1" t="array" ref="G16">MATCH(FALSE,INDEX(TRIM(INDIRECT("'Comm Matrix'!G"&amp;(MATCH(A16,'Comm Matrix'!A:A,0)+1)&amp;":G1000"))&lt;&gt;"",0),0)-1</f>
        <v>11</v>
      </c>
      <c r="H16" s="9">
        <f ca="1" t="shared" si="2"/>
        <v>0</v>
      </c>
      <c r="I16" s="9">
        <f t="shared" si="3"/>
        <v>0</v>
      </c>
    </row>
    <row r="17" spans="1:9">
      <c r="A17" s="6" t="str">
        <f>'Message ID'!A17</f>
        <v>HMI_RBMSRlyCtrl</v>
      </c>
      <c r="B17" s="7" t="str">
        <f>'Message ID'!D17</f>
        <v>/</v>
      </c>
      <c r="C17" s="7">
        <f>'Message ID'!O17</f>
        <v>0</v>
      </c>
      <c r="D17" s="8">
        <f>VLOOKUP(A17,'Comm Matrix'!A:N,14,FALSE)</f>
        <v>7</v>
      </c>
      <c r="E17" s="8">
        <f>IF(OR(ISNUMBER(SEARCH("RBMS",A17)),ISNUMBER(SEARCH("Para",A17))),$F$52,1)</f>
        <v>12</v>
      </c>
      <c r="F17" s="9">
        <f t="shared" si="1"/>
        <v>0</v>
      </c>
      <c r="G17" s="10" cm="1">
        <f ca="1" t="array" ref="G17">MATCH(FALSE,INDEX(TRIM(INDIRECT("'Comm Matrix'!G"&amp;(MATCH(A17,'Comm Matrix'!A:A,0)+1)&amp;":G1000"))&lt;&gt;"",0),0)-1</f>
        <v>3</v>
      </c>
      <c r="H17" s="9">
        <f ca="1" t="shared" si="2"/>
        <v>0</v>
      </c>
      <c r="I17" s="9">
        <f t="shared" si="3"/>
        <v>0</v>
      </c>
    </row>
    <row r="18" spans="1:9">
      <c r="A18" s="6" t="str">
        <f>'Message ID'!A18</f>
        <v>TMS_SumInfo</v>
      </c>
      <c r="B18" s="7">
        <f>'Message ID'!D18</f>
        <v>1000</v>
      </c>
      <c r="C18" s="7">
        <f>'Message ID'!O18</f>
        <v>1</v>
      </c>
      <c r="D18" s="8">
        <f>VLOOKUP(A18,'Comm Matrix'!A:N,14,FALSE)</f>
        <v>34</v>
      </c>
      <c r="E18" s="8">
        <f>IF(OR(ISNUMBER(SEARCH("RBMS",A18)),ISNUMBER(SEARCH("Para",A18))),$F$52,1)</f>
        <v>1</v>
      </c>
      <c r="F18" s="9">
        <f t="shared" si="1"/>
        <v>2868.75</v>
      </c>
      <c r="G18" s="10" cm="1">
        <f ca="1" t="array" ref="G18">MATCH(FALSE,INDEX(TRIM(INDIRECT("'Comm Matrix'!G"&amp;(MATCH(A18,'Comm Matrix'!A:A,0)+1)&amp;":G1000"))&lt;&gt;"",0),0)-1</f>
        <v>15</v>
      </c>
      <c r="H18" s="9">
        <f ca="1" t="shared" si="2"/>
        <v>1265.625</v>
      </c>
      <c r="I18" s="9">
        <f t="shared" si="3"/>
        <v>1603.125</v>
      </c>
    </row>
    <row r="19" spans="1:9">
      <c r="A19" s="6" t="str">
        <f>'Message ID'!A19</f>
        <v>TMS_SumInfo</v>
      </c>
      <c r="B19" s="7">
        <f>'Message ID'!D19</f>
        <v>1000</v>
      </c>
      <c r="C19" s="7">
        <f>'Message ID'!O19</f>
        <v>1</v>
      </c>
      <c r="D19" s="8">
        <f>VLOOKUP(A19,'Comm Matrix'!A:N,14,FALSE)</f>
        <v>34</v>
      </c>
      <c r="E19" s="13">
        <v>12</v>
      </c>
      <c r="F19" s="9">
        <f t="shared" ref="F19" si="7">IF(C19=1,D19*E19*60*60*24*C19/(B19/1000),0)/1024</f>
        <v>34425</v>
      </c>
      <c r="G19" s="10" cm="1">
        <f ca="1" t="array" ref="G19">MATCH(FALSE,INDEX(TRIM(INDIRECT("'Comm Matrix'!G"&amp;(MATCH(A19,'Comm Matrix'!A:A,0)+1)&amp;":G1000"))&lt;&gt;"",0),0)-1</f>
        <v>15</v>
      </c>
      <c r="H19" s="9">
        <f ca="1" t="shared" ref="H19" si="8">IF(C19=1,G19*E19*60*60*24*C19/(B19/1000),0)/1024</f>
        <v>15187.5</v>
      </c>
      <c r="I19" s="9">
        <f t="shared" ref="I19" si="9">IF(C19=1,19*E19*60*60*24*C19/(B19/1000),0)/1024</f>
        <v>19237.5</v>
      </c>
    </row>
    <row r="20" spans="1:9">
      <c r="A20" s="6" t="str">
        <f>'Message ID'!A20</f>
        <v>ParaThr_CellV</v>
      </c>
      <c r="B20" s="7" t="str">
        <f>'Message ID'!D20</f>
        <v>/</v>
      </c>
      <c r="C20" s="7">
        <f>'Message ID'!O20</f>
        <v>0</v>
      </c>
      <c r="D20" s="8">
        <f>VLOOKUP(A20,'Comm Matrix'!A:N,14,FALSE)</f>
        <v>67</v>
      </c>
      <c r="E20" s="8">
        <f t="shared" ref="E20:E31" si="10">IF(OR(ISNUMBER(SEARCH("RBMS",A20)),ISNUMBER(SEARCH("Para",A20))),$F$52,1)</f>
        <v>12</v>
      </c>
      <c r="F20" s="9">
        <f t="shared" si="1"/>
        <v>0</v>
      </c>
      <c r="G20" s="10" cm="1">
        <f ca="1" t="array" ref="G20">MATCH(FALSE,INDEX(TRIM(INDIRECT("'Comm Matrix'!G"&amp;(MATCH(A20,'Comm Matrix'!A:A,0)+1)&amp;":G1000"))&lt;&gt;"",0),0)-1</f>
        <v>18</v>
      </c>
      <c r="H20" s="9">
        <f ca="1" t="shared" si="2"/>
        <v>0</v>
      </c>
      <c r="I20" s="9">
        <f t="shared" si="3"/>
        <v>0</v>
      </c>
    </row>
    <row r="21" spans="1:9">
      <c r="A21" s="6" t="str">
        <f>'Message ID'!A21</f>
        <v>ParaThr_CellV</v>
      </c>
      <c r="B21" s="7" t="str">
        <f>'Message ID'!D21</f>
        <v>/</v>
      </c>
      <c r="C21" s="7">
        <f>'Message ID'!O21</f>
        <v>0</v>
      </c>
      <c r="D21" s="8">
        <f>VLOOKUP(A21,'Comm Matrix'!A:N,14,FALSE)</f>
        <v>67</v>
      </c>
      <c r="E21" s="8">
        <f t="shared" si="10"/>
        <v>12</v>
      </c>
      <c r="F21" s="9">
        <f t="shared" si="1"/>
        <v>0</v>
      </c>
      <c r="G21" s="10" cm="1">
        <f ca="1" t="array" ref="G21">MATCH(FALSE,INDEX(TRIM(INDIRECT("'Comm Matrix'!G"&amp;(MATCH(A21,'Comm Matrix'!A:A,0)+1)&amp;":G1000"))&lt;&gt;"",0),0)-1</f>
        <v>18</v>
      </c>
      <c r="H21" s="9">
        <f ca="1" t="shared" si="2"/>
        <v>0</v>
      </c>
      <c r="I21" s="9">
        <f t="shared" si="3"/>
        <v>0</v>
      </c>
    </row>
    <row r="22" spans="1:9">
      <c r="A22" s="6" t="str">
        <f>'Message ID'!A22</f>
        <v>ParaThr_RackV</v>
      </c>
      <c r="B22" s="7" t="str">
        <f>'Message ID'!D22</f>
        <v>/</v>
      </c>
      <c r="C22" s="7">
        <f>'Message ID'!O22</f>
        <v>0</v>
      </c>
      <c r="D22" s="8">
        <f>VLOOKUP(A22,'Comm Matrix'!A:N,14,FALSE)</f>
        <v>10</v>
      </c>
      <c r="E22" s="8">
        <f t="shared" si="10"/>
        <v>12</v>
      </c>
      <c r="F22" s="9">
        <f t="shared" si="1"/>
        <v>0</v>
      </c>
      <c r="G22" s="10" cm="1">
        <f ca="1" t="array" ref="G22">MATCH(FALSE,INDEX(TRIM(INDIRECT("'Comm Matrix'!G"&amp;(MATCH(A22,'Comm Matrix'!A:A,0)+1)&amp;":G1000"))&lt;&gt;"",0),0)-1</f>
        <v>10</v>
      </c>
      <c r="H22" s="9">
        <f ca="1" t="shared" si="2"/>
        <v>0</v>
      </c>
      <c r="I22" s="9">
        <f t="shared" si="3"/>
        <v>0</v>
      </c>
    </row>
    <row r="23" spans="1:9">
      <c r="A23" s="6" t="str">
        <f>'Message ID'!A23</f>
        <v>ParaThr_RackV</v>
      </c>
      <c r="B23" s="7" t="str">
        <f>'Message ID'!D23</f>
        <v>/</v>
      </c>
      <c r="C23" s="7">
        <f>'Message ID'!O23</f>
        <v>0</v>
      </c>
      <c r="D23" s="8">
        <f>VLOOKUP(A23,'Comm Matrix'!A:N,14,FALSE)</f>
        <v>10</v>
      </c>
      <c r="E23" s="8">
        <f t="shared" si="10"/>
        <v>12</v>
      </c>
      <c r="F23" s="9">
        <f t="shared" si="1"/>
        <v>0</v>
      </c>
      <c r="G23" s="10" cm="1">
        <f ca="1" t="array" ref="G23">MATCH(FALSE,INDEX(TRIM(INDIRECT("'Comm Matrix'!G"&amp;(MATCH(A23,'Comm Matrix'!A:A,0)+1)&amp;":G1000"))&lt;&gt;"",0),0)-1</f>
        <v>10</v>
      </c>
      <c r="H23" s="9">
        <f ca="1" t="shared" si="2"/>
        <v>0</v>
      </c>
      <c r="I23" s="9">
        <f t="shared" si="3"/>
        <v>0</v>
      </c>
    </row>
    <row r="24" spans="1:9">
      <c r="A24" s="6" t="str">
        <f>'Message ID'!A24</f>
        <v>ParaThr_RackI</v>
      </c>
      <c r="B24" s="7" t="str">
        <f>'Message ID'!D24</f>
        <v>/</v>
      </c>
      <c r="C24" s="7">
        <f>'Message ID'!O24</f>
        <v>0</v>
      </c>
      <c r="D24" s="8">
        <f>VLOOKUP(A24,'Comm Matrix'!A:N,14,FALSE)</f>
        <v>60</v>
      </c>
      <c r="E24" s="8">
        <f t="shared" si="10"/>
        <v>12</v>
      </c>
      <c r="F24" s="9">
        <f t="shared" si="1"/>
        <v>0</v>
      </c>
      <c r="G24" s="10" cm="1">
        <f ca="1" t="array" ref="G24">MATCH(FALSE,INDEX(TRIM(INDIRECT("'Comm Matrix'!G"&amp;(MATCH(A24,'Comm Matrix'!A:A,0)+1)&amp;":G1000"))&lt;&gt;"",0),0)-1</f>
        <v>10</v>
      </c>
      <c r="H24" s="9">
        <f ca="1" t="shared" si="2"/>
        <v>0</v>
      </c>
      <c r="I24" s="9">
        <f t="shared" si="3"/>
        <v>0</v>
      </c>
    </row>
    <row r="25" spans="1:9">
      <c r="A25" s="6" t="str">
        <f>'Message ID'!A25</f>
        <v>ParaThr_RackI</v>
      </c>
      <c r="B25" s="7" t="str">
        <f>'Message ID'!D25</f>
        <v>/</v>
      </c>
      <c r="C25" s="7">
        <f>'Message ID'!O25</f>
        <v>0</v>
      </c>
      <c r="D25" s="8">
        <f>VLOOKUP(A25,'Comm Matrix'!A:N,14,FALSE)</f>
        <v>60</v>
      </c>
      <c r="E25" s="8">
        <f t="shared" si="10"/>
        <v>12</v>
      </c>
      <c r="F25" s="9">
        <f t="shared" si="1"/>
        <v>0</v>
      </c>
      <c r="G25" s="10" cm="1">
        <f ca="1" t="array" ref="G25">MATCH(FALSE,INDEX(TRIM(INDIRECT("'Comm Matrix'!G"&amp;(MATCH(A25,'Comm Matrix'!A:A,0)+1)&amp;":G1000"))&lt;&gt;"",0),0)-1</f>
        <v>10</v>
      </c>
      <c r="H25" s="9">
        <f ca="1" t="shared" si="2"/>
        <v>0</v>
      </c>
      <c r="I25" s="9">
        <f t="shared" si="3"/>
        <v>0</v>
      </c>
    </row>
    <row r="26" spans="1:9">
      <c r="A26" s="6" t="str">
        <f>'Message ID'!A26</f>
        <v>ParaThr_ModuleT</v>
      </c>
      <c r="B26" s="7" t="str">
        <f>'Message ID'!D26</f>
        <v>/</v>
      </c>
      <c r="C26" s="7">
        <f>'Message ID'!O26</f>
        <v>0</v>
      </c>
      <c r="D26" s="8">
        <f>VLOOKUP(A26,'Comm Matrix'!A:N,14,FALSE)</f>
        <v>140</v>
      </c>
      <c r="E26" s="8">
        <f t="shared" si="10"/>
        <v>12</v>
      </c>
      <c r="F26" s="9">
        <f t="shared" si="1"/>
        <v>0</v>
      </c>
      <c r="G26" s="10" cm="1">
        <f ca="1" t="array" ref="G26">MATCH(FALSE,INDEX(TRIM(INDIRECT("'Comm Matrix'!G"&amp;(MATCH(A26,'Comm Matrix'!A:A,0)+1)&amp;":G1000"))&lt;&gt;"",0),0)-1</f>
        <v>28</v>
      </c>
      <c r="H26" s="9">
        <f ca="1" t="shared" si="2"/>
        <v>0</v>
      </c>
      <c r="I26" s="9">
        <f t="shared" si="3"/>
        <v>0</v>
      </c>
    </row>
    <row r="27" spans="1:9">
      <c r="A27" s="6" t="str">
        <f>'Message ID'!A27</f>
        <v>ParaThr_ModuleT</v>
      </c>
      <c r="B27" s="7" t="str">
        <f>'Message ID'!D27</f>
        <v>/</v>
      </c>
      <c r="C27" s="7">
        <f>'Message ID'!O27</f>
        <v>0</v>
      </c>
      <c r="D27" s="8">
        <f>VLOOKUP(A27,'Comm Matrix'!A:N,14,FALSE)</f>
        <v>140</v>
      </c>
      <c r="E27" s="8">
        <f t="shared" si="10"/>
        <v>12</v>
      </c>
      <c r="F27" s="9">
        <f t="shared" si="1"/>
        <v>0</v>
      </c>
      <c r="G27" s="10" cm="1">
        <f ca="1" t="array" ref="G27">MATCH(FALSE,INDEX(TRIM(INDIRECT("'Comm Matrix'!G"&amp;(MATCH(A27,'Comm Matrix'!A:A,0)+1)&amp;":G1000"))&lt;&gt;"",0),0)-1</f>
        <v>28</v>
      </c>
      <c r="H27" s="9">
        <f ca="1" t="shared" si="2"/>
        <v>0</v>
      </c>
      <c r="I27" s="9">
        <f t="shared" si="3"/>
        <v>0</v>
      </c>
    </row>
    <row r="28" spans="1:9">
      <c r="A28" s="6" t="str">
        <f>'Message ID'!A28</f>
        <v>ParaThr_SOX</v>
      </c>
      <c r="B28" s="7" t="str">
        <f>'Message ID'!D28</f>
        <v>/</v>
      </c>
      <c r="C28" s="7">
        <f>'Message ID'!O28</f>
        <v>0</v>
      </c>
      <c r="D28" s="8">
        <f>VLOOKUP(A28,'Comm Matrix'!A:N,14,FALSE)</f>
        <v>36</v>
      </c>
      <c r="E28" s="8">
        <f t="shared" si="10"/>
        <v>12</v>
      </c>
      <c r="F28" s="9">
        <f t="shared" si="1"/>
        <v>0</v>
      </c>
      <c r="G28" s="10" cm="1">
        <f ca="1" t="array" ref="G28">MATCH(FALSE,INDEX(TRIM(INDIRECT("'Comm Matrix'!G"&amp;(MATCH(A28,'Comm Matrix'!A:A,0)+1)&amp;":G1000"))&lt;&gt;"",0),0)-1</f>
        <v>13</v>
      </c>
      <c r="H28" s="9">
        <f ca="1" t="shared" si="2"/>
        <v>0</v>
      </c>
      <c r="I28" s="9">
        <f t="shared" si="3"/>
        <v>0</v>
      </c>
    </row>
    <row r="29" spans="1:9">
      <c r="A29" s="6" t="str">
        <f>'Message ID'!A29</f>
        <v>ParaThr_SOX</v>
      </c>
      <c r="B29" s="7" t="str">
        <f>'Message ID'!D29</f>
        <v>/</v>
      </c>
      <c r="C29" s="7">
        <f>'Message ID'!O29</f>
        <v>0</v>
      </c>
      <c r="D29" s="8">
        <f>VLOOKUP(A29,'Comm Matrix'!A:N,14,FALSE)</f>
        <v>36</v>
      </c>
      <c r="E29" s="8">
        <f t="shared" si="10"/>
        <v>12</v>
      </c>
      <c r="F29" s="9">
        <f t="shared" si="1"/>
        <v>0</v>
      </c>
      <c r="G29" s="10" cm="1">
        <f ca="1" t="array" ref="G29">MATCH(FALSE,INDEX(TRIM(INDIRECT("'Comm Matrix'!G"&amp;(MATCH(A29,'Comm Matrix'!A:A,0)+1)&amp;":G1000"))&lt;&gt;"",0),0)-1</f>
        <v>13</v>
      </c>
      <c r="H29" s="9">
        <f ca="1" t="shared" si="2"/>
        <v>0</v>
      </c>
      <c r="I29" s="9">
        <f t="shared" si="3"/>
        <v>0</v>
      </c>
    </row>
    <row r="30" spans="1:9">
      <c r="A30" s="6" t="str">
        <f>'Message ID'!A30</f>
        <v>ParaThr_AUX</v>
      </c>
      <c r="B30" s="7" t="str">
        <f>'Message ID'!D30</f>
        <v>/</v>
      </c>
      <c r="C30" s="7">
        <f>'Message ID'!O30</f>
        <v>0</v>
      </c>
      <c r="D30" s="8">
        <f>VLOOKUP(A30,'Comm Matrix'!A:N,14,FALSE)</f>
        <v>1</v>
      </c>
      <c r="E30" s="8">
        <f t="shared" si="10"/>
        <v>12</v>
      </c>
      <c r="F30" s="9">
        <f t="shared" si="1"/>
        <v>0</v>
      </c>
      <c r="G30" s="10" cm="1">
        <f ca="1" t="array" ref="G30">MATCH(FALSE,INDEX(TRIM(INDIRECT("'Comm Matrix'!G"&amp;(MATCH(A30,'Comm Matrix'!A:A,0)+1)&amp;":G1000"))&lt;&gt;"",0),0)-1</f>
        <v>1</v>
      </c>
      <c r="H30" s="9">
        <f ca="1" t="shared" si="2"/>
        <v>0</v>
      </c>
      <c r="I30" s="9">
        <f t="shared" si="3"/>
        <v>0</v>
      </c>
    </row>
    <row r="31" spans="1:9">
      <c r="A31" s="6" t="str">
        <f>'Message ID'!A31</f>
        <v>ParaThr_AUX</v>
      </c>
      <c r="B31" s="7" t="str">
        <f>'Message ID'!D31</f>
        <v>/</v>
      </c>
      <c r="C31" s="7">
        <f>'Message ID'!O31</f>
        <v>0</v>
      </c>
      <c r="D31" s="8">
        <f>VLOOKUP(A31,'Comm Matrix'!A:N,14,FALSE)</f>
        <v>1</v>
      </c>
      <c r="E31" s="8">
        <f t="shared" si="10"/>
        <v>12</v>
      </c>
      <c r="F31" s="9">
        <f t="shared" si="1"/>
        <v>0</v>
      </c>
      <c r="G31" s="10" cm="1">
        <f ca="1" t="array" ref="G31">MATCH(FALSE,INDEX(TRIM(INDIRECT("'Comm Matrix'!G"&amp;(MATCH(A31,'Comm Matrix'!A:A,0)+1)&amp;":G1000"))&lt;&gt;"",0),0)-1</f>
        <v>1</v>
      </c>
      <c r="H31" s="9">
        <f ca="1" t="shared" si="2"/>
        <v>0</v>
      </c>
      <c r="I31" s="9">
        <f t="shared" si="3"/>
        <v>0</v>
      </c>
    </row>
    <row r="32" spans="1:9">
      <c r="A32" s="6" t="str">
        <f>'Message ID'!A32</f>
        <v>ParaThr_TMS</v>
      </c>
      <c r="B32" s="7" t="str">
        <f>'Message ID'!D32</f>
        <v>/</v>
      </c>
      <c r="C32" s="7">
        <f>'Message ID'!O32</f>
        <v>0</v>
      </c>
      <c r="D32" s="8">
        <f>VLOOKUP(A32,'Comm Matrix'!A:N,14,FALSE)</f>
        <v>24</v>
      </c>
      <c r="E32" s="13">
        <v>1</v>
      </c>
      <c r="F32" s="9">
        <f t="shared" si="1"/>
        <v>0</v>
      </c>
      <c r="G32" s="10" cm="1">
        <f ca="1" t="array" ref="G32">MATCH(FALSE,INDEX(TRIM(INDIRECT("'Comm Matrix'!G"&amp;(MATCH(A32,'Comm Matrix'!A:A,0)+1)&amp;":G1000"))&lt;&gt;"",0),0)-1</f>
        <v>8</v>
      </c>
      <c r="H32" s="9">
        <f ca="1" t="shared" si="2"/>
        <v>0</v>
      </c>
      <c r="I32" s="9">
        <f t="shared" si="3"/>
        <v>0</v>
      </c>
    </row>
    <row r="33" spans="1:9">
      <c r="A33" s="6" t="str">
        <f>'Message ID'!A33</f>
        <v>ParaThr_TMS</v>
      </c>
      <c r="B33" s="7" t="str">
        <f>'Message ID'!D33</f>
        <v>/</v>
      </c>
      <c r="C33" s="7">
        <f>'Message ID'!O33</f>
        <v>0</v>
      </c>
      <c r="D33" s="8">
        <f>VLOOKUP(A33,'Comm Matrix'!A:N,14,FALSE)</f>
        <v>24</v>
      </c>
      <c r="E33" s="13">
        <v>1</v>
      </c>
      <c r="F33" s="9">
        <f t="shared" si="1"/>
        <v>0</v>
      </c>
      <c r="G33" s="10" cm="1">
        <f ca="1" t="array" ref="G33">MATCH(FALSE,INDEX(TRIM(INDIRECT("'Comm Matrix'!G"&amp;(MATCH(A33,'Comm Matrix'!A:A,0)+1)&amp;":G1000"))&lt;&gt;"",0),0)-1</f>
        <v>8</v>
      </c>
      <c r="H33" s="9">
        <f ca="1" t="shared" si="2"/>
        <v>0</v>
      </c>
      <c r="I33" s="9">
        <f t="shared" si="3"/>
        <v>0</v>
      </c>
    </row>
    <row r="34" spans="1:9">
      <c r="A34" s="6" t="str">
        <f>'Message ID'!A34</f>
        <v>ParaThr_TMS</v>
      </c>
      <c r="B34" s="7" t="str">
        <f>'Message ID'!D34</f>
        <v>/</v>
      </c>
      <c r="C34" s="7">
        <f>'Message ID'!O34</f>
        <v>0</v>
      </c>
      <c r="D34" s="8">
        <f>VLOOKUP(A34,'Comm Matrix'!A:N,14,FALSE)</f>
        <v>24</v>
      </c>
      <c r="E34" s="8">
        <f t="shared" ref="E34:E51" si="11">IF(OR(ISNUMBER(SEARCH("RBMS",A34)),ISNUMBER(SEARCH("Para",A34))),$F$52,1)</f>
        <v>12</v>
      </c>
      <c r="F34" s="9">
        <f t="shared" ref="F34:F35" si="12">IF(C34=1,D34*E34*60*60*24*C34/(B34/1000),0)/1024</f>
        <v>0</v>
      </c>
      <c r="G34" s="10" cm="1">
        <f ca="1" t="array" ref="G34">MATCH(FALSE,INDEX(TRIM(INDIRECT("'Comm Matrix'!G"&amp;(MATCH(A34,'Comm Matrix'!A:A,0)+1)&amp;":G1000"))&lt;&gt;"",0),0)-1</f>
        <v>8</v>
      </c>
      <c r="H34" s="9">
        <f ca="1" t="shared" ref="H34:H35" si="13">IF(C34=1,G34*E34*60*60*24*C34/(B34/1000),0)/1024</f>
        <v>0</v>
      </c>
      <c r="I34" s="9">
        <f t="shared" ref="I34:I35" si="14">IF(C34=1,19*E34*60*60*24*C34/(B34/1000),0)/1024</f>
        <v>0</v>
      </c>
    </row>
    <row r="35" spans="1:9">
      <c r="A35" s="6" t="str">
        <f>'Message ID'!A35</f>
        <v>ParaThr_TMS</v>
      </c>
      <c r="B35" s="7" t="str">
        <f>'Message ID'!D35</f>
        <v>/</v>
      </c>
      <c r="C35" s="7">
        <f>'Message ID'!O35</f>
        <v>0</v>
      </c>
      <c r="D35" s="8">
        <f>VLOOKUP(A35,'Comm Matrix'!A:N,14,FALSE)</f>
        <v>24</v>
      </c>
      <c r="E35" s="8">
        <f t="shared" si="11"/>
        <v>12</v>
      </c>
      <c r="F35" s="9">
        <f t="shared" si="12"/>
        <v>0</v>
      </c>
      <c r="G35" s="10" cm="1">
        <f ca="1" t="array" ref="G35">MATCH(FALSE,INDEX(TRIM(INDIRECT("'Comm Matrix'!G"&amp;(MATCH(A35,'Comm Matrix'!A:A,0)+1)&amp;":G1000"))&lt;&gt;"",0),0)-1</f>
        <v>8</v>
      </c>
      <c r="H35" s="9">
        <f ca="1" t="shared" si="13"/>
        <v>0</v>
      </c>
      <c r="I35" s="9">
        <f t="shared" si="14"/>
        <v>0</v>
      </c>
    </row>
    <row r="36" spans="1:9">
      <c r="A36" s="6" t="str">
        <f>'Message ID'!A36</f>
        <v>HMI_RBMSDOCtrl</v>
      </c>
      <c r="B36" s="7" t="str">
        <f>'Message ID'!D36</f>
        <v>/</v>
      </c>
      <c r="C36" s="7">
        <f>'Message ID'!O36</f>
        <v>0</v>
      </c>
      <c r="D36" s="8">
        <f>VLOOKUP(A36,'Comm Matrix'!A:N,14,FALSE)</f>
        <v>12</v>
      </c>
      <c r="E36" s="8">
        <f t="shared" si="11"/>
        <v>12</v>
      </c>
      <c r="F36" s="9">
        <f t="shared" si="1"/>
        <v>0</v>
      </c>
      <c r="G36" s="10" cm="1">
        <f ca="1" t="array" ref="G36">MATCH(FALSE,INDEX(TRIM(INDIRECT("'Comm Matrix'!G"&amp;(MATCH(A36,'Comm Matrix'!A:A,0)+1)&amp;":G1000"))&lt;&gt;"",0),0)-1</f>
        <v>12</v>
      </c>
      <c r="H36" s="9">
        <f ca="1" t="shared" si="2"/>
        <v>0</v>
      </c>
      <c r="I36" s="9">
        <f t="shared" si="3"/>
        <v>0</v>
      </c>
    </row>
    <row r="37" spans="1:9">
      <c r="A37" s="6" t="str">
        <f>'Message ID'!A37</f>
        <v>HMI_BBMSDOCtrl</v>
      </c>
      <c r="B37" s="7" t="str">
        <f>'Message ID'!D37</f>
        <v>/</v>
      </c>
      <c r="C37" s="7">
        <f>'Message ID'!O37</f>
        <v>0</v>
      </c>
      <c r="D37" s="8">
        <f>VLOOKUP(A37,'Comm Matrix'!A:N,14,FALSE)</f>
        <v>12</v>
      </c>
      <c r="E37" s="8">
        <f t="shared" si="11"/>
        <v>1</v>
      </c>
      <c r="F37" s="9">
        <f t="shared" si="1"/>
        <v>0</v>
      </c>
      <c r="G37" s="10" cm="1">
        <f ca="1" t="array" ref="G37">MATCH(FALSE,INDEX(TRIM(INDIRECT("'Comm Matrix'!G"&amp;(MATCH(A37,'Comm Matrix'!A:A,0)+1)&amp;":G1000"))&lt;&gt;"",0),0)-1</f>
        <v>12</v>
      </c>
      <c r="H37" s="9">
        <f ca="1" t="shared" si="2"/>
        <v>0</v>
      </c>
      <c r="I37" s="9">
        <f t="shared" si="3"/>
        <v>0</v>
      </c>
    </row>
    <row r="38" spans="1:9">
      <c r="A38" s="6" t="str">
        <f>'Message ID'!A38</f>
        <v>RBMS_SOXdebugData1</v>
      </c>
      <c r="B38" s="7">
        <f>'Message ID'!D38</f>
        <v>1000</v>
      </c>
      <c r="C38" s="7">
        <f>'Message ID'!O38</f>
        <v>1</v>
      </c>
      <c r="D38" s="8">
        <f>VLOOKUP(A38,'Comm Matrix'!A:N,14,FALSE)</f>
        <v>155</v>
      </c>
      <c r="E38" s="8">
        <f t="shared" si="11"/>
        <v>12</v>
      </c>
      <c r="F38" s="9">
        <f t="shared" si="1"/>
        <v>156937.5</v>
      </c>
      <c r="G38" s="10" cm="1">
        <f ca="1" t="array" ref="G38">MATCH(FALSE,INDEX(TRIM(INDIRECT("'Comm Matrix'!G"&amp;(MATCH(A38,'Comm Matrix'!A:A,0)+1)&amp;":G1000"))&lt;&gt;"",0),0)-1</f>
        <v>32</v>
      </c>
      <c r="H38" s="9">
        <f ca="1" t="shared" si="2"/>
        <v>32400</v>
      </c>
      <c r="I38" s="9">
        <f t="shared" si="3"/>
        <v>19237.5</v>
      </c>
    </row>
    <row r="39" spans="1:9">
      <c r="A39" s="6" t="str">
        <f>'Message ID'!A39</f>
        <v>RBMS_SOXdebugData2</v>
      </c>
      <c r="B39" s="7">
        <f>'Message ID'!D39</f>
        <v>1000</v>
      </c>
      <c r="C39" s="7">
        <f>'Message ID'!O39</f>
        <v>1</v>
      </c>
      <c r="D39" s="8">
        <f>VLOOKUP(A39,'Comm Matrix'!A:N,14,FALSE)</f>
        <v>125</v>
      </c>
      <c r="E39" s="8">
        <f t="shared" si="11"/>
        <v>12</v>
      </c>
      <c r="F39" s="9">
        <f t="shared" si="1"/>
        <v>126562.5</v>
      </c>
      <c r="G39" s="14" cm="1">
        <f ca="1" t="array" ref="G39">9+MATCH(TRUE,INDEX(TRIM(INDIRECT("'Comm Matrix'!A"&amp;(MATCH(A39,'Comm Matrix'!A:A,0)+1)&amp;":A1000"))&lt;&gt;"",0),0)-1</f>
        <v>40</v>
      </c>
      <c r="H39" s="9">
        <f ca="1" t="shared" si="2"/>
        <v>40500</v>
      </c>
      <c r="I39" s="9">
        <f t="shared" si="3"/>
        <v>19237.5</v>
      </c>
    </row>
    <row r="40" spans="1:9">
      <c r="A40" s="6" t="str">
        <f>'Message ID'!A40</f>
        <v>HMI_RackFaultCali</v>
      </c>
      <c r="B40" s="7" t="str">
        <f>'Message ID'!D40</f>
        <v>/</v>
      </c>
      <c r="C40" s="7">
        <f>'Message ID'!O40</f>
        <v>0</v>
      </c>
      <c r="D40" s="8">
        <f>VLOOKUP(A40,'Comm Matrix'!A:N,14,FALSE)</f>
        <v>8</v>
      </c>
      <c r="E40" s="8">
        <f t="shared" si="11"/>
        <v>1</v>
      </c>
      <c r="F40" s="9">
        <f t="shared" si="1"/>
        <v>0</v>
      </c>
      <c r="G40" s="10" cm="1">
        <f ca="1" t="array" ref="G40">MATCH(FALSE,INDEX(TRIM(INDIRECT("'Comm Matrix'!G"&amp;(MATCH(A40,'Comm Matrix'!A:A,0)+1)&amp;":G1000"))&lt;&gt;"",0),0)-1</f>
        <v>2</v>
      </c>
      <c r="H40" s="9">
        <f ca="1" t="shared" si="2"/>
        <v>0</v>
      </c>
      <c r="I40" s="9">
        <f t="shared" si="3"/>
        <v>0</v>
      </c>
    </row>
    <row r="41" spans="1:9">
      <c r="A41" s="6" t="str">
        <f>'Message ID'!A41</f>
        <v>HMI_BankFaultCali</v>
      </c>
      <c r="B41" s="7" t="str">
        <f>'Message ID'!D41</f>
        <v>/</v>
      </c>
      <c r="C41" s="7">
        <f>'Message ID'!O41</f>
        <v>0</v>
      </c>
      <c r="D41" s="8">
        <f>VLOOKUP(A41,'Comm Matrix'!A:N,14,FALSE)</f>
        <v>1003</v>
      </c>
      <c r="E41" s="8">
        <f t="shared" si="11"/>
        <v>1</v>
      </c>
      <c r="F41" s="9">
        <f t="shared" si="1"/>
        <v>0</v>
      </c>
      <c r="G41" s="10" cm="1">
        <f ca="1" t="array" ref="G41">MATCH(FALSE,INDEX(TRIM(INDIRECT("'Comm Matrix'!G"&amp;(MATCH(A41,'Comm Matrix'!A:A,0)+1)&amp;":G1000"))&lt;&gt;"",0),0)-1</f>
        <v>2</v>
      </c>
      <c r="H41" s="9">
        <f ca="1" t="shared" si="2"/>
        <v>0</v>
      </c>
      <c r="I41" s="9">
        <f t="shared" si="3"/>
        <v>0</v>
      </c>
    </row>
    <row r="42" spans="1:9">
      <c r="A42" s="6" t="str">
        <f>'Message ID'!A42</f>
        <v>HMI_FltOvTiNbr</v>
      </c>
      <c r="B42" s="7" t="str">
        <f>'Message ID'!D42</f>
        <v>/</v>
      </c>
      <c r="C42" s="7">
        <f>'Message ID'!O42</f>
        <v>0</v>
      </c>
      <c r="D42" s="8">
        <f>VLOOKUP(A42,'Comm Matrix'!A:N,14,FALSE)</f>
        <v>1000</v>
      </c>
      <c r="E42" s="8">
        <f t="shared" si="11"/>
        <v>1</v>
      </c>
      <c r="F42" s="9">
        <f t="shared" si="1"/>
        <v>0</v>
      </c>
      <c r="G42" s="11">
        <v>200</v>
      </c>
      <c r="H42" s="9">
        <f t="shared" si="2"/>
        <v>0</v>
      </c>
      <c r="I42" s="9">
        <f t="shared" si="3"/>
        <v>0</v>
      </c>
    </row>
    <row r="43" spans="1:9">
      <c r="A43" s="6" t="str">
        <f>'Message ID'!A43</f>
        <v>RBMS_Debug</v>
      </c>
      <c r="B43" s="7">
        <f>'Message ID'!D43</f>
        <v>1000</v>
      </c>
      <c r="C43" s="7">
        <f>'Message ID'!O43</f>
        <v>1</v>
      </c>
      <c r="D43" s="8">
        <f>VLOOKUP(A43,'Comm Matrix'!A:N,14,FALSE)</f>
        <v>63</v>
      </c>
      <c r="E43" s="8">
        <f t="shared" si="11"/>
        <v>12</v>
      </c>
      <c r="F43" s="9">
        <f t="shared" si="1"/>
        <v>63787.5</v>
      </c>
      <c r="G43" s="10" cm="1">
        <f ca="1" t="array" ref="G43">MATCH(FALSE,INDEX(TRIM(INDIRECT("'Comm Matrix'!G"&amp;(MATCH(A43,'Comm Matrix'!A:A,0)+1)&amp;":G1000"))&lt;&gt;"",0),0)-1</f>
        <v>25</v>
      </c>
      <c r="H43" s="9">
        <f ca="1" t="shared" si="2"/>
        <v>25312.5</v>
      </c>
      <c r="I43" s="9">
        <f t="shared" si="3"/>
        <v>19237.5</v>
      </c>
    </row>
    <row r="44" spans="1:9">
      <c r="A44" s="6" t="str">
        <f>'Message ID'!A44</f>
        <v>BBMS_A_SOCInfo</v>
      </c>
      <c r="B44" s="7">
        <f>'Message ID'!D44</f>
        <v>1000</v>
      </c>
      <c r="C44" s="7">
        <f>'Message ID'!O44</f>
        <v>1</v>
      </c>
      <c r="D44" s="8">
        <f>VLOOKUP(A44,'Comm Matrix'!A:N,14,FALSE)</f>
        <v>344</v>
      </c>
      <c r="E44" s="8">
        <f t="shared" si="11"/>
        <v>1</v>
      </c>
      <c r="F44" s="9">
        <f t="shared" si="1"/>
        <v>29025</v>
      </c>
      <c r="G44" s="14">
        <f>16+16+12+12+12</f>
        <v>68</v>
      </c>
      <c r="H44" s="9">
        <f t="shared" si="2"/>
        <v>5737.5</v>
      </c>
      <c r="I44" s="9">
        <f t="shared" si="3"/>
        <v>1603.125</v>
      </c>
    </row>
    <row r="45" spans="1:9">
      <c r="A45" s="6" t="str">
        <f>'Message ID'!A45</f>
        <v>BBMS_A_SOHInfo</v>
      </c>
      <c r="B45" s="7">
        <f>'Message ID'!D45</f>
        <v>1000</v>
      </c>
      <c r="C45" s="7">
        <f>'Message ID'!O45</f>
        <v>1</v>
      </c>
      <c r="D45" s="8">
        <f>VLOOKUP(A45,'Comm Matrix'!A:N,14,FALSE)</f>
        <v>504</v>
      </c>
      <c r="E45" s="8">
        <f t="shared" si="11"/>
        <v>1</v>
      </c>
      <c r="F45" s="9">
        <f t="shared" si="1"/>
        <v>42525</v>
      </c>
      <c r="G45" s="14">
        <f>16+16+16+12+12+12</f>
        <v>84</v>
      </c>
      <c r="H45" s="9">
        <f t="shared" si="2"/>
        <v>7087.5</v>
      </c>
      <c r="I45" s="9">
        <f t="shared" si="3"/>
        <v>1603.125</v>
      </c>
    </row>
    <row r="46" spans="1:9">
      <c r="A46" s="6" t="str">
        <f>'Message ID'!A46</f>
        <v>BBMS_A_Fault</v>
      </c>
      <c r="B46" s="7">
        <f>'Message ID'!D46</f>
        <v>1000</v>
      </c>
      <c r="C46" s="7">
        <f>'Message ID'!O46</f>
        <v>1</v>
      </c>
      <c r="D46" s="8">
        <f>VLOOKUP(A46,'Comm Matrix'!A:N,14,FALSE)</f>
        <v>200</v>
      </c>
      <c r="E46" s="8">
        <f t="shared" si="11"/>
        <v>1</v>
      </c>
      <c r="F46" s="9">
        <f t="shared" si="1"/>
        <v>16875</v>
      </c>
      <c r="G46" s="11">
        <f>200</f>
        <v>200</v>
      </c>
      <c r="H46" s="9">
        <f t="shared" si="2"/>
        <v>16875</v>
      </c>
      <c r="I46" s="9">
        <f t="shared" si="3"/>
        <v>1603.125</v>
      </c>
    </row>
    <row r="47" spans="1:9">
      <c r="A47" s="6" t="str">
        <f>'Message ID'!A47</f>
        <v>HMI_FltEna</v>
      </c>
      <c r="B47" s="7" t="str">
        <f>'Message ID'!D47</f>
        <v>/</v>
      </c>
      <c r="C47" s="7">
        <f>'Message ID'!O47</f>
        <v>0</v>
      </c>
      <c r="D47" s="8">
        <f>VLOOKUP(A47,'Comm Matrix'!A:N,14,FALSE)</f>
        <v>200</v>
      </c>
      <c r="E47" s="8">
        <f t="shared" si="11"/>
        <v>1</v>
      </c>
      <c r="F47" s="9">
        <f t="shared" ref="F47:F49" si="15">IF(C47=1,D47*E47*60*60*24*C47/(B47/1000),0)/1024</f>
        <v>0</v>
      </c>
      <c r="G47" s="11">
        <f>200</f>
        <v>200</v>
      </c>
      <c r="H47" s="9">
        <f t="shared" ref="H47:H49" si="16">IF(C47=1,G47*E47*60*60*24*C47/(B47/1000),0)/1024</f>
        <v>0</v>
      </c>
      <c r="I47" s="9">
        <f t="shared" ref="I47:I49" si="17">IF(C47=1,19*E47*60*60*24*C47/(B47/1000),0)/1024</f>
        <v>0</v>
      </c>
    </row>
    <row r="48" spans="1:9">
      <c r="A48" s="6" t="str">
        <f>'Message ID'!A48</f>
        <v>HMI_FltEna</v>
      </c>
      <c r="B48" s="7" t="str">
        <f>'Message ID'!D48</f>
        <v>/</v>
      </c>
      <c r="C48" s="7">
        <f>'Message ID'!O48</f>
        <v>0</v>
      </c>
      <c r="D48" s="8">
        <f>VLOOKUP(A48,'Comm Matrix'!A:N,14,FALSE)</f>
        <v>200</v>
      </c>
      <c r="E48" s="8">
        <f t="shared" si="11"/>
        <v>1</v>
      </c>
      <c r="F48" s="9">
        <f t="shared" si="15"/>
        <v>0</v>
      </c>
      <c r="G48" s="14">
        <f>200</f>
        <v>200</v>
      </c>
      <c r="H48" s="9">
        <f t="shared" si="16"/>
        <v>0</v>
      </c>
      <c r="I48" s="9">
        <f t="shared" si="17"/>
        <v>0</v>
      </c>
    </row>
    <row r="49" spans="1:9">
      <c r="A49" s="6" t="str">
        <f>'Message ID'!A49</f>
        <v>BBMS_A_Selfdr</v>
      </c>
      <c r="B49" s="7" t="str">
        <f>'Message ID'!D49</f>
        <v>/</v>
      </c>
      <c r="C49" s="7">
        <f>'Message ID'!O49</f>
        <v>0</v>
      </c>
      <c r="D49" s="8">
        <f>VLOOKUP(A49,'Comm Matrix'!A:N,14,FALSE)</f>
        <v>13</v>
      </c>
      <c r="E49" s="8">
        <f t="shared" si="11"/>
        <v>1</v>
      </c>
      <c r="F49" s="9">
        <f t="shared" si="15"/>
        <v>0</v>
      </c>
      <c r="G49" s="15" cm="1">
        <f ca="1" t="array" ref="G49">MATCH(FALSE,INDEX(TRIM(INDIRECT("'Comm Matrix'!G"&amp;(MATCH(A49,'Comm Matrix'!A:A,0)+1)&amp;":G1000"))&lt;&gt;"",0),0)-1</f>
        <v>3</v>
      </c>
      <c r="H49" s="9">
        <f ca="1" t="shared" si="16"/>
        <v>0</v>
      </c>
      <c r="I49" s="9">
        <f t="shared" si="17"/>
        <v>0</v>
      </c>
    </row>
    <row r="50" spans="1:9">
      <c r="A50" s="6" t="str">
        <f>'Message ID'!A50</f>
        <v>BBMS_SafetySignal</v>
      </c>
      <c r="B50" s="7">
        <f>'Message ID'!D50</f>
        <v>1000</v>
      </c>
      <c r="C50" s="7">
        <f>'Message ID'!O50</f>
        <v>0</v>
      </c>
      <c r="D50" s="8">
        <f>VLOOKUP(A50,'Comm Matrix'!A:N,14,FALSE)</f>
        <v>7</v>
      </c>
      <c r="E50" s="8">
        <f t="shared" si="11"/>
        <v>1</v>
      </c>
      <c r="F50" s="9">
        <f t="shared" ref="F50" si="18">IF(C50=1,D50*E50*60*60*24*C50/(B50/1000),0)/1024</f>
        <v>0</v>
      </c>
      <c r="G50" s="15" cm="1">
        <f ca="1" t="array" ref="G50">MATCH(FALSE,INDEX(TRIM(INDIRECT("'Comm Matrix'!G"&amp;(MATCH(A50,'Comm Matrix'!A:A,0)+1)&amp;":G1000"))&lt;&gt;"",0),0)-1</f>
        <v>3</v>
      </c>
      <c r="H50" s="9">
        <f ca="1" t="shared" ref="H50" si="19">IF(C50=1,G50*E50*60*60*24*C50/(B50/1000),0)/1024</f>
        <v>0</v>
      </c>
      <c r="I50" s="9">
        <f t="shared" ref="I50" si="20">IF(C50=1,19*E50*60*60*24*C50/(B50/1000),0)/1024</f>
        <v>0</v>
      </c>
    </row>
    <row r="51" spans="1:9">
      <c r="A51" s="6" t="str">
        <f>'Message ID'!A51</f>
        <v>BBMS_A_CtlWord</v>
      </c>
      <c r="B51" s="7">
        <f>'Message ID'!D51</f>
        <v>1000</v>
      </c>
      <c r="C51" s="7">
        <f>'Message ID'!O51</f>
        <v>0</v>
      </c>
      <c r="D51" s="8">
        <f>VLOOKUP(A51,'Comm Matrix'!A:N,14,FALSE)</f>
        <v>5</v>
      </c>
      <c r="E51" s="8">
        <f t="shared" si="11"/>
        <v>1</v>
      </c>
      <c r="F51" s="9">
        <f t="shared" ref="F51" si="21">IF(C51=1,D51*E51*60*60*24*C51/(B51/1000),0)/1024</f>
        <v>0</v>
      </c>
      <c r="G51" s="15" cm="1">
        <f ca="1" t="array" ref="G51">MATCH(FALSE,INDEX(TRIM(INDIRECT("'Comm Matrix'!G"&amp;(MATCH(A51,'Comm Matrix'!A:A,0)+1)&amp;":G1000"))&lt;&gt;"",0),0)-1</f>
        <v>1</v>
      </c>
      <c r="H51" s="9">
        <f ca="1" t="shared" ref="H51" si="22">IF(C51=1,G51*E51*60*60*24*C51/(B51/1000),0)/1024</f>
        <v>0</v>
      </c>
      <c r="I51" s="9">
        <f t="shared" ref="I51" si="23">IF(C51=1,19*E51*60*60*24*C51/(B51/1000),0)/1024</f>
        <v>0</v>
      </c>
    </row>
    <row r="52" spans="1:9">
      <c r="C52" s="7"/>
      <c r="E52" s="16" t="s">
        <v>2037</v>
      </c>
      <c r="F52">
        <v>12</v>
      </c>
    </row>
    <row r="53" spans="1:9">
      <c r="E53" s="16" t="s">
        <v>2038</v>
      </c>
      <c r="F53">
        <f>SUM(F2:F50)</f>
        <v>6738120</v>
      </c>
      <c r="H53">
        <f ca="1">SUM(H2:H50)</f>
        <v>1996920</v>
      </c>
      <c r="I53">
        <f>SUM(I2:I50)</f>
        <v>184680</v>
      </c>
    </row>
    <row r="54" spans="1:9">
      <c r="E54" s="16" t="s">
        <v>2039</v>
      </c>
      <c r="F54">
        <f>F53/1024/1024</f>
        <v>6.42597198486328</v>
      </c>
      <c r="G54"/>
      <c r="H54">
        <f ca="1" t="shared" ref="H54:I54" si="24">H53/1024/1024</f>
        <v>1.90441131591797</v>
      </c>
      <c r="I54">
        <f t="shared" si="24"/>
        <v>0.176124572753906</v>
      </c>
    </row>
    <row r="55" spans="1:9">
      <c r="E55" s="16" t="s">
        <v>2040</v>
      </c>
      <c r="F55">
        <f ca="1">SUM(F54,H54:I54)</f>
        <v>8.50650787353516</v>
      </c>
      <c r="G55"/>
    </row>
    <row r="56" spans="1:9">
      <c r="E56" s="16" t="s">
        <v>2041</v>
      </c>
      <c r="F56">
        <v>512</v>
      </c>
    </row>
    <row r="57" spans="1:9">
      <c r="E57" s="16" t="s">
        <v>2042</v>
      </c>
      <c r="F57">
        <f ca="1">F56/F55</f>
        <v>60.1892113205347</v>
      </c>
    </row>
  </sheetData>
  <pageMargins left="0.7" right="0.7" top="0.75" bottom="0.75" header="0.3" footer="0.3"/>
  <pageSetup paperSize="9" orientation="portrait"/>
  <headerFooter/>
  <ignoredErrors>
    <ignoredError sqref="G8:G9 G44 G3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Cover</vt:lpstr>
      <vt:lpstr>Revision</vt:lpstr>
      <vt:lpstr>Legend</vt:lpstr>
      <vt:lpstr>Station ID</vt:lpstr>
      <vt:lpstr>Message ID</vt:lpstr>
      <vt:lpstr>Comm Matrix</vt:lpstr>
      <vt:lpstr>Device ID</vt:lpstr>
      <vt:lpstr>SSD Store Calculation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徐楚</dc:creator>
  <cp:lastModifiedBy>月下清风</cp:lastModifiedBy>
  <dcterms:created xsi:type="dcterms:W3CDTF">2024-09-10T02:10:00Z</dcterms:created>
  <dcterms:modified xsi:type="dcterms:W3CDTF">2026-05-18T10:29:22Z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5CD76A7D15FE49C39224CB83FFD52E99_12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