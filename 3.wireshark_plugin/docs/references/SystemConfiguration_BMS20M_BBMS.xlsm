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aodiWork\sourcetree\bms\docs\海辰提供的文件\开发需求\"/>
    </mc:Choice>
  </mc:AlternateContent>
  <xr:revisionPtr revIDLastSave="0" documentId="13_ncr:1_{05E2D72D-370D-4E3F-B902-285393842D8B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更新" sheetId="9" r:id="rId1"/>
    <sheet name="History" sheetId="5" r:id="rId2"/>
    <sheet name="SystemParameter" sheetId="1" r:id="rId3"/>
    <sheet name="FaultList" sheetId="2" r:id="rId4"/>
    <sheet name="Fault Category" sheetId="8" r:id="rId5"/>
  </sheets>
  <functionGroups builtInGroupCount="19"/>
  <calcPr calcId="191029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6" i="1" l="1"/>
  <c r="C42" i="1"/>
  <c r="C30" i="1"/>
  <c r="C34" i="1"/>
  <c r="C32" i="1"/>
  <c r="C41" i="1"/>
  <c r="C43" i="1"/>
  <c r="C29" i="1"/>
  <c r="C35" i="1"/>
  <c r="C31" i="1"/>
  <c r="C40" i="1"/>
  <c r="C3" i="1"/>
  <c r="C45" i="1"/>
  <c r="C33" i="1"/>
  <c r="C44" i="1"/>
  <c r="C37" i="1"/>
  <c r="C39" i="1"/>
  <c r="C38" i="1"/>
  <c r="C36" i="1"/>
</calcChain>
</file>

<file path=xl/sharedStrings.xml><?xml version="1.0" encoding="utf-8"?>
<sst xmlns="http://schemas.openxmlformats.org/spreadsheetml/2006/main" count="1346" uniqueCount="724">
  <si>
    <t>PackageAttribute</t>
    <phoneticPr fontId="1" type="noConversion"/>
  </si>
  <si>
    <t>StorageClass</t>
    <phoneticPr fontId="1" type="noConversion"/>
  </si>
  <si>
    <t>Custom</t>
  </si>
  <si>
    <t>SystemDefine</t>
  </si>
  <si>
    <t>-</t>
  </si>
  <si>
    <t>int32</t>
  </si>
  <si>
    <t>[]</t>
  </si>
  <si>
    <t>Nbr</t>
  </si>
  <si>
    <t>Number of cell parallel between modules within a branch</t>
  </si>
  <si>
    <t>System total fault number</t>
  </si>
  <si>
    <t>CELL_RATE_CAPACITY</t>
  </si>
  <si>
    <t>Single cell capacity</t>
  </si>
  <si>
    <t>kWh</t>
  </si>
  <si>
    <t>Single rack branch sum energy</t>
  </si>
  <si>
    <t>[1]</t>
  </si>
  <si>
    <t>HIL_TEST_ENABLE</t>
  </si>
  <si>
    <t>Actual total cell number</t>
  </si>
  <si>
    <t>Yes</t>
  </si>
  <si>
    <t>[0]</t>
    <phoneticPr fontId="1" type="noConversion"/>
  </si>
  <si>
    <t>[1 1]</t>
    <phoneticPr fontId="1" type="noConversion"/>
  </si>
  <si>
    <t>-</t>
    <phoneticPr fontId="1" type="noConversion"/>
  </si>
  <si>
    <t>[1]</t>
    <phoneticPr fontId="1" type="noConversion"/>
  </si>
  <si>
    <t>Number of cell parallel within a module</t>
  </si>
  <si>
    <t>Actual AFE number</t>
  </si>
  <si>
    <t>uint8</t>
  </si>
  <si>
    <t>[255]</t>
  </si>
  <si>
    <t>0 for LFP, 1 for NCM, 2 for LCO, 3 for LNO, 4 for LMO, 5 for NCA, 6 for SIB</t>
  </si>
  <si>
    <t>NA</t>
  </si>
  <si>
    <t>CURRENT_SENSOR_ZERO_DRIFT_A</t>
  </si>
  <si>
    <t>BMS.Parameter</t>
  </si>
  <si>
    <t>[2]</t>
  </si>
  <si>
    <t>single</t>
  </si>
  <si>
    <t>[0]</t>
  </si>
  <si>
    <t>[2000]</t>
  </si>
  <si>
    <t>[1 1]</t>
  </si>
  <si>
    <t>A</t>
  </si>
  <si>
    <t>current sensor zero drift threshold</t>
  </si>
  <si>
    <t>Name</t>
    <phoneticPr fontId="1" type="noConversion"/>
  </si>
  <si>
    <t>Value</t>
    <phoneticPr fontId="1" type="noConversion"/>
  </si>
  <si>
    <t>CustomStorageClass</t>
    <phoneticPr fontId="1" type="noConversion"/>
  </si>
  <si>
    <t>MemorySection</t>
    <phoneticPr fontId="1" type="noConversion"/>
  </si>
  <si>
    <t>HeaderFile</t>
    <phoneticPr fontId="1" type="noConversion"/>
  </si>
  <si>
    <t>DefinitionFile</t>
    <phoneticPr fontId="1" type="noConversion"/>
  </si>
  <si>
    <t>DataType</t>
    <phoneticPr fontId="1" type="noConversion"/>
  </si>
  <si>
    <t>Min</t>
    <phoneticPr fontId="1" type="noConversion"/>
  </si>
  <si>
    <t>Max</t>
    <phoneticPr fontId="1" type="noConversion"/>
  </si>
  <si>
    <t>Dimensions</t>
    <phoneticPr fontId="1" type="noConversion"/>
  </si>
  <si>
    <t>DocUnits</t>
    <phoneticPr fontId="1" type="noConversion"/>
  </si>
  <si>
    <t>Description</t>
    <phoneticPr fontId="1" type="noConversion"/>
  </si>
  <si>
    <t>Formula</t>
    <phoneticPr fontId="1" type="noConversion"/>
  </si>
  <si>
    <t>RACK_NUMBER_FOR_EVERY_BANK</t>
    <phoneticPr fontId="1" type="noConversion"/>
  </si>
  <si>
    <t>BMS.Parameter</t>
    <phoneticPr fontId="1" type="noConversion"/>
  </si>
  <si>
    <t>BMS.Parameter</t>
    <phoneticPr fontId="1" type="noConversion"/>
  </si>
  <si>
    <t>[4]</t>
    <phoneticPr fontId="1" type="noConversion"/>
  </si>
  <si>
    <t>[1 1]</t>
    <phoneticPr fontId="1" type="noConversion"/>
  </si>
  <si>
    <t>NA</t>
    <phoneticPr fontId="1" type="noConversion"/>
  </si>
  <si>
    <t>FAULT_TOTAL_NUMBER</t>
    <phoneticPr fontId="1" type="noConversion"/>
  </si>
  <si>
    <t>[200]</t>
    <phoneticPr fontId="1" type="noConversion"/>
  </si>
  <si>
    <t>NA</t>
    <phoneticPr fontId="1" type="noConversion"/>
  </si>
  <si>
    <t>CELL_TYPE</t>
    <phoneticPr fontId="1" type="noConversion"/>
  </si>
  <si>
    <t>[0]</t>
    <phoneticPr fontId="1" type="noConversion"/>
  </si>
  <si>
    <t>-</t>
    <phoneticPr fontId="1" type="noConversion"/>
  </si>
  <si>
    <t>NA</t>
    <phoneticPr fontId="1" type="noConversion"/>
  </si>
  <si>
    <t>[1]</t>
    <phoneticPr fontId="1" type="noConversion"/>
  </si>
  <si>
    <t>[1 1]</t>
    <phoneticPr fontId="1" type="noConversion"/>
  </si>
  <si>
    <t>CELL_PARALLEL_NUMBER_PER_RACK_BMS</t>
    <phoneticPr fontId="1" type="noConversion"/>
  </si>
  <si>
    <t>[1]</t>
    <phoneticPr fontId="1" type="noConversion"/>
  </si>
  <si>
    <t>[10]</t>
    <phoneticPr fontId="1" type="noConversion"/>
  </si>
  <si>
    <t>Number of cell parallel between modules within a branch</t>
    <phoneticPr fontId="1" type="noConversion"/>
  </si>
  <si>
    <t>NA</t>
    <phoneticPr fontId="1" type="noConversion"/>
  </si>
  <si>
    <t>CELL_PARALLEL_NUMBER_INTERNAL_MODULE</t>
    <phoneticPr fontId="1" type="noConversion"/>
  </si>
  <si>
    <t>BMS.Parameter</t>
    <phoneticPr fontId="1" type="noConversion"/>
  </si>
  <si>
    <t>[1]</t>
    <phoneticPr fontId="1" type="noConversion"/>
  </si>
  <si>
    <t>[10]</t>
    <phoneticPr fontId="1" type="noConversion"/>
  </si>
  <si>
    <t>BMS.Parameter</t>
    <phoneticPr fontId="1" type="noConversion"/>
  </si>
  <si>
    <t>[1175]</t>
    <phoneticPr fontId="1" type="noConversion"/>
  </si>
  <si>
    <t>BESS_ALLOWED_RACK_FOR_PARTIAL_OPERATION_MIN</t>
    <phoneticPr fontId="1" type="noConversion"/>
  </si>
  <si>
    <t>RACK_AFE_NUMBER</t>
    <phoneticPr fontId="1" type="noConversion"/>
  </si>
  <si>
    <t>[32]</t>
    <phoneticPr fontId="1" type="noConversion"/>
  </si>
  <si>
    <t>Custom</t>
    <phoneticPr fontId="1" type="noConversion"/>
  </si>
  <si>
    <t>-</t>
    <phoneticPr fontId="1" type="noConversion"/>
  </si>
  <si>
    <t>int32</t>
    <phoneticPr fontId="1" type="noConversion"/>
  </si>
  <si>
    <t>[1]</t>
    <phoneticPr fontId="1" type="noConversion"/>
  </si>
  <si>
    <t>[100]</t>
    <phoneticPr fontId="1" type="noConversion"/>
  </si>
  <si>
    <t>Nbr</t>
    <phoneticPr fontId="1" type="noConversion"/>
  </si>
  <si>
    <t>MODULE_AFE_NUMBER</t>
    <phoneticPr fontId="1" type="noConversion"/>
  </si>
  <si>
    <t>BMS.Parameter</t>
    <phoneticPr fontId="1" type="noConversion"/>
  </si>
  <si>
    <t>[4]</t>
    <phoneticPr fontId="1" type="noConversion"/>
  </si>
  <si>
    <t>-</t>
    <phoneticPr fontId="1" type="noConversion"/>
  </si>
  <si>
    <t>int32</t>
    <phoneticPr fontId="1" type="noConversion"/>
  </si>
  <si>
    <t>[100]</t>
    <phoneticPr fontId="1" type="noConversion"/>
  </si>
  <si>
    <t>[1 1]</t>
    <phoneticPr fontId="1" type="noConversion"/>
  </si>
  <si>
    <t>AFE number per module</t>
    <phoneticPr fontId="1" type="noConversion"/>
  </si>
  <si>
    <t>AFE_CELL_VOLTAGE_SAMPLING_NUMBER</t>
    <phoneticPr fontId="1" type="noConversion"/>
  </si>
  <si>
    <t>[13]</t>
    <phoneticPr fontId="1" type="noConversion"/>
  </si>
  <si>
    <t>[30]</t>
    <phoneticPr fontId="1" type="noConversion"/>
  </si>
  <si>
    <t>Cell voltage sampling number for every AFE</t>
    <phoneticPr fontId="1" type="noConversion"/>
  </si>
  <si>
    <t>BBMS_SW_VERSION</t>
    <phoneticPr fontId="1" type="noConversion"/>
  </si>
  <si>
    <t>Import</t>
    <phoneticPr fontId="1" type="noConversion"/>
  </si>
  <si>
    <t>[]</t>
    <phoneticPr fontId="1" type="noConversion"/>
  </si>
  <si>
    <t>[1 8]</t>
    <phoneticPr fontId="1" type="noConversion"/>
  </si>
  <si>
    <r>
      <t>Rack</t>
    </r>
    <r>
      <rPr>
        <sz val="11"/>
        <rFont val="宋体"/>
        <family val="3"/>
        <charset val="134"/>
      </rPr>
      <t>软件版本号</t>
    </r>
    <phoneticPr fontId="1" type="noConversion"/>
  </si>
  <si>
    <t>int32</t>
    <phoneticPr fontId="1" type="noConversion"/>
  </si>
  <si>
    <t>[100]</t>
    <phoneticPr fontId="1" type="noConversion"/>
  </si>
  <si>
    <t>Actual module number</t>
  </si>
  <si>
    <t>RACK_AFE_NUMBER/MODULE_AFE_NUMBER</t>
    <phoneticPr fontId="1" type="noConversion"/>
  </si>
  <si>
    <t>Custom</t>
    <phoneticPr fontId="0" type="noConversion"/>
  </si>
  <si>
    <t>SystemDefine</t>
    <phoneticPr fontId="0" type="noConversion"/>
  </si>
  <si>
    <t>-</t>
    <phoneticPr fontId="0" type="noConversion"/>
  </si>
  <si>
    <t>int32</t>
    <phoneticPr fontId="0" type="noConversion"/>
  </si>
  <si>
    <t>Nbr</t>
    <phoneticPr fontId="0" type="noConversion"/>
  </si>
  <si>
    <t>[1000]</t>
    <phoneticPr fontId="1" type="noConversion"/>
  </si>
  <si>
    <t>Actual module/cell temperature number per rack</t>
    <phoneticPr fontId="1" type="noConversion"/>
  </si>
  <si>
    <t>RACK_MODULE_NUMBER*MODULE_CELL_TEMPERATURE_SENSOR_NUMBER</t>
    <phoneticPr fontId="1" type="noConversion"/>
  </si>
  <si>
    <t>single</t>
    <phoneticPr fontId="1" type="noConversion"/>
  </si>
  <si>
    <t>[2000]</t>
    <phoneticPr fontId="1" type="noConversion"/>
  </si>
  <si>
    <t>kWh</t>
    <phoneticPr fontId="1" type="noConversion"/>
  </si>
  <si>
    <t>Single cell rate energy</t>
    <phoneticPr fontId="1" type="noConversion"/>
  </si>
  <si>
    <t>single</t>
    <phoneticPr fontId="1" type="noConversion"/>
  </si>
  <si>
    <t>CELL_RATE_ENERGY*CELL_PARALLEL_NUMBER_PER_RACK_BMS*CELL_PARALLEL_NUMBER_INTERNAL_MODULE*TOTAL_SERIES_CELL_NUMBER_PER_RACK_BMS</t>
    <phoneticPr fontId="1" type="noConversion"/>
  </si>
  <si>
    <t>AFE_TEMPERATURE_SENSOR_MUX_NUMBER</t>
  </si>
  <si>
    <t>temperature sampling mux number for every AFE</t>
  </si>
  <si>
    <t>RACK_TEMPERATURE_SENSOR_MUX_NUMBER</t>
  </si>
  <si>
    <t>temperature sampling mux number for every rack</t>
  </si>
  <si>
    <t>CELL_RATE_VOLTAGE</t>
  </si>
  <si>
    <t>uint16</t>
  </si>
  <si>
    <t>[10000]</t>
  </si>
  <si>
    <t>mV</t>
  </si>
  <si>
    <t>Rated Voltage of the Battery Cell</t>
  </si>
  <si>
    <t>CELL_RATE_CAPACITY*CELL_RATE_VOLTAGE/1000/1000</t>
  </si>
  <si>
    <t>RACK_AFE_NUMBER_MAX * AFE_TEMPERATURE_SENSOR_MUX_NUMBER</t>
  </si>
  <si>
    <t>RACK_AFE_NUMBER_MAX</t>
  </si>
  <si>
    <t>[32]</t>
  </si>
  <si>
    <t>[100]</t>
  </si>
  <si>
    <t>The capability of max AFE number</t>
  </si>
  <si>
    <t>ACIS_BMS_BOARD</t>
  </si>
  <si>
    <t>[3]</t>
  </si>
  <si>
    <t>different board-level BMS 1:BBMS 2:RBMS of two-tier BMS 3:RBMS of three-tier BMS</t>
  </si>
  <si>
    <t>NVM_WRITE_FLAG_HOLD_TIME</t>
  </si>
  <si>
    <t>[65535]</t>
  </si>
  <si>
    <t>ms</t>
  </si>
  <si>
    <t>The NVM write flag from ASW must remain set to true during this period to ensure the signal is successfully received by BSW.</t>
  </si>
  <si>
    <t>RACK_MODULE_NUMBER</t>
  </si>
  <si>
    <t>TOTAL_SERIES_CELL_NUMBER_PER_RACK_BMS</t>
  </si>
  <si>
    <t>TOTAL_MODULE_TEMPERATURE_SENSOR_NUMBER_PER_RACK_BMS</t>
  </si>
  <si>
    <t>CELL_RATE_ENERGY</t>
  </si>
  <si>
    <t>RATE_ENERGY_PER_BRANCH</t>
  </si>
  <si>
    <t>THMC_TMS_STRATEGY</t>
    <phoneticPr fontId="1" type="noConversion"/>
  </si>
  <si>
    <r>
      <t>TMS_STRATEGY
0</t>
    </r>
    <r>
      <rPr>
        <sz val="11"/>
        <rFont val="宋体"/>
        <family val="3"/>
        <charset val="134"/>
      </rPr>
      <t>：</t>
    </r>
    <r>
      <rPr>
        <sz val="11"/>
        <rFont val="Arial"/>
        <family val="2"/>
      </rPr>
      <t>BMS10</t>
    </r>
    <r>
      <rPr>
        <sz val="11"/>
        <rFont val="宋体"/>
        <family val="3"/>
        <charset val="134"/>
      </rPr>
      <t>热管理策略-BMS10/LC25
1：BMS11热管理策略-BMS11/BMS12/SIB
2：BMS20热管理策略-MIC/BMS20/RTG
3：BMS13热管理策略-BMS13/BMS14</t>
    </r>
    <phoneticPr fontId="1" type="noConversion"/>
  </si>
  <si>
    <t>[2]</t>
    <phoneticPr fontId="1" type="noConversion"/>
  </si>
  <si>
    <t>[0]</t>
    <phoneticPr fontId="1" type="noConversion"/>
  </si>
  <si>
    <t>[3200]</t>
  </si>
  <si>
    <t>故障等级</t>
  </si>
  <si>
    <t>故障报警</t>
  </si>
  <si>
    <t>继电器状态</t>
  </si>
  <si>
    <t>上下高压限制</t>
  </si>
  <si>
    <t>不限制</t>
  </si>
  <si>
    <t>闭合</t>
  </si>
  <si>
    <t>CAT1</t>
  </si>
  <si>
    <t>断开</t>
  </si>
  <si>
    <t>禁止上高压</t>
  </si>
  <si>
    <t>TOTAL_SERIES_CELL_NUMBER_PER_RACK_MAX_REAL</t>
  </si>
  <si>
    <t>[416]</t>
  </si>
  <si>
    <t>[1000]</t>
  </si>
  <si>
    <t>Actual total cell number for real 1500v system</t>
  </si>
  <si>
    <t>RACK_MODULE_NUMBER_MAX</t>
  </si>
  <si>
    <t>The capability of max module number</t>
  </si>
  <si>
    <t>RACK_AFE_NUMBER_MAX/MODULE_AFE_NUMBER</t>
  </si>
  <si>
    <t>V1.5</t>
  </si>
  <si>
    <t>zhangyf03</t>
  </si>
  <si>
    <t>BBMS Platform
0:BBMS1.0
1:BBMS2.0 M Core 
2:BBMS2.0 A Core</t>
  </si>
  <si>
    <t>BBMS_Platform</t>
  </si>
  <si>
    <t>Max number of cell parallel between modules within a branch</t>
  </si>
  <si>
    <t>RACK_NUMBER_FOR_EVERY_BANK_MAX</t>
  </si>
  <si>
    <t>[12]</t>
  </si>
  <si>
    <t>Date</t>
  </si>
  <si>
    <t>2024-10-30</t>
  </si>
  <si>
    <t>2024-11-19</t>
  </si>
  <si>
    <t>2024-11-20</t>
  </si>
  <si>
    <t>2024-11-26</t>
  </si>
  <si>
    <t>2024-11-27</t>
  </si>
  <si>
    <t>2024-11-28</t>
  </si>
  <si>
    <t>2024-12-10</t>
  </si>
  <si>
    <t>2024-12-23</t>
  </si>
  <si>
    <t>2024-12-24</t>
  </si>
  <si>
    <t>2024-12-25</t>
  </si>
  <si>
    <t>2024-12-27</t>
  </si>
  <si>
    <t>2025-01-15</t>
  </si>
  <si>
    <t>2025-01-24</t>
  </si>
  <si>
    <t>2025-03-19</t>
  </si>
  <si>
    <t>2025-03-20</t>
  </si>
  <si>
    <t>2025-03-27</t>
  </si>
  <si>
    <t>2025-04-10</t>
  </si>
  <si>
    <t>2025-04-11</t>
  </si>
  <si>
    <t>2025-04-14</t>
  </si>
  <si>
    <t>2025-04-16</t>
  </si>
  <si>
    <t>2025-04-21</t>
  </si>
  <si>
    <t>2025-04-23</t>
  </si>
  <si>
    <t>2025-05-06</t>
  </si>
  <si>
    <t>2025-05-08</t>
  </si>
  <si>
    <t>2025-05-16</t>
  </si>
  <si>
    <t>2025-05-19</t>
  </si>
  <si>
    <t>2025-05-28</t>
  </si>
  <si>
    <t>2025-05-29</t>
  </si>
  <si>
    <t>2025-05-30</t>
  </si>
  <si>
    <t>2025-06-12</t>
  </si>
  <si>
    <t>2025-06-13</t>
  </si>
  <si>
    <t>2025-06-24</t>
  </si>
  <si>
    <t>2025-07-04</t>
  </si>
  <si>
    <t>2025-07-08</t>
  </si>
  <si>
    <t>2025-07-14</t>
  </si>
  <si>
    <t>2025-07-15</t>
  </si>
  <si>
    <t>2025-07-22</t>
  </si>
  <si>
    <t>2025-07-29</t>
  </si>
  <si>
    <t>2025-08-14</t>
  </si>
  <si>
    <t>Version</t>
  </si>
  <si>
    <t>V0.1</t>
  </si>
  <si>
    <t>V2</t>
  </si>
  <si>
    <t>V3</t>
  </si>
  <si>
    <t>V4</t>
  </si>
  <si>
    <t>V5</t>
  </si>
  <si>
    <t>V6</t>
  </si>
  <si>
    <t>V7</t>
  </si>
  <si>
    <t>V8</t>
  </si>
  <si>
    <t>V9</t>
  </si>
  <si>
    <t>V1.0</t>
  </si>
  <si>
    <t>V1.1</t>
  </si>
  <si>
    <t>V1.2</t>
  </si>
  <si>
    <t>V1.3</t>
  </si>
  <si>
    <t>V1.4</t>
  </si>
  <si>
    <t>V1.5</t>
  </si>
  <si>
    <t>V1.6</t>
  </si>
  <si>
    <t>V1.7</t>
  </si>
  <si>
    <t>V1.8</t>
  </si>
  <si>
    <t>V1.9</t>
  </si>
  <si>
    <t>V2.0</t>
  </si>
  <si>
    <t>V2.1</t>
  </si>
  <si>
    <t>V2.2</t>
  </si>
  <si>
    <t>V2.3</t>
  </si>
  <si>
    <t>V2.4</t>
  </si>
  <si>
    <t>V2.5</t>
  </si>
  <si>
    <t>V2.6</t>
  </si>
  <si>
    <t>V2.7</t>
  </si>
  <si>
    <t>V2.8</t>
  </si>
  <si>
    <t>V2.9</t>
  </si>
  <si>
    <t>V2.10</t>
  </si>
  <si>
    <t>V2.1.1</t>
  </si>
  <si>
    <t>V2.1.2</t>
  </si>
  <si>
    <t>V3</t>
  </si>
  <si>
    <t>V4</t>
  </si>
  <si>
    <t>V5</t>
  </si>
  <si>
    <t>V6</t>
  </si>
  <si>
    <t>V7</t>
  </si>
  <si>
    <t>V8</t>
  </si>
  <si>
    <t>V9</t>
  </si>
  <si>
    <t>V1.0</t>
  </si>
  <si>
    <t>V1.1</t>
  </si>
  <si>
    <t>V1.2</t>
  </si>
  <si>
    <t>V1.3</t>
  </si>
  <si>
    <t>V1.4</t>
  </si>
  <si>
    <t>Author</t>
  </si>
  <si>
    <t>xuc01</t>
  </si>
  <si>
    <t>cheny07</t>
  </si>
  <si>
    <t>xuc01</t>
  </si>
  <si>
    <t>lijy06</t>
  </si>
  <si>
    <t>cheny07</t>
  </si>
  <si>
    <t>lijy06</t>
  </si>
  <si>
    <t>xuc01</t>
  </si>
  <si>
    <t>cheny07</t>
  </si>
  <si>
    <t>lihw</t>
  </si>
  <si>
    <t>xuc01</t>
  </si>
  <si>
    <t>zhangyf03</t>
  </si>
  <si>
    <t>luof03</t>
  </si>
  <si>
    <t>lihw</t>
  </si>
  <si>
    <t>cheny07</t>
  </si>
  <si>
    <t>xuc01</t>
  </si>
  <si>
    <t>luof03</t>
  </si>
  <si>
    <t>xuc01</t>
  </si>
  <si>
    <t>cheny07</t>
  </si>
  <si>
    <t>luof03</t>
  </si>
  <si>
    <t>lijy06</t>
  </si>
  <si>
    <t>cheny07</t>
  </si>
  <si>
    <t>xuc01</t>
  </si>
  <si>
    <t>cheny07</t>
  </si>
  <si>
    <t>xuc01</t>
  </si>
  <si>
    <t>zhangyf03</t>
  </si>
  <si>
    <t>cheny07</t>
  </si>
  <si>
    <t>xuc01</t>
  </si>
  <si>
    <t>zhangyf03</t>
  </si>
  <si>
    <t>luof03</t>
  </si>
  <si>
    <t>lijy06</t>
  </si>
  <si>
    <t>zhangyf03</t>
  </si>
  <si>
    <t>cheny07</t>
  </si>
  <si>
    <t>zhangyf03</t>
  </si>
  <si>
    <t>cheny07</t>
  </si>
  <si>
    <t>lihw</t>
  </si>
  <si>
    <t>Description</t>
  </si>
  <si>
    <t>1st draft from LC25_BBMS</t>
  </si>
  <si>
    <t>BMS20A_BBMS,BMS20M_BBMS-【FaultList】
Correct:
ACIS_FIRE_EXTINGUISHER_ALERT_FAULT
FaultAssertCriteria:消防二级信号低电平→消防二级信号高电平
Comments:→DI4H
ACIS_FIRE_EXTINGUISHER_ALARM_FAULT
FaultAssertCriteria:消防一级信号低电平→消防一级信号高电平
FaultDeassertCriteria:消防一级信号高电平→消防一级信号低电平
Comments:→DI3H
ACIS_FIRE_EXTINGUISHER_WARN_FAULT
FaultAssertCriteria:消防故障信号低电平→消防故障信号高电平
FaultDeassertCriteria:消防故障信号高电平→消防故障信号低电平
DischargeFaultLevel:3→2
ChargeFaultLevel:3→2
Comments:→DI2H
ACIS_PCS_EPO_FAULT
EnableFault:1→0
ACIS_DISTRIBUTION_CAB_EPO_FAULT
EnableFault:1→0
ACIS_QF1_BREAKER_FAULT
FaultAssertCriteria:QF1断路器闭合（低电平）→QF1断路器断开（高电平）
FaultDeassertCriteria:QF1断路器断开（高电平）→QF1断路器闭合（低电平）
Comments:→DI8L
ACIS_SPD2_SURGE_FAULT
FaultDeassertCriteria:SPD2浪涌告警解除（高电平）→下电
DischargeFaultLevel:3→1
ChargeFaultLevel:3→1
Comments:→DI10L
THMC_TMS_LEVEL1_FAULT
FaultDeassertDebounceTime:2s→下电
DischargeFaultLevel:2→1
ChargeFaultLevel:2→1
THMC_TMS_LEVEL2_FAULT
DischargeFaultLevel:3→2
ChargeFaultLevel:3→2
THMC_TMS_REQUEST_DIFF_FAULT
FaultAssertDebounceTime:10s→300s
FaultDeassertDebounceTime:10s→120s
ACIS_DOOR_OPEN_FAULT
Comments:→DI9L
ACIS_WATER_FLOOD_FAULT
Comments:→DI1H
ACIS_CONTAINER_EPO_FAULT
Comments:→DI7L
&gt;&gt;&gt;&gt;&gt;&gt;&gt;&gt;&gt;&gt;&gt;&gt;&gt;&gt;&gt;&gt;&gt;&gt;&gt;&gt;</t>
  </si>
  <si>
    <t>correct：
1. CELL_RATE_CAPACITY [1130]-&gt;[1175]</t>
  </si>
  <si>
    <t>BMS20M_BBMS-【FaultList】
Add:
EMCR_DEHUMIDIFIER_TO_BMS_COMMUNICATION_LOST_FAULT
EMCR_POWER_SUPPLY_ABNORMAL_FAULT
&gt;&gt;&gt;&gt;&gt;&gt;&gt;&gt;&gt;&gt;&gt;&gt;&gt;&gt;&gt;&gt;&gt;&gt;&gt;&gt;</t>
  </si>
  <si>
    <t>BMS20M_BBMS-【FaultList】
Correct:
EMCR_EMS_TO_BMS_COMMUNICATION_LOST_FAULT
EnableFault:1→0
&gt;&gt;&gt;&gt;&gt;&gt;&gt;&gt;&gt;&gt;&gt;&gt;&gt;&gt;&gt;&gt;&gt;&gt;&gt;&gt;</t>
  </si>
  <si>
    <t>BMS20A_BBMS,BMS20M_BBMS-【FaultList】
Add:
ACIS_FIRE_ALARM_ACTIVATED_FAULT
Correct:
ACIS_CONBUSTILE_GAS_FAULT
FaultAssertCriteria:可燃气体告警（低电平）→可燃气体告警（DI5H高边外部无输入，MCU检测高电平）
FaultDeassertCriteria:可燃气体告警解除（高电平）→可燃气体告警解除（DI5H高边外部有输入，MCU检测低电平）
EnableFault:0→1
Comments:→DI5H
ACIS_EXPLOSIONPROOF_FAN_FAULT
FaultAssertCriteria:防爆风机告警（低电平）→防爆风机告警（DI12L低边外部无输入，MCU检测高电平）
FaultDeassertCriteria:防爆风机告警解除（高电平）→防爆风机告警解除（DI12L低边外部无输入，MCU检测高电平）
Comments:→DI12L
ACIS_CONTAINER_EPO_FAULT
FaultAssertCriteria:DI9L低边：常闭（外部有输入）→DI7L(DI7L低边外部无输入，MCU检测高电平）
&gt;&gt;&gt;&gt;&gt;&gt;&gt;&gt;&gt;&gt;&gt;&gt;&gt;&gt;&gt;&gt;&gt;&gt;&gt;&gt;</t>
  </si>
  <si>
    <t>BMS20M_BBMS,BMS20A_BBMS-【FaultList】
Correct:
ACIS_EXPLOSIONPROOF_FAN_FAULT
FaultDeassertCriteria:防爆风机告警解除（DI12L低边外部无输入，MCU检测高电平）→防爆风机告警解除（DI12L低边外部无输入，MCU检测低电平）
&gt;&gt;&gt;&gt;&gt;&gt;&gt;&gt;&gt;&gt;&gt;&gt;&gt;&gt;&gt;&gt;&gt;&gt;&gt;&gt;</t>
  </si>
  <si>
    <t>BMS10_BBMS,BMS20A_BBMS,BMS20M_BBMS,LC25_BBMS-【FaultList】
Correct:
EMCR_DEHUMIDIFIER_TO_BMS_COMMUNICATION_LOST_FAULT
FaultDeassertDebounceTime:NA→5s
&gt;&gt;&gt;&gt;&gt;&gt;&gt;&gt;&gt;&gt;&gt;&gt;&gt;&gt;&gt;&gt;&gt;&gt;&gt;&gt;</t>
  </si>
  <si>
    <t>Add System Parameter CURRENT_SENSOR_ZERO_DRIFT_A</t>
  </si>
  <si>
    <t>BMS20A_BBMS,BMS20M_BBMS-【FaultList】
Correct:
ACIS_PCS_EPO_FAULT
&gt;&gt;&gt;&gt;&gt;&gt;&gt;&gt;&gt;&gt;&gt;&gt;&gt;&gt;&gt;&gt;&gt;&gt;&gt;&gt;</t>
  </si>
  <si>
    <t>BMS10_BBMS,BMS20M_BBMS,LC25_BBMS-【FaultList】
Delete:
ACIS_EXPLOSIONPROOF_FAN_OPEN_FAULT
BKPC_REV_BANK_NUM_MISMATCH_SYS_PARA
MCUD_MCU_FAULT
&gt;&gt;&gt;&gt;&gt;&gt;&gt;&gt;&gt;&gt;&gt;&gt;&gt;&gt;&gt;&gt;&gt;&gt;&gt;&gt;</t>
  </si>
  <si>
    <t>Add System Parameter:
MODULE_AFE_NUMBER
MODULE_CELL_TEMPERATURE_SENSOR_NUMBER
RACK_MODULE_NUMBER
TOTAL_MODULE_TEMPERATURE_SENSOR_NUMBER_PER_RACK_BMS</t>
  </si>
  <si>
    <t>BMS20M_BBMS-【FaultList】
Correct:
BKPC_RACK_TO_BANK_COMMUNICATION_LOST_FAULT
FaultAssertDebounceTime:10s→30s
BKPC_ONERACK_TO_BANK_COMM_LOST_FAULT
FaultAssertDebounceTime:10s→30s
&gt;&gt;&gt;&gt;&gt;&gt;&gt;&gt;&gt;&gt;&gt;&gt;&gt;&gt;&gt;&gt;&gt;&gt;&gt;&gt;</t>
  </si>
  <si>
    <t>BMS20M_BBMS,BMS20A_BBMS-【FaultList】
Correct:
LVPH_24V_INTERNAL_POWER_SUPPLY_OVERORUNDER_VOLTAGE_FAULT
EnableFault:1→0
LVPH_12V_INTERNAL_POWER_SUPPLY_OVERORUNDER_VOLTAGE_FAULT
EnableFault:1→0
&gt;&gt;&gt;&gt;&gt;&gt;&gt;&gt;&gt;&gt;&gt;&gt;&gt;&gt;&gt;&gt;&gt;&gt;&gt;&gt;</t>
  </si>
  <si>
    <t>BMS20M_BBMS,RTG10M_BBMS-【FaultList】
Correct:
BKPC_RACK_TO_BANK_COMMUNICATION_LOST_FAULT
FaultDescription:所有RBMS通讯丢失→所有RBMS通讯丢失【SbBKPC_AllRackCommLostPreFltFlg；SbBKPC_AllRackCommLostFltFlg】
FaultAssertDebounceTime:30s→【CcBKPC_RackCommLostJudgeDurms=30000】ms
BKPC_ONERACK_TO_BANK_COMM_LOST_FAULT
FaultDescription:至少一个RBMS通讯丢失→至少一个RBMS通讯丢失【SbBKPC_OneRackCommLostPreFltFlg；SbBKPC_OneRackCommLostFltFlg】
FaultAssertDebounceTime:30s→【CcBKPC_RackCommLostJudgeDurms=30000】ms
FaultDeassertDebounceTime:10s→【CcBKPC_RackCommLostRcvryDurms=10000】ms
BKPC_DELTA_BRANCH_OVERTEMP_FAULT
FaultDescription:所有簇温差过大故障→所有簇温差过大故障【SbBKPC_DeltaTempOverPreFltFlg；SbBKPC_DeltaTempOverFlt】
FaultAssertCriteria:MaxBT-MinBT&gt;15℃→MaxBT-MinBT&gt;【CcBKPC_DeltaBrnTempFltTDegC=15】℃
FaultAssertDebounceTime:10s→【CcBKPC_DeltaBrnTempFltDiagTims=10000】ms
FaultDeassertCriteria:MaxBT-MinBT&lt;10℃→MaxBT-MinBT&lt;【CcBKPC_DeltaBrnTempFltRcvryTDegC=10】℃
FaultDeassertDebounceTime:10s→【CcBKPC_DeltaBrnTempFltRcvryTims=10000】ms
BKPC_DELTA_BRANCH_OVERCURRENT_LEVEL1_FAULT
FaultDescription:电池簇间环流越限1级→电池簇间环流越限1级【SbBKPC_DeltaCurrOverLv1PreFltFlg；SbBKPC_DeltaCurrOverLv1Flt】
FaultAssertCriteria:MaxRI - MinRI&gt;70A→MaxRI - MinRI&gt;【CcBKPC_DeltaBrnCurrLvOneFltA=70】A
FaultAssertDebounceTime:5s→【CcBKPC_DeltaBrnCurrFltDiagTims=5000】ms
BKPC_DELTA_BRANCH_OVERCURRENT_LEVEL2_FAULT
FaultDescription:电池簇间环流越限2级→电池簇间环流越限2级【SbBKPC_DeltaCurrOverLv2PreFltFlg；SbBKPC_DeltaCurrOverLv2Flt】
FaultAssertCriteria:MaxRI - MinRI&gt;50A→MaxRI - MinRI&gt;【CcBKPC_DeltaBrnCurrLvTwoFltA=50】A
FaultAssertDebounceTime:5s→【CcBKPC_DeltaBrnCurrFltDiagTims=5000】ms
FaultDeassertCriteria:MaxRI - MinRI&lt;30A→MaxRI - MinRI&lt;【CcBKPC_DeltaBrnCurrLvTwoFltRcvryA=30】A
FaultDeassertDebounceTime:5s→【CcBKPC_DeltaBrnCurrFltRcvryTims=5000】ms
BKPC_DELTA_BRANCH_OVERCURRENT_LEVEL3_FAULT
FaultDescription:电池簇间环流越限3级→电池簇间环流越限3级【SbBKPC_DeltaCurrOverLv3PreFltFlg；SbBKPC_DeltaCurrOverLv3Flt】
FaultAssertCriteria:MaxRI - MinRI&gt;30A→MaxRI - MinRI&gt;【CcBKPC_DeltaBrnCurrLvThreeFltA=30】A
FaultAssertDebounceTime:5s→【CcBKPC_DeltaBrnCurrFltDiagTims=5000】ms
FaultDeassertCriteria:MaxRI - MinRI&lt;20A→MaxRI - MinRI&lt;【CcBKPC_DeltaBrnCurrLvThreeFltRcvryA=20】A
FaultDeassertDebounceTime:5s→【CcBKPC_DeltaBrnCurrFltRcvryTims=5000】ms
BKPC_PCS_TO_BANK_COMMUNICATION_LOST_FAULT
FaultDescription:PCS通信丢失故障→PCS通信丢失故障【SbBKPC_PCSCommLostPreFltFlg；SbBKPC_PCSCommLostFltFlg】
FaultAssertDebounceTime:10s→【CcBKPC_PCSCommLostJudgeDurms=10000】ms
BCFR_EXCESSIVE_VOLTAGE_DIFF_FAULT
FaultDescription:簇间压差过大故障→簇间压差过大故障【SaEMCR_RackV，SbBCFR_ExcVoltDiffPreFltFlg；SbBCFR_ExcessiveVoltDiffFlt】
FaultAssertCriteria:Rack之间电压差大于20V→Rack之间电压差&gt;【CcBCFR_ClstrVoltDiffOverThd=20】V
FaultAssertDebounceTime:3s→【CcBCFR_ExceVolDiffFltSetTims=3000】ms
FaultDeassertCriteria:Rack之间电压差小于等于20V→Rack之间电压差≤【CcBCFR_ClstrVoltDiffOverThd=20】V
FaultDeassertDebounceTime:3s→【CcBCFR_ExceVolDiffFltClrTims=3000】ms
ACIS_IDLEARN_FAILED_FAULT
FaultDescription:IDLearm编码失败→IDLearm编码失败【BSWSIDLearnSt；SbACIS_IDLearnFailedFlt】
FaultAssertDebounceTime:100ms→【CcACIS_IDLearnFailedJudgeDurms=100】ms
FaultDeassertCriteria:下电→启动地址编码完成
FaultDeassertDebounceTime:NA→【CcACIS_IDLearnFailedRcvryDurms=100】ms
THMC_TMS_REQUEST_DIFF_FAULT
FaultDescription:水冷机组工作模式不匹配故障→水冷机组工作模式不匹配故障【ScTMCR_TMSWorkMode，ScTHMC_RqrdTMSWrStState；SbTHMC_TMSWorkStDiffFlg】
FaultAssertDebounceTime:300s→【CcTHMC_TMSWorkStausErrRisTime =300000】ms
FaultDeassertDebounceTime:120s→【CcTHMC_TMSWorkStausErrFailTime=120000】s
THMC_TMS_LEVEL1_FAULT
FaultDescription:水冷机一级故障→水冷机一级故障【ScTMCR_TMSFltLevelState，SbTMCR_TMSMsgAvlFlg；SbTHMC_TMSLvl1Flt】
FaultAssertDebounceTime:5s→【CcTHMC_TMSFaultJudgeDur=5000】ms
FaultDeassertCriteria:TMS故障报文显示无1级故障→TMS故障报文显示无1级故障【ScTMCR_TMSFltLevelState ~=1】
THMC_TMS_LEVEL2_FAULT
FaultDescription:水冷机二级故障→水冷机二级故障【ScTMCR_TMSFltLevelState，SbTMCR_TMSMsgAvlFlg；SbTHMC_TMSLvl2Flt】
FaultAssertDebounceTime:5s→【CcTHMC_TMSFaultJudgeDur=5000】ms
FaultDeassertCriteria:TMS故障报文显示无2级故障→TMS故障报文显示无2级故障【ScTMCR_TMSFltLevelState ~=2】
FaultDeassertDebounceTime:2s→【CcTHMC_TMSFaultRcvryDur=2000】ms
TMCR_TMS_TO_BANK_COMMUNICATION_LOST_FAULT
FaultDescription:TMS通讯丢失→TMS通讯丢失【BSWSTMSMsgAvlFlg】
FaultAssertDebounceTime:10s→【CcTMCR_TMSCommLostJudgeDur = 10000】ms
FaultDeassertDebounceTime:10s→【CcTMCR_TMSCommLostRcvryDur=10000】ms
LVPH_24V_INTERNAL_POWER_SUPPLY_OVERORUNDER_VOLTAGE_FAULT
FaultDescription:24V电压超范围故障→24V电压超范围故障【ScLVPS_24VIntPowSplyValV，SbLVPS_24VIntPowSplyVldFlg，SbLVPH_24VIntPowSplyOVPrefail；SbLVPH_24VIntPowSplyOVFlt】
FaultAssertCriteria:24V供电电压大于32V或24V供电电压小于18V→24V供电电压&gt;【CcLVPH_24VIntPowSplyOVFltCfmThdV=32】V或24V供电电压&lt;【CcLVPH_24VIntPowSplyUVFltCfmThdV=18】V
FaultAssertDebounceTime:1s→【CcLVPH_24VIntPowSplyOVORUNFltSetTims=1000】ms
FaultDeassertCriteria:1.24V供电电压大于等于18
2.24V供电电压小于等于32→1）24V供电电压≥【CcLVPH_24VIntPowSplyUVFltCfmThdV=18】V
2）24V供电电压≤【CcLVPH_24VIntPowSplyOVFltCfmThdV=32】V
FaultDeassertDebounceTime:1s→【CcLVPH_24VIntPowSplyOVORUNFltClrTims=1000】ms
LVPH_12V_INTERNAL_POWER_SUPPLY_OVERORUNDER_VOLTAGE_FAULT
FaultDescription:12V电压超范围故障→12V电压超范围故障【ScLVPS_12VIntPowSplyValV，SbLVPS_12VIntPowSplyVldFlg，SbLVPH_12VIntPowSplyOVPrefail；SbLVPH_12VIntPowSplyOVFlt】
FaultAssertCriteria:12V供电电压大于18V或者12V供电电压小于7.2V→12V供电电压&gt;【CcLVPH_12VIntPowSplyOVFltCfmThdV=18】V或者12V供电电压&lt;【CcLVPH_12VIntPowSplyUNFltCfmThdV=7.2】V
FaultAssertDebounceTime:1s→【CcLVPH_12VIntPowSplyOVORUNFltSetTims=1000】ms
FaultDeassertCriteria:1.12V供电电压大于等于7.2
2.12V供电电压小于等于18→1）12V供电电压≥【CcLVPH_12VIntPowSplyUNFltCfmThdV=7.2】V
2）12V供电电压≤【CcLVPH_12VIntPowSplyOVFltCfmThdV=18】V
FaultDeassertDebounceTime:1s→【CcLVPH_12VIntPowSplyOVORUNFltClrTims=1000】ms
BSOX_OVERPOWER_FAULT
FaultDescription:过功率故障→过功率故障【SbBSOX_OverPowPreFlt，SbBSOX_OverPowFlt】
FaultAssertDebounceTime:10s→【CcBSOX_OverPowConTims=10000】ms
FaultDeassertDebounceTime:10s→【CcBSOX_OverPowClrTims=10000】ms
BSOX_SOC_DIFF_FAULT
FaultDescription:Rack间SOC差距过大故障→Rack间SOC差距过大故障【SbBSOX_SOCDiffPreFlt，SbBSOX_SOCDiffFlt】
FaultAssertCriteria:Rack间SOC差大于40→Rack间SOC差大于【CcBSOX_SOCDiffUpper=40】%
FaultAssertDebounceTime:10s→【CcBSOX_SOCDiffConTims=10000】ms
FaultDeassertDebounceTime:10s→【CcBSOX_SOCDiffClrTims=10000】ms
ACIS_DOOR_OPEN_FAULT
FaultDescription:门禁故障→门禁故障【BSWSDoorOpenFlg；SbACIS_DoorOpenFlt】
FaultAssertDebounceTime:3s→【CcACIS_DoorOpenFltConTims = 3000】ms
FaultDeassertDebounceTime:3s→【CcACIS_DoorOpenFltClrTims = 3000】ms
ACIS_QF1_BREAKER_FAULT
FaultDescription:QF1断路器故障→QF1断路器故障【BSWSQF1BrkFlg；SbACIS_QF1BrkFlt】
FaultAssertDebounceTime:3s→【CcACIS_QF1BrkFltConTims = 3000】ms
FaultDeassertDebounceTime:3s→【CcACIS_QF1BrkFltClrTims=3000】ms
ACIS_SPD2_SURGE_FAULT
FaultDescription:SPD2浪涌故障→SPD2浪涌故障【BSWSSPD2SrgFlg；SbACIS_SPD2SrgFlt】
FaultAssertDebounceTime:3s→【CcACIS_SPD2SrgFltConTims = 3000】ms
FaultDeassertDebounceTime:3s→【CcACIS_SPD2SrgFltClrTims=3000】ms
ACIS_WATER_FLOOD_FAULT
FaultDescription:水浸告警故障→水浸告警故障【BSWSWtrFldFlg；SbACIS_WtrFldFlt】
FaultAssertDebounceTime:300s→【CcACIS_WtrFldFltConNbr=300000】ms
ACIS_CONBUSTILE_GAS_FAULT
FaultDescription:可燃气体告警故障→可燃气体告警故障【BSWSCmbstlGasFlg；SbACIS_CmbstlGasFlt】
FaultAssertDebounceTime:3s→【CcACIS_CmbstlGasFltConTims=3000】ms
FaultDeassertDebounceTime:3s→【CcACIS_CmbstlGasFltClrTims=3000】ms
ACIS_EXPLOSIONPROOF_FAN_FAULT
FaultDescription:防爆风机告警故障→防爆风机告警故障【BSWSExpprfFanFlg；SbACIS_ExpprfFanFlt】
FaultAssertDebounceTime:3s→【CcACIS_ExpprfFanFltConTims=3000】ms
FaultDeassertDebounceTime:3s→【CcACIS_ExpprfFanFltClrTims=3000】ms
ACIS_FIRE_EXTINGUISHER_ALERT_FAULT
FaultDescription:消防一级故障→消防一级故障【BSWSFireExtAlertFlg；SbACIS_FireExtAlertFlt】
FaultAssertDebounceTime:3s→【CcACIS_FireExtAlertFltConTims =3000】ms
ACIS_FIRE_EXTINGUISHER_ALARM_FAULT
FaultDescription:消防二级故障→消防二级故障【BSWSFireExtAlarmFlg；SbACIS_FireExtAlarmFlt】
FaultAssertDebounceTime:3s→【CcACIS_FireExtAlarmFltConTims=3000】ms
FaultDeassertDebounceTime:3s→【CcACIS_FireExtAlarmFltClrTims =3000】ms
ACIS_FIRE_EXTINGUISHER_WARN_FAULT
FaultDescription:消防三级故障→消防三级故障【BSWSFireExtWarnFlg；SbACIS_FireExtWarnFlt】
FaultAssertDebounceTime:3s→【CcACIS_FireExtWarnFltConTims= 3000】ms
FaultDeassertDebounceTime:3s→【CcACIS_FireExtWarnFltClrTims=3000】ms
EMCR_UPS_TO_BMS_COMMUNICATION_LOST_FAULT
FaultDescription:UPS通讯节点丢失故障→UPS通讯节点丢失故障【BSWSUPSHeartbeat、SbEMCR_UPSCommLostFltFlg】
FaultAssertDebounceTime:30s→【CcEMCR_UPSCommLostJudgeDurms=30000】ms
FaultDeassertDebounceTime:3s→【CcEMCR_UPSCommLostRcvryDurms=3000】ms
EMCR_ENERGYMETER_TO_BMS_COMMUNICATION_LOST_FAULT
FaultDescription:电表通讯节点丢失故障→电表通讯节点丢失故障【BSWSEnymetrHeartbeat、SbEMCR_EnergymeterCommLostFltFlg】
FaultAssertDebounceTime:30s→【CcEMCR_EnergymeterCommLostJudgeDurms=30000】ms
FaultDeassertDebounceTime:3s→【CcEMCR_EnergymeterCommLostRcvryDurms=3000】ms
ACIS_PCS_EPO_FAULT
FaultDescription:PCS急停故障→PCS急停故障【BSWSPCSEPOFlg；SbACIS_PCSEPOFlt】
FaultAssertDebounceTime:3S→【CcACIS_PCSEPOFltConTims=3000】ms
ACIS_CONTAINER_EPO_FAULT
FaultDescription:集装箱急停故障→集装箱急停故障【BSWSDistriCabEPOFlg；SbACIS_DistrCabEPOFlt】
FaultAssertDebounceTime:3S→【CcACIS_ContainerEPOFltConTims=3000】ms
ACIS_DISTRIBUTION_CAB_EPO_FAULT
FaultDescription:配电柜急停故障→配电柜急停故障【BSWSContainerEPOFlg；SbACIS_ContainerEPOFlt】
FaultAssertDebounceTime:3S→【CcACIS_DistrCabEPOFltConTims=3000】ms
EMCR_EMS_TO_BMS_COMMUNICATION_LOST_FAULT
FaultDescription:EMS通讯节点丢失故障→EMS通讯节点丢失故障【BSWEMSMsgAvlFlg、SbEMCR_EMSCommLostFltFlg】
FaultAssertDebounceTime:30s→【CcEMCR_EMSCommLostJudgeDurms=30000】ms
EMCR_DEHUMIDIFIER_TO_BMS_COMMUNICATION_LOST_FAULT
FaultDescription:除湿机通讯节点丢失故障→除湿机通讯节点丢失故障【BSWDehumidifierMsgAvlFlg、SbEMCR_DehumidifierComLostFltFlg】
FaultAssertDebounceTime:30s→【CcEMCR_DehumidifierCommLostJudgeDurms=30000】ms
FaultDeassertDebounceTime:5s→【CcEMCR_DehumidifierCommLostRcvryDurms=5000】ms
EMCR_POWER_SUPPLY_ABNORMAL_FAULT
FaultDescription:市电异常故障→市电异常故障【BSWPowerABPhaseVolV、BSWPowerACPhaseVolV、BSWPowerBCPhaseVolV、SbEMCR_PowerSupplyAbnormalFltFlg】
FaultAssertCriteria:电表信息A-B电压、A-C电压、B-C电压任一小于100V→任一电表信息A-B电压、A-C电压、B-C电压&lt;【CcEMCR_PowerSupplyAbnormalFltThdV=100】V
FaultAssertDebounceTime:2h→【CcEMCR_PowerSupplyAbnormalJudgeDurms=7200000】ms
ACIS_FIRE_ALARM_ACTIVATED_FAULT
FaultDescription:消防火警启动异常→消防火警启动异常【BSWSCmbstlGasFlg，BSWSExpprfFanFlg；SbACIS_FireAlarmActedFlt】
FaultAssertDebounceTime:3s→【CcACIS_FireAlarmActedFltConTims=3000】ms
&gt;&gt;&gt;&gt;&gt;&gt;&gt;&gt;&gt;&gt;&gt;&gt;&gt;&gt;&gt;&gt;&gt;&gt;&gt;&gt;</t>
  </si>
  <si>
    <t>BMS20M_BBMS,RTG10M_BBMS-【FaultList】
Correct:
ACIS_WATER_FLOOD_FAULT
FaultAssertDebounceTime:【CcACIS_WtrFldFltConNbr=300000】ms→【CcACIS_WtrFldFltConNbr=30000】Nbr
&gt;&gt;&gt;&gt;&gt;&gt;&gt;&gt;&gt;&gt;&gt;&gt;&gt;&gt;&gt;&gt;&gt;&gt;&gt;&gt;</t>
  </si>
  <si>
    <t>SystemParam: 
add: CELL_RATE_VOLTAGE, AFE_TEMPERATURE_SENSOR_MUX_NUMBER, RACK_TEMPERATURE_SENSOR_MUX_NUMBER,
correct CELL_RATE_ENERGY</t>
  </si>
  <si>
    <t>SystemParam: correct RACK_TEMPERATURE_SENSOR_MUX_NUMBER formula</t>
  </si>
  <si>
    <t>BMS10_BBMS,BMS20CNM_BBMS,BMS20M_BBMS,LC25_BBMS,RTG10M_BBMS,RTG10CNM_BBMS-【FaultList】
Add:
LVPS_24V_INTERNAL_POWER_SUPPLY_OVERORUNDER_VOLTAGE_FAULT
LVPS_12V_INTERNAL_POWER_SUPPLY_OVERORUNDER_VOLTAGE_FAULT
&gt;&gt;&gt;&gt;&gt;&gt;&gt;&gt;&gt;&gt;&gt;&gt;&gt;&gt;&gt;&gt;&gt;&gt;&gt;&gt;</t>
  </si>
  <si>
    <t>SystemParam: Add ACIS_BMS_BOARD</t>
  </si>
  <si>
    <t>BMS10_BBMS,BMS20A_BBMS,BMS20CNA_BBMS,BMS20CNM_BBMS,BMS20M_BBMS,LC25_BBMS,RTG10A_BBMS,RTG10CNA_BBMS,RTG10CNM_BBMS,RTG10M_BBMS-【FaultList】
Correct:
ACIS_ESTOP_FAULT
EnableFault:1→0
&gt;&gt;&gt;&gt;&gt;&gt;&gt;&gt;&gt;&gt;&gt;&gt;&gt;&gt;&gt;&gt;&gt;&gt;&gt;&gt;</t>
  </si>
  <si>
    <t>BMS10_BBMS,BMS20CNM_BBMS,BMS20M_BBMS,LC25_BBMS,RTG10M_BBMS,RTG10CNM_BBMS-【FaultList】
Delete:
Delete new add fault
LVPS_24V_INTERNAL_POWER_SUPPLY_OVERORUNDER_VOLTAGE_FAULT
LVPS_12V_INTERNAL_POWER_SUPPLY_OVERORUNDER_VOLTAGE_FAULT
Correct:
LVPH_24V_INTERNAL_POWER_SUPPLY_OVERORUNDER_VOLTAGE_FAULT → LVPS_24V_INTERNAL_POWER_SUPPLY_OVERORUNDER_VOLTAGE_FAULT
LVPH_12V_INTERNAL_POWER_SUPPLY_OVERORUNDER_VOLTAGE_FAULT → 
LVPS_12V_INTERNAL_POWER_SUPPLY_OVERORUNDER_VOLTAGE_FAULT
&gt;&gt;&gt;&gt;&gt;&gt;&gt;&gt;&gt;&gt;&gt;&gt;&gt;&gt;&gt;&gt;&gt;&gt;&gt;&gt;</t>
  </si>
  <si>
    <t>BMS10_BBMS,BMS20A_BBMS,BMS20CNA_BBMS,BMS20CNM_BBMS,BMS20M_BBMS,LC25_BBMS,RTG10A_BBMS,RTG10CNA_BBMS,RTG10CNM_BBMS,RTG10M_BBMS-【FaultList】
Correct:
BKPC_RACK_TO_BANK_COMMUNICATION_LOST_FAULT
FaultDescription:所有RBMS通讯丢失【SbBKPC_AllRackCommLostPreFltFlg；SbBKPC_AllRackCommLostFltFlg】→所有RBMS通讯丢失【SbEMCR_AllRackCommLostPreFltFlg；SbEMCR_AllRackCommLostFltFlg】
DiagnoseEnableCondition:上电→上电一分钟、通讯使能
BKPC_ONERACK_TO_BANK_COMM_LOST_FAULT
FaultDescription:至少一个RBMS通讯丢失【SbBKPC_OneRackCommLostPreFltFlg；SbBKPC_OneRackCommLostFltFlg】→至少一个RBMS通讯丢失【SbEMCR_OneRackCommLostPreFltFlg；SbEMCR_OneRackCommLostFltFlg】
DiagnoseEnableCondition:上电→上电一分钟、通讯使能
FaultDeassertCriteria:no rolling counter missing and check sum fail→下电
FaultDeassertDebounceTime:【CcBKPC_RackCommLostRcvryDurms=10000】ms→NA
BKPC_PCS_TO_BANK_COMMUNICATION_LOST_FAULT
FaultDescription:PCS通信丢失故障【SbBKPC_PCSCommLostPreFltFlg；SbBKPC_PCSCommLostFltFlg】→PCS通信丢失故障【BSWSPCSHeartbeat；SbEMCR_PCSCommLostFltFlg】
DiagnoseEnableCondition:PCS通讯故障配置使能→上电
&gt;&gt;&gt;&gt;&gt;&gt;&gt;&gt;&gt;&gt;&gt;&gt;&gt;&gt;&gt;&gt;&gt;&gt;&gt;&gt;</t>
  </si>
  <si>
    <t>BMS10_BBMS,BMS20M_BBMS,LC25_BBMS,RTG10CNM_BBMS,RTG10M_BBMS,BMS20CNM_BBMS-【FaultList】
Add:
ACIS_SPD_DC_SURGE_FAULT
&gt;&gt;&gt;&gt;&gt;&gt;&gt;&gt;&gt;&gt;&gt;&gt;&gt;&gt;&gt;&gt;&gt;&gt;&gt;&gt;</t>
  </si>
  <si>
    <t>SystemParam: Add NVM_WRITE_FLAG_HOLD_TIME</t>
  </si>
  <si>
    <t>SystemParam: update macro defination</t>
  </si>
  <si>
    <t>BMS10_BBMS,BMS20CNM_BBMS,BMS20M_BBMS,LC25_BBMS-【FaultList】
Add:
ACIS_BAKEUP_POWER_SPD_FAULT
ACIS_EXTERNAL_EPO_FAULT
&gt;&gt;&gt;&gt;&gt;&gt;&gt;&gt;&gt;&gt;&gt;&gt;&gt;&gt;&gt;&gt;&gt;&gt;&gt;&gt;</t>
  </si>
  <si>
    <t>BMS10_BBMS,BMS20CNM_BBMS,BMS20M_BBMS,LC25_BBMS,RTG10CNM_BBMS,RTG10M_BBMS-【FaultList】
Correct:
ACIS_ESTOP_FAULT
FaultDescription:急停故障→急停故障【BSWSEStopFlg;SbACIS_EStopFlt】
FaultAssertDebounceTime:3s→【CcACIS_EStopFltConTims=3000】ms
ACIS_SPD_DC_SURGE_FAULT
FaultDescription:中控柜直流SPD浪涌故障→中控柜直流SPD浪涌故障【BSWSDCSPDSrgFlg;SbACIS_DCSPDSrgFlt】
FaultAssertDebounceTime:3s→【CcACIS_DCSPDSrgFltConTims=3000】ms
FaultDeassertDebounceTime:3s→NA
&gt;&gt;&gt;&gt;&gt;&gt;&gt;&gt;&gt;&gt;&gt;&gt;&gt;&gt;&gt;&gt;&gt;&gt;&gt;&gt;</t>
  </si>
  <si>
    <t>BMS10_BBMS,BMS11_RBMS,BMS12_RBMS,BMS13_RBMS,BMS14_RBMS,BMS20CNM_BBMS,BMS20M_BBMS,BMS21CNM_BBMS,LC25_BBMS,MIC_RBMS,RTG10CNM_BBMS,RTG10M_BBMS,SIB_RBMS-【FaultList】
Add:
THMC_TMS_LEVEL3_FAULT
&gt;&gt;&gt;&gt;&gt;&gt;&gt;&gt;&gt;&gt;&gt;&gt;&gt;&gt;&gt;&gt;&gt;&gt;&gt;&gt;</t>
  </si>
  <si>
    <t>SystemParam: Add THMC_TMS_STRATEGY</t>
  </si>
  <si>
    <t>SystemParam: update CELL_RATE_VOLTAGE defination</t>
  </si>
  <si>
    <t>BMS10_BBMS,BMS20CNM_BBMS,BMS20M_BBMS,BMS21CNM_BBMS,LC25_BBMS,RTG10CNM_BBMS,RTG10M_BBMS-【FaultList】
Correct:
BSOX_OVERPOWER_FAULT
EnableFault:1→0
&gt;&gt;&gt;&gt;&gt;&gt;&gt;&gt;&gt;&gt;&gt;&gt;&gt;&gt;&gt;&gt;&gt;&gt;&gt;&gt;</t>
  </si>
  <si>
    <t>所有项目添加 Classification列</t>
  </si>
  <si>
    <t>SystemParam: add TOTAL_SERIES_CELL_NUMBER_PER_RACK_MAX_REAL/RACK_MODULE_NUMBER_MAX</t>
  </si>
  <si>
    <t>7个项目：BMS10_BBMS，BMS20CNM_BBMS，BMS20M_BBMS，BMS21CNM_BBMS，LC25_BBMS，RTG10CNM_BBMS，RTG10M_BBMS
【FaultList】
Correct:
BSOX_OVERPOWER_FAULT
Justification：  → 【冗余定义检查】：故障已屏蔽</t>
  </si>
  <si>
    <t>BMS20CNM_BBMS,BMS20M_BBMS,BMS21CNM_BBMS,RTG10CNM_BBMS,RTG10M_BBMS-【FaultList】
Correct:
LVPS_24V_INTERNAL_POWER_SUPPLY_OVERORUNDER_VOLTAGE_FAULT
FaultDescription:24V电压超范围故障【ScLVPS_24VIntPowSplyValV，SbLVPS_24VIntPowSplyVldFlg，SbLVPS_24VIntPowSplyOVPrefail；SbLVPS_24VIntPowSplyOVFlt】→24V电压超范围故障【【BMS2.0三级板硬件无低压采样】；ScLVPS_24VIntPowSplyValV，SbLVPS_24VIntPowSplyVldFlg，SbLVPS_24VIntPowSplyOVPrefail；SbLVPS_24VIntPowSplyOVFlt】
EnableFault:1→0
LVPS_12V_INTERNAL_POWER_SUPPLY_OVERORUNDER_VOLTAGE_FAULT
FaultDescription:12V电压超范围故障【ScLVPS_12VIntPowSplyValV，SbLVPS_12VIntPowSplyVldFlg，SbLVPS_12VIntPowSplyOVPrefail；SbLVPS_12VIntPowSplyOVFlt】→12V电压超范围故障【【BMS2.0三级板硬件无低压采样】；ScLVPS_12VIntPowSplyValV，SbLVPS_12VIntPowSplyVldFlg，SbLVPS_12VIntPowSplyOVPrefail；SbLVPS_12VIntPowSplyOVFlt】
EnableFault:1→0
&gt;&gt;&gt;&gt;&gt;&gt;&gt;&gt;&gt;&gt;&gt;&gt;&gt;&gt;&gt;&gt;&gt;&gt;&gt;&gt;</t>
  </si>
  <si>
    <t>5个项目：BMS20CNM_BBMS，BMS20M_BBMS，BMS21CNM_BBMS，RTG10CNM_BBMS，RTG10M_BBMS
【FaultList】
Add:
EMCR_A_CORE_COMMUNICATION_FAULT
EMCR_ONERACK_TO_BANK_CAN_COMMUNICATION_LOST_FAULT
EMCR_ALLRACK_TO_BANK_CAN_COMMUNICATION_LOST_FAULT
【SystemParameter】
Add:
BBMS_Platform</t>
  </si>
  <si>
    <t>12个项目：BMS10_BBMS，BMS20A_BBMS，BMS20CNA_BBMS，BMS20CNM_BBMS，BMS20M_BBMS，BMS21CNA_BBMS，BMS21CNM_BBMS，LC25_BBMS，RTG10A_BBMS，RTG10CNA_BBMS，RTG10CNM_BBMS，RTG10M_BBMS
【SystemParameter】
Add:
RACK_NUMBER_FOR_EVERY_BANK_MAX</t>
  </si>
  <si>
    <t>5个项目：BMS20CNM_BBMS，BMS20M_BBMS，BMS21CNM_BBMS，RTG10CNM_BBMS，RTG10M_BBMS
【FaultList】
Correct:
THMC_TMS_REQUEST_DIFF_FAULT
FaultDeassertDebounceTime：【CcTHMC_TMSWorkStausErrFailTime=120000】s → 【CcTHMC_TMSWorkStausErrFailTime=120000】ms</t>
  </si>
  <si>
    <t>12个项目：BMS10_BBMS，BMS20A_BBMS，BMS20CNA_BBMS，BMS20CNM_BBMS，BMS20M_BBMS，BMS21CNA_BBMS，BMS21CNM_BBMS，LC25_BBMS，RTG10A_BBMS，RTG10CNA_BBMS，RTG10CNM_BBMS，RTG10M_BBMS
【SystemParameter】
Correct:
RACK_NUMBER_FOR_EVERY_BANK_MAX
Max：[] → [100]
Min：[] → [1]</t>
  </si>
  <si>
    <t>4个项目：BMS20M_BBMS，RTG10CNM_BBMS，RTG10M_BBMS，BMS20CNM_BBMS
【FaultList】
Correct:
ACIS_FIRE_EXTINGUISHER_WARN_FAULT
FaultDescription：消防三级故障【BSWSFireExtWarnFlg；SbACIS_FireExtWarnFlt】 → 消防故障【BSWSFireExtWarnFlg；SbACIS_FireExtWarnFlt】</t>
  </si>
  <si>
    <t>5个项目：BMS20CNM_BBMS，BMS20M_BBMS，BMS21CNM_BBMS，RTG10CNM_BBMS，RTG10M_BBMS
【FaultList】
Correct:
ACIS_DOOR_OPEN_FAULT
FaultDeassertCriteria：门禁关闭（低电平） → 门禁关闭（M核掉电后故障不置起）
ACIS_QF1_BREAKER_FAULT
FaultDeassertCriteria：QF1断路器闭合（低电平） → QF1断路器闭合（M核掉电后故障不置起）
ACIS_SPD2_SURGE_FAULT
FaultDeassertCriteria：下电 → 下电（M核掉电后故障不置起）
ACIS_WATER_FLOOD_FAULT
FaultDeassertCriteria：下电 → 下电（M核掉电后故障不置起）
ACIS_CONBUSTILE_GAS_FAULT
FaultDeassertCriteria：可燃气体告警解除（DI5H高边外部有输入，MCU检测低电平） → 可燃气体告警解除（M核掉电后故障不置起）
ACIS_EXPLOSIONPROOF_FAN_FAULT
FaultDeassertCriteria：防爆风机告警解除（DI12L低边外部无输入，MCU检测低电平） → 防爆风机告警解除（M核掉电后故障不置起）
ACIS_ESTOP_FAULT
FaultDeassertCriteria：下电 → 下电（M核掉电后故障不置起）
ACIS_FIRE_EXTINGUISHER_ALERT_FAULT
FaultDeassertCriteria：下电 → 下电（M核掉电后故障不置起）
ACIS_FIRE_EXTINGUISHER_ALARM_FAULT
FaultDeassertCriteria：消防一级信号低电平 → 消防一级信号低电平（M核掉电后故障不置起）
ACIS_FIRE_EXTINGUISHER_WARN_FAULT
FaultDeassertCriteria：消防故障信号低电平 → 消防故障信号低电平（M核掉电后故障不置起）
ACIS_PCS_EPO_FAULT
FaultDeassertCriteria：NA → 下电（M核掉电后故障不置起）
ACIS_CONTAINER_EPO_FAULT
FaultDeassertCriteria：NA → 下电（M核掉电后故障不置起）
ACIS_DISTRIBUTION_CAB_EPO_FAULT
FaultDeassertCriteria：NA → 下电（M核掉电后故障不置起）
ACIS_FIRE_ALARM_ACTIVATED_FAULT
FaultDeassertCriteria：下电 → 下电（M核掉电后故障不置起）
ACIS_SPD_DC_SURGE_FAULT
FaultDeassertCriteria：下电 → 下电（M核掉电后故障不置起）
ACIS_BAKEUP_POWER_SPD_FAULT
FaultDeassertCriteria：下电 → 下电（M核掉电后故障不置起）
ACIS_EXTERNAL_EPO_FAULT
FaultDeassertCriteria：下电 → 下电（M核掉电后故障不置起）</t>
  </si>
  <si>
    <t>5个项目：BMS20CNM_BBMS，BMS20M_BBMS，BMS21CNM_BBMS，RTG10CNM_BBMS，RTG10M_BBMS
【FaultList】
Correct:
ACIS_DOOR_OPEN_FAULT
DiagnoseEnableCondition：上电 → M核供电正常
FaultDeassertCriteria：门禁关闭（M核掉电后故障不置起） → 门禁关闭
ACIS_QF1_BREAKER_FAULT
DiagnoseEnableCondition：上电 → M核供电正常
FaultDeassertCriteria：QF1断路器闭合（M核掉电后故障不置起） → QF1断路器闭合
ACIS_SPD2_SURGE_FAULT
DiagnoseEnableCondition：上电 → M核供电正常
FaultDeassertCriteria：下电（M核掉电后故障不置起） → 下电
ACIS_WATER_FLOOD_FAULT
DiagnoseEnableCondition：上电 → M核供电正常
FaultDeassertCriteria：下电（M核掉电后故障不置起） → 下电
ACIS_CONBUSTILE_GAS_FAULT
DiagnoseEnableCondition：上电 → M核供电正常
FaultDeassertCriteria：可燃气体告警解除（M核掉电后故障不置起） → 可燃气体告警解除
ACIS_EXPLOSIONPROOF_FAN_FAULT
DiagnoseEnableCondition：上电 → M核供电正常
FaultDeassertCriteria：防爆风机告警解除（M核掉电后故障不置起） → 防爆风机告警解除
ACIS_ESTOP_FAULT
DiagnoseEnableCondition：上电 → M核供电正常
FaultDeassertCriteria：下电（M核掉电后故障不置起） → 下电
ACIS_FIRE_EXTINGUISHER_ALERT_FAULT
DiagnoseEnableCondition：上电 → M核供电正常
FaultDeassertCriteria：下电（M核掉电后故障不置起） → 下电
ACIS_FIRE_EXTINGUISHER_ALARM_FAULT
DiagnoseEnableCondition：上电 → M核供电正常
FaultDeassertCriteria：消防一级信号低电平（M核掉电后故障不置起） → 消防一级信号低电平
ACIS_FIRE_EXTINGUISHER_WARN_FAULT
DiagnoseEnableCondition：上电 → M核供电正常
FaultDeassertCriteria：消防故障信号低电平（M核掉电后故障不置起） → 消防故障信号低电平
ACIS_PCS_EPO_FAULT
DiagnoseEnableCondition：上电 → M核供电正常
FaultDeassertCriteria：下电（M核掉电后故障不置起） → 下电
ACIS_CONTAINER_EPO_FAULT
DiagnoseEnableCondition：上电 → M核供电正常
FaultDeassertCriteria：下电（M核掉电后故障不置起） → 下电
ACIS_DISTRIBUTION_CAB_EPO_FAULT
DiagnoseEnableCondition：上电 → M核供电正常
FaultDeassertCriteria：下电（M核掉电后故障不置起） → 下电
ACIS_FIRE_ALARM_ACTIVATED_FAULT
DiagnoseEnableCondition：上电 → M核供电正常
FaultDeassertCriteria：下电（M核掉电后故障不置起） → 下电
ACIS_SPD_DC_SURGE_FAULT
DiagnoseEnableCondition：上电 → M核供电正常
FaultDeassertCriteria：下电（M核掉电后故障不置起） → 下电
ACIS_BAKEUP_POWER_SPD_FAULT
DiagnoseEnableCondition：上电 → M核供电正常
FaultDeassertCriteria：下电（M核掉电后故障不置起） → 下电
ACIS_EXTERNAL_EPO_FAULT
DiagnoseEnableCondition：上电 → M核供电正常
FaultDeassertCriteria：下电（M核掉电后故障不置起） → 下电</t>
  </si>
  <si>
    <t>列名变更：
DischargeFaultLevel → FaultLevel
ChargeFaultLevel → ChargeSOPCoef(%)
FaultResponse → DischargeSOPCoef(%)
SOPCoef百分比数值填充：
1级故障：0
2级故障：50
3级故障：100</t>
  </si>
  <si>
    <t xml:space="preserve">4个项目：BMS20CNM_BBMS，BMS20M_BBMS，RTG10CNM_BBMS，RTG10M_BBMS
【FaultList】
Correct:
BKPC_DELTA_BRANCH_OVERCURRENT_LEVEL1_FAULT
EnableFault：1 → 0
BKPC_DELTA_BRANCH_OVERCURRENT_LEVEL2_FAULT
EnableFault：1 → 0
</t>
  </si>
  <si>
    <t>CAT3/CAT2</t>
  </si>
  <si>
    <r>
      <rPr>
        <b/>
        <sz val="11"/>
        <color theme="1"/>
        <rFont val="等线"/>
        <family val="2"/>
        <scheme val="minor"/>
      </rPr>
      <t>说明：</t>
    </r>
    <r>
      <rPr>
        <sz val="11"/>
        <color theme="1"/>
        <rFont val="等线"/>
        <family val="2"/>
        <scheme val="minor"/>
      </rPr>
      <t xml:space="preserve">
</t>
    </r>
    <r>
      <rPr>
        <b/>
        <sz val="11"/>
        <color theme="1"/>
        <rFont val="等线"/>
        <family val="3"/>
        <charset val="134"/>
        <scheme val="minor"/>
      </rPr>
      <t xml:space="preserve">1. 故障断高压说明：
    </t>
    </r>
    <r>
      <rPr>
        <sz val="11"/>
        <color theme="1"/>
        <rFont val="等线"/>
        <family val="2"/>
        <scheme val="minor"/>
      </rPr>
      <t>系统发生一级故障后，继电器将在 4 秒内断开；
    若在此期间检测到电流低于 20A，可提前断开高压，提升响应效率。</t>
    </r>
    <r>
      <rPr>
        <b/>
        <sz val="11"/>
        <color theme="1"/>
        <rFont val="等线"/>
        <family val="3"/>
        <charset val="134"/>
        <scheme val="minor"/>
      </rPr>
      <t xml:space="preserve">
2. 功率限制：
    </t>
    </r>
    <r>
      <rPr>
        <sz val="11"/>
        <color theme="1"/>
        <rFont val="等线"/>
        <family val="2"/>
        <scheme val="minor"/>
      </rPr>
      <t xml:space="preserve">基于置起故障的最低功率限制百分比，分别进行充电与放电功率限制；
    故障列表列“ChargeSOPCoef(%)”：充电限制百分比；
    故障列表列“DischargeSOPCoef(%)”：放电限制百分比；
    二级板与三级板均会进行SOP限制
</t>
    </r>
    <r>
      <rPr>
        <b/>
        <sz val="11"/>
        <color theme="1"/>
        <rFont val="等线"/>
        <family val="2"/>
        <scheme val="minor"/>
      </rPr>
      <t>3. 示例说明：</t>
    </r>
    <r>
      <rPr>
        <sz val="11"/>
        <color theme="1"/>
        <rFont val="等线"/>
        <family val="2"/>
        <scheme val="minor"/>
      </rPr>
      <t xml:space="preserve">
    二级板的所有置起故障中，ChargeSOPCoef(%)最低值为100，DischargeSOPCoef(%)最低值为50，
    三级板的所有置起故障中，ChargeSOPCoef(%)最低值为50，DischargeSOPCoef(%)最低值为100，
    则二级板输出的充电SOP不限制，放电SOP限制为50%，
    三级板输出的充电SOP限制为50%，放电SOP限制为50%。</t>
    </r>
  </si>
  <si>
    <t xml:space="preserve">14个项目：BMS10_BBMS，BMS20A_BBMS，BMS20CNA_BBMS，BMS20CNM_BBMS，BMS20M_BBMS，BMS21CNA_BBMS，BMS21CNM_BBMS，BMS23A_BBMS，BMS23M_BBMS，LC25_BBMS，RTG10A_BBMS，RTG10CNA_BBMS，RTG10CNM_BBMS，RTG10M_BBMS
【SystemParameter】
Delete:
BESS_ENABLE_PARTIAL_OPERATION
</t>
  </si>
  <si>
    <t>RACK_AFE_NUMBER * AFE_CELL_VOLTAGE_SAMPLING_NUMBER</t>
  </si>
  <si>
    <t>Import</t>
  </si>
  <si>
    <t>minimum allowed operation rack number</t>
  </si>
  <si>
    <t xml:space="preserve">14个项目：BMS10_BBMS，BMS20A_BBMS，BMS20CNA_BBMS，BMS20CNM_BBMS，BMS20M_BBMS，BMS21CNA_BBMS，BMS21CNM_BBMS，BMS23A_BBMS，BMS23M_BBMS，LC25_BBMS，RTG10A_BBMS，RTG10CNA_BBMS，RTG10CNM_BBMS，RTG10M_BBMS
【SystemParameter】
Add:
RACK_MODULE_NUMBER_MAX
RACK_TEMPERATURE_SENSOR_MUX_NUMBER
Correct:
TOTAL_SERIES_CELL_NUMBER_PER_RACK_BMS
Formula：NA → RACK_AFE_NUMBER * AFE_CELL_VOLTAGE_SAMPLING_NUMBER
BESS_ALLOWED_RACK_FOR_PARTIAL_OPERATION_MIN
CustomStorageClass：SystemDefine → Import
Description：- → minimum allowed operation rack number
Delete:
RACK_TEMPERATURE_SENSOR_MUX_NUMBER
RACK_MODULE_NUMBER_MAX
</t>
  </si>
  <si>
    <t xml:space="preserve">6个项目：BMS10_BBMS，BMS20M_BBMS，BMS21CNM_BBMS，BMS23M_BBMS，LC25_BBMS，RTG10M_BBMS
【FaultList】
Add:
ACIS_CONVERGENCE_FUSE_FAULT
</t>
  </si>
  <si>
    <t>uint8</t>
    <phoneticPr fontId="1" type="noConversion"/>
  </si>
  <si>
    <t xml:space="preserve">14个项目：BMS10_BBMS，BMS20A_BBMS，BMS20CNA_BBMS，BMS20CNM_BBMS，BMS20M_BBMS，BMS21CNA_BBMS，BMS21CNM_BBMS，BMS23A_BBMS，BMS23M_BBMS，LC25_BBMS，RTG10A_BBMS，RTG10CNA_BBMS，RTG10CNM_BBMS，RTG10M_BBMS
【SystemParameter】
Correct:
BESS_ALLOWED_RACK_FOR_PARTIAL_OPERATION_MIN
DataType：int32 → uint8
</t>
  </si>
  <si>
    <t>汇流熔断器故障【BSWSCvrgFuseFlg;SbACIS_CvrgFuseFlt】</t>
    <phoneticPr fontId="1" type="noConversion"/>
  </si>
  <si>
    <t xml:space="preserve">8个项目：BMS10_BBMS，BMS20CNM_BBMS，BMS20M_BBMS，BMS21CNM_BBMS，BMS23M_BBMS，LC25_BBMS，RTG10CNM_BBMS，RTG10M_BBMS
【FaultList】
Correct:
ACIS_CONVERGENCE_FUSE_FAULT
FaultDescription：汇流熔断器故障 → 汇流熔断器故障【BSWSCvrgFuseFlg;SbACIS_CvrgFuseFlt】
</t>
  </si>
  <si>
    <t>【CcEMCR_RackCanCommLostJudgeDurms=30000】ms</t>
    <phoneticPr fontId="1" type="noConversion"/>
  </si>
  <si>
    <t>【CcEMCR_RackCanCommLostRcvryDurms=30000】ms</t>
    <phoneticPr fontId="1" type="noConversion"/>
  </si>
  <si>
    <t xml:space="preserve">工具选择16个项目：BMS10_BBMS，BMS20A_BBMS，BMS20CNA_BBMS，BMS20CNM_BBMS，BMS20M_BBMS，BMS21CNA_BBMS，BMS21CNM_BBMS，BMS23A_BBMS，BMS23M_BBMS，BMS24A_BBMS，BMS24M_BBMS，LC25_BBMS，RTG10A_BBMS，RTG10CNA_BBMS，RTG10CNM_BBMS，RTG10M_BBMS
【FaultList】
Correct:
EMCR_ALLRACK_TO_BANK_CAN_COMMUNICATION_LOST_FAULT
EnableFault：1 → 0
FaultAssertDebounceTime：【CcEMCR_AllRackCanCommLostJudgeDurms=30000】ms → 【CcEMCR_RackCanCommLostJudgeDurms=30000】ms
FaultDeassertDebounceTime：【CcEMCR_AllRackCanCommLostRcvryDurms=30000】ms → 【CcEMCR_RackCanCommLostRcvryDurms=30000】ms
EMCR_ONERACK_TO_BANK_CAN_COMMUNICATION_LOST_FAULT
EnableFault：1 → 0
FaultAssertDebounceTime：【CcEMCR_OneRackCanCommLostJudgeDurms=30000】ms → 【CcEMCR_RackCanCommLostJudgeDurms=30000】ms
FaultDeassertDebounceTime：【CcEMCR_OneRackCanCommLostRcvryDurms=30000】ms → 【CcEMCR_RackCanCommLostRcvryDurms=30000】ms
</t>
  </si>
  <si>
    <t xml:space="preserve">9个项目：BMS10_BBMS，BMS20CNM_BBMS，BMS20M_BBMS，BMS21CNM_BBMS，BMS23M_BBMS，BMS24M_BBMS，LC25_BBMS，RTG10CNM_BBMS，RTG10M_BBMS
【FaultList】
Add:
EMCR_CONTROLCABINET_DEHUMIDIFIER_TO_BMS_COMMUNICATION_LOST_FAULT
</t>
  </si>
  <si>
    <t>EMCR_CONTROLCABINET_DEHUMIDIFIER_TO_BMS_COMM_LOST_FAULT</t>
    <phoneticPr fontId="1" type="noConversion"/>
  </si>
  <si>
    <t xml:space="preserve">工具选择16个项目：BMS10_BBMS，BMS20A_BBMS，BMS20CNA_BBMS，BMS20CNM_BBMS，BMS20M_BBMS，BMS21CNA_BBMS，BMS21CNM_BBMS，BMS23A_BBMS，BMS23M_BBMS，BMS24A_BBMS，BMS24M_BBMS，LC25_BBMS，RTG10A_BBMS，RTG10CNA_BBMS，RTG10CNM_BBMS，RTG10M_BBMS
【SystemParameter】
Delete:
MODULE_CELL_TEMPERATURE_SENSOR_NUMBER
</t>
  </si>
  <si>
    <t xml:space="preserve">工具选择16个项目：BMS10_BBMS，BMS20A_BBMS，BMS20CNA_BBMS，BMS20CNM_BBMS，BMS20M_BBMS，BMS21CNA_BBMS，BMS21CNM_BBMS，BMS23A_BBMS，BMS23M_BBMS，BMS24A_BBMS，BMS24M_BBMS，LC25_BBMS，RTG10A_BBMS，RTG10CNA_BBMS，RTG10CNM_BBMS，RTG10M_BBMS
【SystemParameter】
Add:
MODULE_CELL_TEMPERATURE_SENSOR_NUMBER
</t>
  </si>
  <si>
    <t>Cell temp sensor number per module</t>
  </si>
  <si>
    <t>MODULE_CELL_TEMPERATURE_SENSOR_NUMBER</t>
  </si>
  <si>
    <t>[29]</t>
  </si>
  <si>
    <t>System integration configuration
0: Centralized architecture; 
1: String-group architecture.</t>
  </si>
  <si>
    <t>SYSTEM_INTEGRATION_CONFIGURATION</t>
  </si>
  <si>
    <t>luow01</t>
  </si>
  <si>
    <t xml:space="preserve">工具选择31个项目：BMS10_BBMS，BMS20CNM_BBMS，BMS20M_BBMS，BMS21CNM_BBMS，BMS23M_BBMS，BMS24M_BBMS，BMS25M_BBMS，LC25_BBMS，RTG10CNM_BBMS，RTG10HMM_BBMS，RTG10M_BBMS，BMS10_RBMS，BMS11_RBMS，BMS12_RBMS，BMS13_RBMS，BMS14_RBMS，BMS20CN_RBMS，BMS20_RBMS，BMS21CN_RBMS，BMS23_RBMS，BMS24_RBMS，BMS25_RBMS，LC25_RBMS，MIC_RBMS，RTG10CN_RBMS，RTG10HM_RBMS，RTG10_RBMS，SF05T_RBMS，SF05_RBMS，SIB_RBMS，TD_RBMS
【SystemParameter】
Add:
SYSTEM_INTEGRATION_CONFIGURATION
</t>
  </si>
  <si>
    <t xml:space="preserve">工具选择10个项目：BMS10_BBMS，BMS20CNM_BBMS，BMS20M_BBMS，BMS21CNM_BBMS，BMS23M_BBMS，BMS24M_BBMS，RTG10CNM_BBMS，RTG10HMM_BBMS，RTG10M_BBMS，LC25_BBMS
【FaultList】
Add:
ACIS_CENTRAL_CONTROL_CABINET_SWITCH_FAULT
</t>
  </si>
  <si>
    <t xml:space="preserve">9个项目：BMS10_BBMS，BMS21CNM_BBMS，BMS23M_BBMS，BMS24M_BBMS，BMS25M_BBMS，BMS26M_BBMS，LC25_BBMS，RTG10M_BBMS，BMS20M_BBMS
【FaultList】
Add:
EMCR_FIREFIGHTING_TO_BMS_COMMUNICATION_LOST_FAULT
</t>
  </si>
  <si>
    <t>Classification</t>
    <phoneticPr fontId="1" type="noConversion"/>
  </si>
  <si>
    <t>FaultDescription</t>
    <phoneticPr fontId="1" type="noConversion"/>
  </si>
  <si>
    <t>FaultName</t>
    <phoneticPr fontId="1" type="noConversion"/>
  </si>
  <si>
    <t>DiagnoseEnableCondition</t>
    <phoneticPr fontId="1" type="noConversion"/>
  </si>
  <si>
    <t>FaultAssertCriteria</t>
    <phoneticPr fontId="1" type="noConversion"/>
  </si>
  <si>
    <t>FaultAssertDebounceTime</t>
    <phoneticPr fontId="1" type="noConversion"/>
  </si>
  <si>
    <t>FaultDeassertCriteria</t>
    <phoneticPr fontId="1" type="noConversion"/>
  </si>
  <si>
    <t>FaultDeassertDebounceTime</t>
    <phoneticPr fontId="1" type="noConversion"/>
  </si>
  <si>
    <t>EnableFault</t>
    <phoneticPr fontId="1" type="noConversion"/>
  </si>
  <si>
    <t>FaultID</t>
    <phoneticPr fontId="1" type="noConversion"/>
  </si>
  <si>
    <t>FaultLevel</t>
    <phoneticPr fontId="1" type="noConversion"/>
  </si>
  <si>
    <t>ChargeSOPCoef(%)</t>
    <phoneticPr fontId="1" type="noConversion"/>
  </si>
  <si>
    <t>Justification</t>
    <phoneticPr fontId="1" type="noConversion"/>
  </si>
  <si>
    <t>DischargeSOPCoef(%)</t>
    <phoneticPr fontId="1" type="noConversion"/>
  </si>
  <si>
    <t>bms</t>
    <phoneticPr fontId="1" type="noConversion"/>
  </si>
  <si>
    <t>所有RBMS通讯丢失【SbEMCR_AllRackCommLostPreFltFlg；SbEMCR_AllRackCommLostFltFlg】</t>
    <phoneticPr fontId="1" type="noConversion"/>
  </si>
  <si>
    <t>EMCR_ALLRACK_TO_BANK_COMMUNICATION_LOST_FAULT</t>
    <phoneticPr fontId="1" type="noConversion"/>
  </si>
  <si>
    <t>【CcEMCR_RackCommLostJudgeDurms=30000】ms</t>
    <phoneticPr fontId="1" type="noConversion"/>
  </si>
  <si>
    <t>下电</t>
    <phoneticPr fontId="1" type="noConversion"/>
  </si>
  <si>
    <t>至少一个RBMS通讯丢失【SbEMCR_OneRackCommLostPreFltFlg；SbEMCR_OneRackCommLostFltFlg】</t>
    <phoneticPr fontId="1" type="noConversion"/>
  </si>
  <si>
    <t>EMCR_ONERACK_TO_BANK_COMMUNICATION_LOST_FAULT</t>
    <phoneticPr fontId="1" type="noConversion"/>
  </si>
  <si>
    <t>system</t>
    <phoneticPr fontId="1" type="noConversion"/>
  </si>
  <si>
    <t>所有簇温差过大故障【SbBKPC_DeltaTempOverPreFltFlg；SbBKPC_DeltaTempOverFlt】</t>
    <phoneticPr fontId="1" type="noConversion"/>
  </si>
  <si>
    <t>BKPC_DELTA_BRANCH_OVERTEMP_FAULT</t>
    <phoneticPr fontId="1" type="noConversion"/>
  </si>
  <si>
    <t>温度有效</t>
    <phoneticPr fontId="1" type="noConversion"/>
  </si>
  <si>
    <t>MaxBT-MinBT&gt;【CcBKPC_DeltaBrnTempFltTDegC=15】℃</t>
    <phoneticPr fontId="1" type="noConversion"/>
  </si>
  <si>
    <t>【CcBKPC_DeltaBrnTempFltDiagTims=10000】ms</t>
    <phoneticPr fontId="1" type="noConversion"/>
  </si>
  <si>
    <t>MaxBT-MinBT&lt;【CcBKPC_DeltaBrnTempFltRcvryTDegC=10】℃</t>
    <phoneticPr fontId="1" type="noConversion"/>
  </si>
  <si>
    <t>【CcBKPC_DeltaBrnTempFltRcvryTims=10000】ms</t>
    <phoneticPr fontId="1" type="noConversion"/>
  </si>
  <si>
    <t>电池簇间环流越限1级【SbBKPC_DeltaCurrOverLv1PreFltFlg；SbBKPC_DeltaCurrOverLv1Flt】</t>
    <phoneticPr fontId="1" type="noConversion"/>
  </si>
  <si>
    <t>BKPC_DELTA_BRANCH_OVERCURRENT_LEVEL1_FAULT</t>
    <phoneticPr fontId="1" type="noConversion"/>
  </si>
  <si>
    <t>电流有效</t>
    <phoneticPr fontId="1" type="noConversion"/>
  </si>
  <si>
    <t>MaxRI - MinRI&gt;【CcBKPC_DeltaBrnCurrLvOneFltA=70】A</t>
    <phoneticPr fontId="1" type="noConversion"/>
  </si>
  <si>
    <t>【CcBKPC_DeltaBrnCurrFltDiagTims=5000】ms</t>
    <phoneticPr fontId="1" type="noConversion"/>
  </si>
  <si>
    <t>电池簇间环流越限2级【SbBKPC_DeltaCurrOverLv2PreFltFlg；SbBKPC_DeltaCurrOverLv2Flt】</t>
    <phoneticPr fontId="1" type="noConversion"/>
  </si>
  <si>
    <t>BKPC_DELTA_BRANCH_OVERCURRENT_LEVEL2_FAULT</t>
    <phoneticPr fontId="1" type="noConversion"/>
  </si>
  <si>
    <t>MaxRI - MinRI&gt;【CcBKPC_DeltaBrnCurrLvTwoFltA=50】A</t>
    <phoneticPr fontId="1" type="noConversion"/>
  </si>
  <si>
    <t>MaxRI - MinRI&lt;【CcBKPC_DeltaBrnCurrLvTwoFltRcvryA=30】A</t>
    <phoneticPr fontId="1" type="noConversion"/>
  </si>
  <si>
    <t>【CcBKPC_DeltaBrnCurrFltRcvryTims=5000】ms</t>
    <phoneticPr fontId="1" type="noConversion"/>
  </si>
  <si>
    <t>电池簇间环流越限3级【SbBKPC_DeltaCurrOverLv3PreFltFlg；SbBKPC_DeltaCurrOverLv3Flt】</t>
    <phoneticPr fontId="1" type="noConversion"/>
  </si>
  <si>
    <t>BKPC_DELTA_BRANCH_OVERCURRENT_LEVEL3_FAULT</t>
    <phoneticPr fontId="1" type="noConversion"/>
  </si>
  <si>
    <t>MaxRI - MinRI&gt;【CcBKPC_DeltaBrnCurrLvThreeFltA=30】A</t>
    <phoneticPr fontId="1" type="noConversion"/>
  </si>
  <si>
    <t>MaxRI - MinRI&lt;【CcBKPC_DeltaBrnCurrLvThreeFltRcvryA=20】A</t>
    <phoneticPr fontId="1" type="noConversion"/>
  </si>
  <si>
    <t>PCS通信丢失故障【BSWSPCSHeartbeat；SbEMCR_PCSCommLostFltFlg】</t>
    <phoneticPr fontId="1" type="noConversion"/>
  </si>
  <si>
    <t>EMCR_PCS_TO_BANK_COMMUNICATION_LOST_FAULT</t>
    <phoneticPr fontId="1" type="noConversion"/>
  </si>
  <si>
    <t>上电</t>
    <phoneticPr fontId="1" type="noConversion"/>
  </si>
  <si>
    <t>PCS rolling counter missing or check sum fail</t>
    <phoneticPr fontId="1" type="noConversion"/>
  </si>
  <si>
    <t>【CcEMCR_PCSCommLostJudgeDurms=10000】ms</t>
    <phoneticPr fontId="1" type="noConversion"/>
  </si>
  <si>
    <t>簇间压差过大故障【SaEMCR_RackV，SbBCFR_ExcVoltDiffPreFltFlg；SbBCFR_ExcessiveVoltDiffFlt】</t>
    <phoneticPr fontId="1" type="noConversion"/>
  </si>
  <si>
    <t>BCFR_EXCESSIVE_VOLTAGE_DIFF_FAULT</t>
    <phoneticPr fontId="1" type="noConversion"/>
  </si>
  <si>
    <t>Rack之间电压差&gt;【CcBCFR_ClstrVoltDiffOverThd=20】V</t>
    <phoneticPr fontId="1" type="noConversion"/>
  </si>
  <si>
    <t>【CcBCFR_ExceVolDiffFltSetTims=3000】ms</t>
    <phoneticPr fontId="1" type="noConversion"/>
  </si>
  <si>
    <t>Rack之间电压差≤【CcBCFR_ClstrVoltDiffOverThd=20】V</t>
    <phoneticPr fontId="1" type="noConversion"/>
  </si>
  <si>
    <t>【CcBCFR_ExceVolDiffFltClrTims=3000】ms</t>
    <phoneticPr fontId="1" type="noConversion"/>
  </si>
  <si>
    <t>IDLearm编码失败【BSWSIDLearnSt；SbACIS_IDLearnFailedFlt】</t>
    <phoneticPr fontId="1" type="noConversion"/>
  </si>
  <si>
    <t>ACIS_IDLEARN_FAILED_FAULT</t>
    <phoneticPr fontId="1" type="noConversion"/>
  </si>
  <si>
    <t>连续两次启动地址编码未完成</t>
    <phoneticPr fontId="1" type="noConversion"/>
  </si>
  <si>
    <t>【CcACIS_IDLearnFailedJudgeDurms=100】ms</t>
    <phoneticPr fontId="1" type="noConversion"/>
  </si>
  <si>
    <t>启动地址编码完成</t>
    <phoneticPr fontId="1" type="noConversion"/>
  </si>
  <si>
    <t>【CcACIS_IDLearnFailedRcvryDurms=100】ms</t>
    <phoneticPr fontId="1" type="noConversion"/>
  </si>
  <si>
    <t>peripherals</t>
    <phoneticPr fontId="1" type="noConversion"/>
  </si>
  <si>
    <t>水冷机组工作模式不匹配故障【ScTMCR_TMSWorkMode，ScTHMC_RqrdTMSWrStState；SbTHMC_TMSWorkStDiffFlg】</t>
    <phoneticPr fontId="1" type="noConversion"/>
  </si>
  <si>
    <t>THMC_TMS_REQUEST_DIFF_FAULT</t>
    <phoneticPr fontId="1" type="noConversion"/>
  </si>
  <si>
    <t>BMS请求TMS工作模式和实际模式不一致</t>
    <phoneticPr fontId="1" type="noConversion"/>
  </si>
  <si>
    <t>【CcTHMC_TMSWorkStausErrRisTime =300000】ms</t>
    <phoneticPr fontId="1" type="noConversion"/>
  </si>
  <si>
    <t>BMS请求TMS工作模式和实际模式一致</t>
    <phoneticPr fontId="1" type="noConversion"/>
  </si>
  <si>
    <t>【CcTHMC_TMSWorkStausErrFailTime=120000】ms</t>
    <phoneticPr fontId="1" type="noConversion"/>
  </si>
  <si>
    <t>水冷机一级故障【ScTMCR_TMSFltLevelState，SbTMCR_TMSMsgAvlFlg；SbTHMC_TMSLvl1Flt】</t>
    <phoneticPr fontId="1" type="noConversion"/>
  </si>
  <si>
    <t>THMC_TMS_LEVEL1_FAULT</t>
    <phoneticPr fontId="1" type="noConversion"/>
  </si>
  <si>
    <t>TMS故障报文显示1级故障</t>
    <phoneticPr fontId="1" type="noConversion"/>
  </si>
  <si>
    <t>【CcTHMC_TMSFaultJudgeDur=5000】ms</t>
    <phoneticPr fontId="1" type="noConversion"/>
  </si>
  <si>
    <t>水冷机二级故障【ScTMCR_TMSFltLevelState，SbTMCR_TMSMsgAvlFlg；SbTHMC_TMSLvl2Flt】</t>
    <phoneticPr fontId="1" type="noConversion"/>
  </si>
  <si>
    <t>THMC_TMS_LEVEL2_FAULT</t>
    <phoneticPr fontId="1" type="noConversion"/>
  </si>
  <si>
    <t>TMS故障报文显示2级故障</t>
    <phoneticPr fontId="1" type="noConversion"/>
  </si>
  <si>
    <t>TMS故障报文显示无2级故障【ScTMCR_TMSFltLevelState ~=2】</t>
    <phoneticPr fontId="1" type="noConversion"/>
  </si>
  <si>
    <t>【CcTHMC_TMSFaultRcvryDur=2000】ms</t>
    <phoneticPr fontId="1" type="noConversion"/>
  </si>
  <si>
    <t>TMS通讯丢失【BSWSTMSMsgAvlFlg】</t>
    <phoneticPr fontId="1" type="noConversion"/>
  </si>
  <si>
    <t>TMCR_TMS_TO_BANK_COMMUNICATION_LOST_FAULT</t>
    <phoneticPr fontId="1" type="noConversion"/>
  </si>
  <si>
    <t>【CcTMCR_TMSCommLostJudgeDur = 10000】ms</t>
    <phoneticPr fontId="1" type="noConversion"/>
  </si>
  <si>
    <t>【CcTMCR_TMSCommLostRcvryDur=10000】ms</t>
    <phoneticPr fontId="1" type="noConversion"/>
  </si>
  <si>
    <t>24V电压超范围故障【【BMS2.0三级板硬件无低压采样】；ScLVPS_24VIntPowSplyValV，SbLVPS_24VIntPowSplyVldFlg，SbLVPS_24VIntPowSplyOVPrefail；SbLVPS_24VIntPowSplyOVFlt】</t>
    <phoneticPr fontId="1" type="noConversion"/>
  </si>
  <si>
    <t>LVPS_24V_INTERNAL_POWER_SUPPLY_OVERORUNDER_VOLTAGE_FAULT</t>
    <phoneticPr fontId="1" type="noConversion"/>
  </si>
  <si>
    <t>24V供电电压&gt;【CcLVPS_24VIntPowSplyOVFltCfmThdV=32】V或24V供电电压&lt;【CcLVPS_24VIntPowSplyUVFltCfmThdV=18】V</t>
    <phoneticPr fontId="1" type="noConversion"/>
  </si>
  <si>
    <t>【CcLVPS_24VIntPowSplyOVORUNFltSetTims=1000】ms</t>
    <phoneticPr fontId="1" type="noConversion"/>
  </si>
  <si>
    <t>1）24V供电电压≥【CcLVPS_24VIntPowSplyUVFltCfmThdV=18】V
2）24V供电电压≤【CcLVPS_24VIntPowSplyOVFltCfmThdV=32】V</t>
    <phoneticPr fontId="1" type="noConversion"/>
  </si>
  <si>
    <t>【CcLVPS_24VIntPowSplyOVORUNFltClrTims=1000】ms</t>
    <phoneticPr fontId="1" type="noConversion"/>
  </si>
  <si>
    <t>12V电压超范围故障【【BMS2.0三级板硬件无低压采样】；ScLVPS_12VIntPowSplyValV，SbLVPS_12VIntPowSplyVldFlg，SbLVPS_12VIntPowSplyOVPrefail；SbLVPS_12VIntPowSplyOVFlt】</t>
    <phoneticPr fontId="1" type="noConversion"/>
  </si>
  <si>
    <t>LVPS_12V_INTERNAL_POWER_SUPPLY_OVERORUNDER_VOLTAGE_FAULT</t>
    <phoneticPr fontId="1" type="noConversion"/>
  </si>
  <si>
    <t>12V供电电压&gt;【CcLVPS_12VIntPowSplyOVFltCfmThdV=18】V或者12V供电电压&lt;【CcLVPS_12VIntPowSplyUNFltCfmThdV=7.2】V</t>
    <phoneticPr fontId="1" type="noConversion"/>
  </si>
  <si>
    <t>【CcLVPS_12VIntPowSplyOVORUNFltSetTims=1000】ms</t>
    <phoneticPr fontId="1" type="noConversion"/>
  </si>
  <si>
    <t>1）12V供电电压≥【CcLVPS_12VIntPowSplyUNFltCfmThdV=7.2】V
2）12V供电电压≤【CcLVPS_12VIntPowSplyOVFltCfmThdV=18】V</t>
    <phoneticPr fontId="1" type="noConversion"/>
  </si>
  <si>
    <t>【CcLVPS_12VIntPowSplyOVORUNFltClrTims=1000】ms</t>
    <phoneticPr fontId="1" type="noConversion"/>
  </si>
  <si>
    <t>过功率故障【SbBSOX_OverPowPreFlt，SbBSOX_OverPowFlt】</t>
    <phoneticPr fontId="1" type="noConversion"/>
  </si>
  <si>
    <t>BSOX_OVERPOWER_FAULT</t>
    <phoneticPr fontId="1" type="noConversion"/>
  </si>
  <si>
    <t>至少一个使能Rack在线、至少一个使能Rack电流有效、至少一个使能Rack电压有效</t>
    <phoneticPr fontId="1" type="noConversion"/>
  </si>
  <si>
    <t>实际功率超过充电限额或放电限额</t>
    <phoneticPr fontId="1" type="noConversion"/>
  </si>
  <si>
    <t>【CcBSOX_OverPowConTims=10000】ms</t>
    <phoneticPr fontId="1" type="noConversion"/>
  </si>
  <si>
    <t>实际功率不超过充电限额或放电限额</t>
    <phoneticPr fontId="1" type="noConversion"/>
  </si>
  <si>
    <t>【CcBSOX_OverPowClrTims=10000】ms</t>
    <phoneticPr fontId="1" type="noConversion"/>
  </si>
  <si>
    <t>【冗余定义检查】：故障已屏蔽</t>
    <phoneticPr fontId="1" type="noConversion"/>
  </si>
  <si>
    <t>Rack间SOC差距过大故障【SbBSOX_SOCDiffPreFlt，SbBSOX_SOCDiffFlt】</t>
    <phoneticPr fontId="1" type="noConversion"/>
  </si>
  <si>
    <t>BSOX_SOC_DIFF_FAULT</t>
    <phoneticPr fontId="1" type="noConversion"/>
  </si>
  <si>
    <t>Rack间SOC差大于【CcBSOX_SOCDiffUpper=40】%</t>
    <phoneticPr fontId="1" type="noConversion"/>
  </si>
  <si>
    <t>【CcBSOX_SOCDiffConTims=10000】ms</t>
    <phoneticPr fontId="1" type="noConversion"/>
  </si>
  <si>
    <t>门禁故障【BSWSDoorOpenFlg；SbACIS_DoorOpenFlt】</t>
    <phoneticPr fontId="1" type="noConversion"/>
  </si>
  <si>
    <t>ACIS_DOOR_OPEN_FAULT</t>
    <phoneticPr fontId="1" type="noConversion"/>
  </si>
  <si>
    <t>M核供电正常</t>
    <phoneticPr fontId="1" type="noConversion"/>
  </si>
  <si>
    <t>门禁开启（高电平）</t>
    <phoneticPr fontId="1" type="noConversion"/>
  </si>
  <si>
    <t>【CcACIS_DoorOpenFltConTims = 3000】ms</t>
    <phoneticPr fontId="1" type="noConversion"/>
  </si>
  <si>
    <t>门禁关闭</t>
    <phoneticPr fontId="1" type="noConversion"/>
  </si>
  <si>
    <t>【CcACIS_DoorOpenFltClrTims = 3000】ms</t>
    <phoneticPr fontId="1" type="noConversion"/>
  </si>
  <si>
    <t>QF1断路器故障【BSWSQF1BrkFlg；SbACIS_QF1BrkFlt】</t>
    <phoneticPr fontId="1" type="noConversion"/>
  </si>
  <si>
    <t>ACIS_QF1_BREAKER_FAULT</t>
    <phoneticPr fontId="1" type="noConversion"/>
  </si>
  <si>
    <t>QF1断路器断开（高电平）</t>
    <phoneticPr fontId="1" type="noConversion"/>
  </si>
  <si>
    <t>【CcACIS_QF1BrkFltConTims = 3000】ms</t>
    <phoneticPr fontId="1" type="noConversion"/>
  </si>
  <si>
    <t>QF1断路器闭合</t>
    <phoneticPr fontId="1" type="noConversion"/>
  </si>
  <si>
    <t>【CcACIS_QF1BrkFltClrTims=3000】ms</t>
    <phoneticPr fontId="1" type="noConversion"/>
  </si>
  <si>
    <t>SPD2浪涌故障【BSWSSPD2SrgFlg；SbACIS_SPD2SrgFlt】</t>
    <phoneticPr fontId="1" type="noConversion"/>
  </si>
  <si>
    <t>ACIS_SPD2_SURGE_FAULT</t>
    <phoneticPr fontId="1" type="noConversion"/>
  </si>
  <si>
    <t>SPD2浪涌告警（低电平）</t>
    <phoneticPr fontId="1" type="noConversion"/>
  </si>
  <si>
    <t>【CcACIS_SPD2SrgFltConTims = 3000】ms</t>
    <phoneticPr fontId="1" type="noConversion"/>
  </si>
  <si>
    <t>水浸告警故障【BSWSWtrFldFlg；SbACIS_WtrFldFlt】</t>
    <phoneticPr fontId="1" type="noConversion"/>
  </si>
  <si>
    <t>ACIS_WATER_FLOOD_FAULT</t>
    <phoneticPr fontId="1" type="noConversion"/>
  </si>
  <si>
    <t>水浸告警（低电平）</t>
    <phoneticPr fontId="1" type="noConversion"/>
  </si>
  <si>
    <t>【CcACIS_WtrFldFltConNbr=30000】Nbr</t>
    <phoneticPr fontId="1" type="noConversion"/>
  </si>
  <si>
    <t>可燃气体告警故障【BSWSCmbstlGasFlg；SbACIS_CmbstlGasFlt】</t>
    <phoneticPr fontId="1" type="noConversion"/>
  </si>
  <si>
    <t>ACIS_CONBUSTILE_GAS_FAULT</t>
    <phoneticPr fontId="1" type="noConversion"/>
  </si>
  <si>
    <t>可燃气体告警（DI5H高边外部无输入，MCU检测高电平）</t>
    <phoneticPr fontId="1" type="noConversion"/>
  </si>
  <si>
    <t>【CcACIS_CmbstlGasFltConTims=3000】ms</t>
    <phoneticPr fontId="1" type="noConversion"/>
  </si>
  <si>
    <t>可燃气体告警解除</t>
    <phoneticPr fontId="1" type="noConversion"/>
  </si>
  <si>
    <t>【CcACIS_CmbstlGasFltClrTims=3000】ms</t>
    <phoneticPr fontId="1" type="noConversion"/>
  </si>
  <si>
    <t>防爆风机告警故障【BSWSExpprfFanFlg；SbACIS_ExpprfFanFlt】</t>
    <phoneticPr fontId="1" type="noConversion"/>
  </si>
  <si>
    <t>ACIS_EXPLOSIONPROOF_FAN_FAULT</t>
    <phoneticPr fontId="1" type="noConversion"/>
  </si>
  <si>
    <t>防爆风机告警（DI12L低边外部无输入，MCU检测高电平）</t>
    <phoneticPr fontId="1" type="noConversion"/>
  </si>
  <si>
    <t>【CcACIS_ExpprfFanFltConTims=3000】ms</t>
    <phoneticPr fontId="1" type="noConversion"/>
  </si>
  <si>
    <t>防爆风机告警解除</t>
    <phoneticPr fontId="1" type="noConversion"/>
  </si>
  <si>
    <t>【CcACIS_ExpprfFanFltClrTims=3000】ms</t>
    <phoneticPr fontId="1" type="noConversion"/>
  </si>
  <si>
    <t>急停故障【BSWSEStopFlg;SbACIS_EStopFlt】</t>
    <phoneticPr fontId="1" type="noConversion"/>
  </si>
  <si>
    <t>ACIS_ESTOP_FAULT</t>
    <phoneticPr fontId="1" type="noConversion"/>
  </si>
  <si>
    <t>急停告警（高电平）</t>
    <phoneticPr fontId="1" type="noConversion"/>
  </si>
  <si>
    <t>【CcACIS_EStopFltConTims=3000】ms</t>
    <phoneticPr fontId="1" type="noConversion"/>
  </si>
  <si>
    <t>ACIS_FIRE_EXTINGUISHER_ALERT_FAULT</t>
    <phoneticPr fontId="1" type="noConversion"/>
  </si>
  <si>
    <t>消防二级信号高电平</t>
    <phoneticPr fontId="1" type="noConversion"/>
  </si>
  <si>
    <t>【CcACIS_FireExtAlertFltConTims =3000】ms</t>
    <phoneticPr fontId="1" type="noConversion"/>
  </si>
  <si>
    <t>ACIS_FIRE_EXTINGUISHER_ALARM_FAULT</t>
    <phoneticPr fontId="1" type="noConversion"/>
  </si>
  <si>
    <t>消防一级信号高电平</t>
    <phoneticPr fontId="1" type="noConversion"/>
  </si>
  <si>
    <t>【CcACIS_FireExtAlarmFltConTims=3000】ms</t>
    <phoneticPr fontId="1" type="noConversion"/>
  </si>
  <si>
    <t>消防一级信号低电平</t>
    <phoneticPr fontId="1" type="noConversion"/>
  </si>
  <si>
    <t>【CcACIS_FireExtAlarmFltClrTims =3000】ms</t>
    <phoneticPr fontId="1" type="noConversion"/>
  </si>
  <si>
    <t>消防故障【BSWSFireExtWarnFlg；SbACIS_FireExtWarnFlt】</t>
    <phoneticPr fontId="1" type="noConversion"/>
  </si>
  <si>
    <t>ACIS_FIRE_EXTINGUISHER_WARN_FAULT</t>
    <phoneticPr fontId="1" type="noConversion"/>
  </si>
  <si>
    <t>消防故障信号高电平</t>
    <phoneticPr fontId="1" type="noConversion"/>
  </si>
  <si>
    <t>【CcACIS_FireExtWarnFltConTims= 3000】ms</t>
    <phoneticPr fontId="1" type="noConversion"/>
  </si>
  <si>
    <t>消防故障信号低电平</t>
    <phoneticPr fontId="1" type="noConversion"/>
  </si>
  <si>
    <t>【CcACIS_FireExtWarnFltClrTims=3000】ms</t>
    <phoneticPr fontId="1" type="noConversion"/>
  </si>
  <si>
    <t>UPS通讯节点丢失故障【BSWSUPSHeartbeat、SbEMCR_UPSCommLostFltFlg】</t>
    <phoneticPr fontId="1" type="noConversion"/>
  </si>
  <si>
    <t>EMCR_UPS_TO_BMS_COMMUNICATION_LOST_FAULT</t>
    <phoneticPr fontId="1" type="noConversion"/>
  </si>
  <si>
    <t>收不到UPS节点信号</t>
    <phoneticPr fontId="1" type="noConversion"/>
  </si>
  <si>
    <t>【CcEMCR_UPSCommLostJudgeDurms=30000】ms</t>
    <phoneticPr fontId="1" type="noConversion"/>
  </si>
  <si>
    <t>收到UPS节点信号</t>
    <phoneticPr fontId="1" type="noConversion"/>
  </si>
  <si>
    <t>电表通讯节点丢失故障【BSWSEnymetrHeartbeat、SbEMCR_EnergymeterCommLostFltFlg】</t>
    <phoneticPr fontId="1" type="noConversion"/>
  </si>
  <si>
    <t>EMCR_ENERGYMETER_TO_BMS_COMMUNICATION_LOST_FAULT</t>
    <phoneticPr fontId="1" type="noConversion"/>
  </si>
  <si>
    <t>收不到电表节点信号</t>
    <phoneticPr fontId="1" type="noConversion"/>
  </si>
  <si>
    <t>【CcEMCR_EnergymeterCommLostJudgeDurms=30000】ms</t>
    <phoneticPr fontId="1" type="noConversion"/>
  </si>
  <si>
    <t>收到电表节点信号</t>
    <phoneticPr fontId="1" type="noConversion"/>
  </si>
  <si>
    <t>PCS急停故障【BSWSPCSEPOFlg；SbACIS_PCSEPOFlt】</t>
    <phoneticPr fontId="1" type="noConversion"/>
  </si>
  <si>
    <t>ACIS_PCS_EPO_FAULT</t>
    <phoneticPr fontId="1" type="noConversion"/>
  </si>
  <si>
    <t>DI3H高边；常开（外部无输入），正常</t>
    <phoneticPr fontId="1" type="noConversion"/>
  </si>
  <si>
    <t>【CcACIS_PCSEPOFltConTims=3000】ms</t>
    <phoneticPr fontId="1" type="noConversion"/>
  </si>
  <si>
    <t>集装箱急停故障【BSWSDistriCabEPOFlg；SbACIS_DistrCabEPOFlt】</t>
    <phoneticPr fontId="1" type="noConversion"/>
  </si>
  <si>
    <t>ACIS_CONTAINER_EPO_FAULT</t>
    <phoneticPr fontId="1" type="noConversion"/>
  </si>
  <si>
    <t>DI7L(DI7L低边外部无输入，MCU检测高电平）</t>
    <phoneticPr fontId="1" type="noConversion"/>
  </si>
  <si>
    <t>【CcACIS_ContainerEPOFltConTims=3000】ms</t>
    <phoneticPr fontId="1" type="noConversion"/>
  </si>
  <si>
    <t>配电柜急停故障【BSWSContainerEPOFlg；SbACIS_ContainerEPOFlt】</t>
    <phoneticPr fontId="1" type="noConversion"/>
  </si>
  <si>
    <t>ACIS_DISTRIBUTION_CAB_EPO_FAULT</t>
    <phoneticPr fontId="1" type="noConversion"/>
  </si>
  <si>
    <t>DI6H高边；常闭（外部有输入）</t>
    <phoneticPr fontId="1" type="noConversion"/>
  </si>
  <si>
    <t>【CcACIS_DistrCabEPOFltConTims=3000】ms</t>
    <phoneticPr fontId="1" type="noConversion"/>
  </si>
  <si>
    <t>EMS通讯节点丢失故障【BSWEMSMsgAvlFlg、SbEMCR_EMSCommLostFltFlg】</t>
    <phoneticPr fontId="1" type="noConversion"/>
  </si>
  <si>
    <t>EMCR_EMS_TO_BMS_COMMUNICATION_LOST_FAULT</t>
    <phoneticPr fontId="1" type="noConversion"/>
  </si>
  <si>
    <t>收不到EMS节点信号</t>
    <phoneticPr fontId="1" type="noConversion"/>
  </si>
  <si>
    <t>【CcEMCR_EMSCommLostJudgeDurms=30000】ms</t>
    <phoneticPr fontId="1" type="noConversion"/>
  </si>
  <si>
    <t>收不到除湿机节点信号</t>
    <phoneticPr fontId="1" type="noConversion"/>
  </si>
  <si>
    <t>【CcEMCR_DehumidifierCommLostJudgeDurms=30000】ms</t>
    <phoneticPr fontId="1" type="noConversion"/>
  </si>
  <si>
    <t>收到除湿机节点信号</t>
    <phoneticPr fontId="1" type="noConversion"/>
  </si>
  <si>
    <t>【CcEMCR_DehumidifierCommLostRcvryDurms=5000】ms</t>
    <phoneticPr fontId="1" type="noConversion"/>
  </si>
  <si>
    <t>消防火警启动异常【BSWSCmbstlGasFlg，BSWSExpprfFanFlg；SbACIS_FireAlarmActedFlt】</t>
    <phoneticPr fontId="1" type="noConversion"/>
  </si>
  <si>
    <t>ACIS_FIRE_ALARM_ACTIVATED_FAULT</t>
    <phoneticPr fontId="1" type="noConversion"/>
  </si>
  <si>
    <t>可燃气体告警信号高电平且防爆风机告警信号高电平</t>
    <phoneticPr fontId="1" type="noConversion"/>
  </si>
  <si>
    <t>【CcACIS_FireAlarmActedFltConTims=3000】ms</t>
    <phoneticPr fontId="1" type="noConversion"/>
  </si>
  <si>
    <t>中控柜直流SPD浪涌故障【BSWSDCSPDSrgFlg;SbACIS_DCSPDSrgFlt】</t>
    <phoneticPr fontId="1" type="noConversion"/>
  </si>
  <si>
    <t>ACIS_SPD_DC_SURGE_FAULT</t>
    <phoneticPr fontId="1" type="noConversion"/>
  </si>
  <si>
    <t>直流SPD浪涌告警（常开）</t>
    <phoneticPr fontId="1" type="noConversion"/>
  </si>
  <si>
    <t>【CcACIS_DCSPDSrgFltConTims=3000】ms</t>
    <phoneticPr fontId="1" type="noConversion"/>
  </si>
  <si>
    <t>备电SPD1故障【BSWSBkupSpdSrgFlg】</t>
    <phoneticPr fontId="1" type="noConversion"/>
  </si>
  <si>
    <t>ACIS_BAKEUP_POWER_SPD_FAULT</t>
    <phoneticPr fontId="1" type="noConversion"/>
  </si>
  <si>
    <t>备用SPD浪涌告警</t>
    <phoneticPr fontId="1" type="noConversion"/>
  </si>
  <si>
    <t>【CcACIS_BkupSpdOpenFltSetTims=3000】ms</t>
    <phoneticPr fontId="1" type="noConversion"/>
  </si>
  <si>
    <t>客户外部急停【BSWSExternalEPOFlg】</t>
    <phoneticPr fontId="1" type="noConversion"/>
  </si>
  <si>
    <t>ACIS_EXTERNAL_EPO_FAULT</t>
    <phoneticPr fontId="1" type="noConversion"/>
  </si>
  <si>
    <t>客户外部急停告警</t>
    <phoneticPr fontId="1" type="noConversion"/>
  </si>
  <si>
    <t>【CcACIS_ExternalEPOFltConTims=3000】ms</t>
    <phoneticPr fontId="1" type="noConversion"/>
  </si>
  <si>
    <t>水冷机三级故障【ScTMCR_TMSFltLevelState；SbTHMC_TMSLvl3Flt】</t>
    <phoneticPr fontId="1" type="noConversion"/>
  </si>
  <si>
    <t>THMC_TMS_LEVEL3_FAULT</t>
    <phoneticPr fontId="1" type="noConversion"/>
  </si>
  <si>
    <t>TMS故障报文显示3级故障</t>
    <phoneticPr fontId="1" type="noConversion"/>
  </si>
  <si>
    <t>【CcTHMC_TMSFaultJudgeDur=3000】ms</t>
    <phoneticPr fontId="1" type="noConversion"/>
  </si>
  <si>
    <t>TMS故障报文显示无3级故障</t>
    <phoneticPr fontId="1" type="noConversion"/>
  </si>
  <si>
    <t>【CcTHMC_TMSFaultRcvryDur=3000】ms</t>
    <phoneticPr fontId="1" type="noConversion"/>
  </si>
  <si>
    <t>A核通讯故障【BSWSACoreCommFltFlg；SbEMCR_ACoreCommFltFlg】</t>
    <phoneticPr fontId="1" type="noConversion"/>
  </si>
  <si>
    <t>EMCR_A_CORE_COMMUNICATION_FAULT</t>
    <phoneticPr fontId="1" type="noConversion"/>
  </si>
  <si>
    <t>【CcEMCR_ACoreCommFltJudgeDurms=30000】ms</t>
    <phoneticPr fontId="1" type="noConversion"/>
  </si>
  <si>
    <t>【CcEMCR_ACoreCommFltRcvryDurms=30000】ms</t>
    <phoneticPr fontId="1" type="noConversion"/>
  </si>
  <si>
    <t>至少一个RBMS的CAN通讯丢失【SbEMCR_OneRackCanCommLostPreFltFlg；SbEMCR_OneRackCanCommLostFltFlg】</t>
    <phoneticPr fontId="1" type="noConversion"/>
  </si>
  <si>
    <t>EMCR_ONERACK_TO_BANK_CAN_COMMUNICATION_LOST_FAULT</t>
    <phoneticPr fontId="1" type="noConversion"/>
  </si>
  <si>
    <t>至少有一个RBMS的CAN通讯丢失</t>
    <phoneticPr fontId="1" type="noConversion"/>
  </si>
  <si>
    <t>所有RBMS的CAN通讯恢复</t>
    <phoneticPr fontId="1" type="noConversion"/>
  </si>
  <si>
    <t>所有RBMS的CAN通讯丢失【SbEMCR_AllRackCanCommLostPreFltFlg；SbEMCR_AllRackCanCommLostFltFlg】</t>
    <phoneticPr fontId="1" type="noConversion"/>
  </si>
  <si>
    <t>EMCR_ALLRACK_TO_BANK_CAN_COMMUNICATION_LOST_FAULT</t>
    <phoneticPr fontId="1" type="noConversion"/>
  </si>
  <si>
    <t>所有RBMS的CAN通讯丢失</t>
    <phoneticPr fontId="1" type="noConversion"/>
  </si>
  <si>
    <t>ACIS_CONVERGENCE_FUSE_FAULT</t>
    <phoneticPr fontId="1" type="noConversion"/>
  </si>
  <si>
    <t>汇流熔断器故障（高电平）</t>
    <phoneticPr fontId="1" type="noConversion"/>
  </si>
  <si>
    <t>【CcACIS_CvrgFuseFltConTims=3000】ms</t>
    <phoneticPr fontId="1" type="noConversion"/>
  </si>
  <si>
    <t>中控柜空调/除湿机通讯节点丢失故障【BSWControlCabinetDehumidifierMsgAvlFlg、SbEMCR_ControlCabinetDehumidifierComLostFltFlg】</t>
    <phoneticPr fontId="1" type="noConversion"/>
  </si>
  <si>
    <t>收不到中控柜空调/除湿机节点信号（RS485#3节点3/4）</t>
    <phoneticPr fontId="1" type="noConversion"/>
  </si>
  <si>
    <t>中控柜行程开关故障【BSWSCtrlCabSwthFlg；SbACIS_CtrlCabFlt】</t>
    <phoneticPr fontId="1" type="noConversion"/>
  </si>
  <si>
    <t>ACIS_CENTRAL_CONTROL_CABINET_SWITCH_FAULT</t>
    <phoneticPr fontId="1" type="noConversion"/>
  </si>
  <si>
    <t>中控柜行程开关告警</t>
    <phoneticPr fontId="1" type="noConversion"/>
  </si>
  <si>
    <t>【CcACIS_CtrlCabFltConTims=3000】ms</t>
    <phoneticPr fontId="1" type="noConversion"/>
  </si>
  <si>
    <t>检测恢复</t>
    <phoneticPr fontId="1" type="noConversion"/>
  </si>
  <si>
    <t>【CcACIS_CtrlCabFltClrTims=3000】ms</t>
    <phoneticPr fontId="1" type="noConversion"/>
  </si>
  <si>
    <t>消防通讯节点丢失故障【BSWSFirefightingMsgAvlFlg、SbEMCR_FirefightingComLostFltFlg】</t>
    <phoneticPr fontId="1" type="noConversion"/>
  </si>
  <si>
    <t>EMCR_FIREFIGHTING_TO_BMS_COMMUNICATION_LOST_FAULT</t>
    <phoneticPr fontId="1" type="noConversion"/>
  </si>
  <si>
    <t>收不到消防节点信号</t>
    <phoneticPr fontId="1" type="noConversion"/>
  </si>
  <si>
    <t>【CcEMCR_FirefightingCommLostJudgeDurms=30000】ms</t>
    <phoneticPr fontId="1" type="noConversion"/>
  </si>
  <si>
    <t>收到消防节点信号</t>
    <phoneticPr fontId="1" type="noConversion"/>
  </si>
  <si>
    <t>【CcEMCR_FirefightingCommLostRcvryDurms=3000】ms</t>
    <phoneticPr fontId="1" type="noConversion"/>
  </si>
  <si>
    <t>所有项目FaultDeassertCriteria ‘下电’ ‘上位机清除’的FaultDeassertDebounceTime改为‘NA’</t>
    <phoneticPr fontId="1" type="noConversion"/>
  </si>
  <si>
    <t xml:space="preserve">工具选择16个项目：BMS10_BBMS，LC25_BBMS，BMS11_RBMS，BMS12_RBMS，SIB_RBMS，MIC_RBMS，BMS20CNM_BBMS，BMS20M_BBMS，BMS21CNM_BBMS，BMS23M_BBMS，BMS24M_BBMS，BMS25M_BBMS，BMS26M_BBMS，RTG10CNM_BBMS，RTG10HMM_BBMS，RTG10M_BBMS
【FaultList】
Correct:
THMC_TMS_LEVEL1_FAULT
FaultDeassertCriteria：TMS故障报文显示无1级故障【ScTMCR_TMSFltLevelState ~=1】 → 下电
FaultDeassertDebounceTime：下电 → NA
</t>
  </si>
  <si>
    <t>读到UPS"市电异常故障"置位</t>
  </si>
  <si>
    <t>读到UPS"市电异常故障"置位</t>
    <phoneticPr fontId="1" type="noConversion"/>
  </si>
  <si>
    <t>【CcEMCR_PowerSupplyAbnormalLvl1JudgeDurms=6840000】ms</t>
    <phoneticPr fontId="1" type="noConversion"/>
  </si>
  <si>
    <t>读到UPS"市电异常故障"清除</t>
  </si>
  <si>
    <t>读到UPS"市电异常故障"清除</t>
    <phoneticPr fontId="1" type="noConversion"/>
  </si>
  <si>
    <t>【CcEMCR_PowerSupplyAbnormalLvl1RcvryDurms=30000】ms</t>
    <phoneticPr fontId="1" type="noConversion"/>
  </si>
  <si>
    <t>市电异常一级故障【BSWSPowerSupplyAbnormalFlg、SbEMCR_PowerSupplyAbnormalLvl1FltFlg】</t>
    <phoneticPr fontId="1" type="noConversion"/>
  </si>
  <si>
    <t>peripherals</t>
  </si>
  <si>
    <t>上电</t>
  </si>
  <si>
    <t>【CcEMCR_PowerSupplyAbnormalLvl3JudgeDurms=3000】ms</t>
  </si>
  <si>
    <t>【CcEMCR_PowerSupplyAbnormalLvl3RcvryDurms=3000】ms</t>
  </si>
  <si>
    <t>市电异常三级故障【BSWSPowerSupplyAbnormalFlg、SbEMCR_PowerSupplyAbnormalLvl3FltFlg】</t>
  </si>
  <si>
    <t>EMCR_POWER_SUPPLY_ABNORMAL_LEVEL3_FAULT</t>
  </si>
  <si>
    <t xml:space="preserve">工具选择12个项目：BMS10_BBMS，BMS20CNM_BBMS，BMS20M_BBMS，BMS21CNM_BBMS，BMS23M_BBMS，BMS24M_BBMS，BMS25M_BBMS，BMS26M_BBMS，LC25_BBMS，RTG10CNM_BBMS，RTG10HMM_BBMS，RTG10M_BBMS
【FaultList】
Add:
EMCR_POWER_SUPPLY_ABNORMAL_LEVEL3_FAULT
Correct:
EMCR_POWER_SUPPLY_ABNORMAL_FAULT
EnableFault：1 → 1
FaultAssertCriteria：任一电表信息A-B电压、A-C电压、B-C电压&lt;【CcEMCR_PowerSupplyAbnormalFltThdV=100】V → 读到UPS"市电异常故障"置位
FaultAssertDebounceTime：【CcEMCR_PowerSupplyAbnormalJudgeDurms=7200000】ms → 【CcEMCR_PowerSupplyAbnormalLvl1JudgeDurms=6840000】ms
FaultDeassertCriteria：下电 → 读到UPS"市电异常故障"清除
FaultDeassertDebounceTime：NA → 【CcEMCR_PowerSupplyAbnormalLvl1RcvryDurms=30000】ms
FaultDescription：市电异常故障【BSWPowerABPhaseVolV、BSWPowerACPhaseVolV、BSWPowerBCPhaseVolV、SbEMCR_PowerSupplyAbnormalFltFlg】 → 市电异常一级故障【BSWSPowerSupplyAbnormalFlg、SbEMCR_PowerSupplyAbnormalLvl1FltFlg】
</t>
  </si>
  <si>
    <t>EMCR_POWER_SUPPLY_ABNORMAL_LEVEL1_FAULT</t>
    <phoneticPr fontId="1" type="noConversion"/>
  </si>
  <si>
    <t>消防严重告警【BSWSFireExtAlertFlg；SbACIS_FireExtAlertFlt】</t>
    <phoneticPr fontId="1" type="noConversion"/>
  </si>
  <si>
    <t>消防中度告警【BSWSFireExtAlarmFlg；SbACIS_FireExtAlarmFlt】</t>
    <phoneticPr fontId="1" type="noConversion"/>
  </si>
  <si>
    <t>V2.1.3</t>
  </si>
  <si>
    <t xml:space="preserve">工具选择12个项目：BMS20CNM_BBMS，BMS20M_BBMS，BMS21CNM_BBMS，BMS25M_BBMS，BMS26M_BBMS，RTG10CNM_BBMS，RTG10HMM_BBMS，RTG10M_BBMS，BMS10_BBMS，LC25_BBMS，BMS23M_BBMS，BMS24M_BBMS
【FaultList】
Correct:
ACIS_FIRE_EXTINGUISHER_ALERT_FAULT
FaultDescription：消防一级故障【BSWSFireExtAlertFlg；SbACIS_FireExtAlertFlt】 → 消防严重告警【BSWSFireExtAlertFlg；SbACIS_FireExtAlertFlt】
ACIS_FIRE_EXTINGUISHER_ALARM_FAULT
FaultDescription：消防二级故障【BSWSFireExtAlarmFlg；SbACIS_FireExtAlarmFlt】 → 消防中度告警【BSWSFireExtAlarmFlg；SbACIS_FireExtAlarmFlt】
</t>
  </si>
  <si>
    <t>boolean</t>
  </si>
  <si>
    <t>Fault status disable array (0: Enable, 1: Disable)</t>
  </si>
  <si>
    <t>/</t>
  </si>
  <si>
    <t>[Tab_FaultList.EnableFault==0, ones(1, FAULT_NUMBER_RESERVED)]</t>
  </si>
  <si>
    <t>CaFDCH_FltStsDisaAryFlg</t>
  </si>
  <si>
    <t>Import_Safety</t>
  </si>
  <si>
    <t>Safety fault status disable array (0: Enable, 1: Disable)</t>
  </si>
  <si>
    <t>CaFDCH_FltStsDisaArySftyFlg</t>
  </si>
  <si>
    <t>Fault recovery mode array (0: 可在线恢复, 1: 下电恢复)</t>
  </si>
  <si>
    <t>[contains(Tab_FaultList.FaultDeassertCriteria,'下电'), zeros(1, FAULT_NUMBER_RESERVED)]</t>
  </si>
  <si>
    <t>CaFDCH_FltRcvryModeFlg</t>
  </si>
  <si>
    <t>Safety fault recovery mode array (0: 可在线恢复, 1: 下电恢复)</t>
  </si>
  <si>
    <t>CaFDCH_FltRcvryModeSftyFlg</t>
  </si>
  <si>
    <t>Charge SOP coefficient when fault asserted</t>
  </si>
  <si>
    <t>[1 FAULT_NUMBER_USED]</t>
  </si>
  <si>
    <t>pct</t>
  </si>
  <si>
    <t>Tab_FaultList("ChargeSOPCoef(%)")</t>
  </si>
  <si>
    <t>FAULT_CH_SOP_COEF</t>
  </si>
  <si>
    <t>Discharge SOP coefficient when fault asserted</t>
  </si>
  <si>
    <t>Tab_FaultList("DischargeSOPCoef(%)")</t>
  </si>
  <si>
    <t>FAULT_DCHA_SOP_COEF</t>
  </si>
  <si>
    <t>System fault level when fault asserted</t>
  </si>
  <si>
    <t>Tab_FaultList.FaultLevel</t>
  </si>
  <si>
    <t>FRLM_FLT_LIST_LVL</t>
  </si>
  <si>
    <t>Used fault number</t>
  </si>
  <si>
    <t>height(Tab_FaultList.FaultLevel)</t>
  </si>
  <si>
    <t>FAULT_NUMBER_USED</t>
  </si>
  <si>
    <t>Reserved fault number</t>
  </si>
  <si>
    <t>FAULT_TOTAL_NUMBER - FAULT_NUMBER_USED</t>
  </si>
  <si>
    <t>FAULT_NUMBER_RESERVED</t>
  </si>
  <si>
    <t>V2.1.4</t>
  </si>
  <si>
    <t xml:space="preserve">工具选择43个项目：BMS10_BBMS，BMS10_RBMS，BMS11_RBMS，BMS12_RBMS，BMS13_RBMS，BMS14_RBMS，BMS20A_BBMS，BMS20CNA_BBMS，BMS20CNM_BBMS，BMS20CN_RBMS，BMS20M_BBMS，BMS20_RBMS，BMS21CNA_BBMS，BMS21CNM_BBMS，BMS21CN_RBMS，BMS23A_BBMS，BMS23M_BBMS，BMS23_RBMS，BMS24A_BBMS，BMS24M_BBMS，BMS24_RBMS，BMS25A_BBMS，BMS25M_BBMS，BMS25_RBMS，BMS26A_BBMS，BMS26M_BBMS，BMS26_RBMS，LC25_BBMS，LC25_RBMS，MIC_RBMS，RTG10A_BBMS，RTG10CNA_BBMS，RTG10CNM_BBMS，RTG10CN_RBMS，RTG10HMA_BBMS，RTG10HMM_BBMS，RTG10HM_RBMS，RTG10M_BBMS，RTG10_RBMS，SF05T_RBMS，SF05_RBMS，SIB_RBMS，TD_RBMS
【SystemParameter】
Add:
CaFDCH_FltStsDisaAryFlg
CaFDCH_FltStsDisaArySftyFlg
CaFDCH_FltRcvryModeFlg
CaFDCH_FltRcvryModeSftyFlg
FAULT_CH_SOP_COEF
FAULT_DCHA_SOP_COEF
FRLM_FLT_LIST_LVL
FAULT_NUMBER_USED
FAULT_NUMBER_RESERVED
</t>
  </si>
  <si>
    <t>[1 200]</t>
    <phoneticPr fontId="1" type="noConversion"/>
  </si>
  <si>
    <t>[1 200]</t>
    <phoneticPr fontId="1" type="noConversion"/>
  </si>
  <si>
    <t>V2.1.5</t>
  </si>
  <si>
    <t xml:space="preserve">工具选择43个项目：BMS10_BBMS，BMS10_RBMS，BMS11_RBMS，BMS12_RBMS，BMS13_RBMS，BMS14_RBMS，BMS20A_BBMS，BMS20CNA_BBMS，BMS20CNM_BBMS，BMS20CN_RBMS，BMS20M_BBMS，BMS20_RBMS，BMS21CNA_BBMS，BMS21CNM_BBMS，BMS21CN_RBMS，BMS23A_BBMS，BMS23M_BBMS，BMS23_RBMS，BMS24A_BBMS，BMS24M_BBMS，BMS24_RBMS，BMS25A_BBMS，BMS25M_BBMS，BMS25_RBMS，BMS26A_BBMS，BMS26M_BBMS，BMS26_RBMS，LC25_BBMS，LC25_RBMS，MIC_RBMS，RTG10A_BBMS，RTG10CNA_BBMS，RTG10CNM_BBMS，RTG10CN_RBMS，RTG10HMA_BBMS，RTG10HMM_BBMS，RTG10HM_RBMS，RTG10M_BBMS，RTG10_RBMS，SF05T_RBMS，SF05_RBMS，SIB_RBMS，TD_RBMS
【SystemParameter】
Correct:
CaFDCH_FltStsDisaAryFlg
Dimensions：[1 FAULT_TOTAL_NUMBER] → [1 200]
CaFDCH_FltStsDisaArySftyFlg
Dimensions：[1 FAULT_TOTAL_NUMBER] → [1 200]
CaFDCH_FltRcvryModeFlg
Dimensions：[1 FAULT_TOTAL_NUMBER] → [1 200]
CaFDCH_FltRcvryModeSftyFlg
Dimensions：[1 FAULT_TOTAL_NUMBER] → [1 200]
</t>
  </si>
  <si>
    <t>电池舱除湿机通讯节点丢失故障【BSWDehumidifierMsgAvlFlg、SbEMCR_DehumidifierComLostFltFlg】</t>
    <phoneticPr fontId="1" type="noConversion"/>
  </si>
  <si>
    <t>V2.1.6</t>
  </si>
  <si>
    <t xml:space="preserve">工具选择12个项目：BMS10_BBMS，BMS20CNM_BBMS，BMS20M_BBMS，BMS21CNM_BBMS，BMS23M_BBMS，BMS24M_BBMS，BMS25M_BBMS，BMS26M_BBMS，LC25_BBMS，RTG10CNM_BBMS，RTG10HMM_BBMS，RTG10M_BBMS
【FaultList】
Correct:
EMCR_DEHUMIDIFIER_TO_BMS_COMMUNICATION_LOST_FAULT
FaultDescription：除湿机通讯节点丢失故障【BSWDehumidifierMsgAvlFlg、SbEMCR_DehumidifierComLostFltFlg】 → 电池舱除湿机通讯节点丢失故障【BSWDehumidifierMsgAvlFlg、SbEMCR_DehumidifierComLostFltFlg】
</t>
  </si>
  <si>
    <t>EMCR_BATTERYCABIN_DEHUMIDIFIER_TO_BMS_COMM_LOST_FAULT</t>
  </si>
  <si>
    <t>上电一分钟、未进行软件升级或ID编码、簇使能</t>
    <phoneticPr fontId="1" type="noConversion"/>
  </si>
  <si>
    <t>收到至少有一个RBMS心跳信号不变化</t>
    <phoneticPr fontId="1" type="noConversion"/>
  </si>
  <si>
    <t>收到的所有RBMS心跳信号不变化</t>
    <phoneticPr fontId="1" type="noConversion"/>
  </si>
  <si>
    <t>A核发送给M核报文的发送函数返回发送失败</t>
    <phoneticPr fontId="1" type="noConversion"/>
  </si>
  <si>
    <t>A核发送给M核报文的发送函数返回发送成功</t>
    <phoneticPr fontId="1" type="noConversion"/>
  </si>
  <si>
    <t>V2.1.7</t>
  </si>
  <si>
    <t xml:space="preserve">工具选择36个项目：BMS10_BBMS，BMS10_RBMS，BMS20A_BBMS，BMS20CNA_BBMS，BMS20CNM_BBMS，BMS20CN_RBMS，BMS20M_BBMS，BMS20_RBMS，BMS21CNA_BBMS，BMS21CNM_BBMS，BMS21CN_RBMS，BMS23A_BBMS，BMS23M_BBMS，BMS23_RBMS，BMS24A_BBMS，BMS24M_BBMS，BMS24_RBMS，BMS25A_BBMS，BMS25M_BBMS，BMS25_RBMS，BMS26A_BBMS，BMS26M_BBMS，BMS26_RBMS，LC25_BBMS，LC25_RBMS，RTG10A_BBMS，RTG10CNA_BBMS，RTG10CNM_BBMS，RTG10CN_RBMS，RTG10HMA_BBMS，RTG10HMM_BBMS，RTG10HM_RBMS，RTG10M_BBMS，RTG10_RBMS，SF05T_RBMS，SF05_RBMS
【FaultList】
Correct:
EMCR_ALLRACK_TO_BANK_COMMUNICATION_LOST_FAULT
DiagnoseEnableCondition：上电一分钟、通讯使能 → 上电一分钟、未进行软件升级或ID编码、簇使能
FaultAssertCriteria：Rackn BMS rolling counter missing or check sum fail → 收到至少有一个RBMS心跳信号不变化
EMCR_ONERACK_TO_BANK_COMMUNICATION_LOST_FAULT
DiagnoseEnableCondition：上电一分钟、通讯使能 → 上电一分钟、未进行软件升级或ID编码、簇使能
FaultAssertCriteria：Rackn BMS rolling counter missing or check sum fail → 收到的所有RBMS心跳信号不变化
EMCR_A_CORE_COMMUNICATION_FAULT
FaultAssertCriteria：收不到A核的信号 → A核发送给M核报文的发送函数返回发送失败
FaultDeassertCriteria：收到A核的信号 → A核发送给M核报文的发送函数返回发送成功
EMCR_ONERACK_TO_BANK_CAN_COMMUNICATION_LOST_FAULT
DiagnoseEnableCondition：上电一分钟、通讯使能 → 上电一分钟、未进行软件升级或ID编码、簇使能
EMCR_ALLRACK_TO_BANK_CAN_COMMUNICATION_LOST_FAULT
DiagnoseEnableCondition：上电一分钟、通讯使能 → 上电一分钟、未进行软件升级或ID编码、簇使能
</t>
  </si>
  <si>
    <t>The number of level-3 boards connected to TMS</t>
  </si>
  <si>
    <t>TMS_NUM</t>
  </si>
  <si>
    <t>The number of racks managed by a TMS</t>
  </si>
  <si>
    <t>RACK_NUMBER_FOR_EVERY_BANK/TMS_NUM</t>
  </si>
  <si>
    <t>TMS_MANAG_RACK_NUM</t>
  </si>
  <si>
    <t>V2.1.8</t>
  </si>
  <si>
    <t xml:space="preserve">工具选择32个项目：BMS10_BBMS，BMS10_RBMS，BMS11_RBMS，BMS12_RBMS，BMS13_RBMS，BMS14_RBMS，BMS20CNM_BBMS，BMS20CN_RBMS，BMS20M_BBMS，BMS20_RBMS，BMS21CNM_BBMS，BMS21CN_RBMS，BMS23M_BBMS，BMS23_RBMS，BMS24M_BBMS，BMS24_RBMS，BMS25M_BBMS，BMS25_RBMS，TD_RBMS，SF05_RBMS，SIB_RBMS，RTG10_RBMS，RTG10M_BBMS，RTG10HM_RBMS，RTG10HMM_BBMS，RTG10CN_RBMS，RTG10CNM_BBMS，MIC_RBMS，LC25_RBMS，BMS26M_BBMS，BMS26_RBMS，LC25_BBMS
【SystemParameter】
Add:
TMS_NUM
TMS_MANAG_RACK_NUM
</t>
  </si>
  <si>
    <t>市电正常【BSWSPowerSupplyAbnormalFlg=0】</t>
    <phoneticPr fontId="1" type="noConversion"/>
  </si>
  <si>
    <t>未收到前四帧任意一帧信息</t>
    <phoneticPr fontId="1" type="noConversion"/>
  </si>
  <si>
    <t>收到TMS发送前四帧报文</t>
    <phoneticPr fontId="1" type="noConversion"/>
  </si>
  <si>
    <t>V2.1.9</t>
  </si>
  <si>
    <t xml:space="preserve">工具选择13个项目：BMS20M_BBMS，BMS21CNM_BBMS，BMS25M_BBMS，BMS26M_BBMS，RTG10M_BBMS，RTG10HMM_BBMS，RTG10CNM_BBMS，LC25_BBMS，BMS10_RBMS，LC25_RBMS，SF05_RBMS，BMS10_BBMS，BMS20CNM_BBMS
【FaultList】
Correct:
TMCR_TMS_TO_BANK_COMMUNICATION_LOST_FAULT
DiagnoseEnableCondition：上电 → 市电正常【BSWSPowerSupplyAbnormalFlg=0】
FaultAssertCriteria：TMS与Bank之间心跳信号丢失 → 未收到前四帧任意一帧信息
FaultDeassertCriteria：收到TMS发送报文 → 收到TMS发送前四帧报文
</t>
  </si>
  <si>
    <t>V2.2.0</t>
  </si>
  <si>
    <t xml:space="preserve">工具选择12个项目：BMS10_BBMS，BMS20CNM_BBMS，BMS20M_BBMS，BMS21CNM_BBMS，BMS23M_BBMS，BMS24M_BBMS，BMS25M_BBMS，BMS26M_BBMS，LC25_BBMS，RTG10CNM_BBMS，RTG10HMM_BBMS，RTG10M_BBMS
【FaultList】
Correct:
EMCR_BATTERYCABIN_DEHUMIDIFIER_TO_BMS_COMM_LOST_FAULT
DiagnoseEnableCondition：上电 → 市电正常【BSWSPowerSupplyAbnormalFlg=0】
EMCR_CONTROLCABINET_DEHUMIDIFIER_TO_BMS_COMM_LOST_FAULT
DiagnoseEnableCondition：上电 → 市电正常【BSWSPowerSupplyAbnormalFlg=0】
</t>
  </si>
  <si>
    <t>V2.2.1</t>
  </si>
  <si>
    <t xml:space="preserve">工具选择18个项目：BMS10_BBMS，BMS11_RBMS，BMS12_RBMS，BMS13_RBMS，BMS14_RBMS，BMS20CNM_BBMS，BMS20M_BBMS，BMS21CNM_BBMS，BMS23_RBMS，BMS24_RBMS，SIB_RBMS，RTG10M_BBMS，RTG10HMM_BBMS，RTG10CNM_BBMS，MIC_RBMS，LC25_BBMS，BMS26M_BBMS，BMS25M_BBMS
【FaultList】
Correct:
THMC_TMS_LEVEL3_FAULT
EnableFault：0 → 1
</t>
  </si>
  <si>
    <t>Number of PCS connected to BBMS</t>
  </si>
  <si>
    <t>PCS_NUM</t>
  </si>
  <si>
    <t>V2.2.2</t>
  </si>
  <si>
    <t xml:space="preserve">工具选择11个项目：BMS20CNM_BBMS，BMS20M_BBMS，BMS21CNM_BBMS，BMS23M_BBMS，BMS24M_BBMS，BMS25M_BBMS，BMS26M_BBMS，BMS27M_BBMS，RTG10CNM_BBMS，RTG10HMM_BBMS，RTG10M_BBMS
【SystemParameter】
Add:
PCS_NUM
</t>
  </si>
  <si>
    <t>【CcEMCR_UPSCommLostRcvryDurms=5000】ms</t>
    <phoneticPr fontId="1" type="noConversion"/>
  </si>
  <si>
    <t>【CcEMCR_EnergymeterCommLostRcvryDurms=5000】ms</t>
    <phoneticPr fontId="1" type="noConversion"/>
  </si>
  <si>
    <t>V2.2.3</t>
  </si>
  <si>
    <t xml:space="preserve">工具选择19个项目：BMS10_BBMS，BMS20CNM_BBMS，BMS20M_BBMS，BMS21CNM_BBMS，BMS23M_BBMS，BMS24M_BBMS，BMS25M_BBMS，BMS26M_BBMS，BMS27M_BBMS，LC25_BBMS，RTG10CNM_BBMS，RTG10HMM_BBMS，RTG10M_BBMS，BMS11_RBMS，BMS12_RBMS，BMS13_RBMS，BMS14_RBMS，MIC_RBMS，SIB_RBMS
【FaultList】
Correct:
EMCR_UPS_TO_BMS_COMMUNICATION_LOST_FAULT
FaultDeassertDebounceTime：【CcEMCR_UPSCommLostRcvryDurms=3000】ms → 【CcEMCR_UPSCommLostRcvryDurms=5000】ms
EMCR_ENERGYMETER_TO_BMS_COMMUNICATION_LOST_FAULT
ChargeSOPCoef(%)：50 → 100
DischargeSOPCoef(%)：50 → 100
FaultDeassertDebounceTime：【CcEMCR_EnergymeterCommLostRcvryDurms=3000】ms → 【CcEMCR_EnergymeterCommLostRcvryDurms=5000】ms
FaultLevel：2 → 3
</t>
  </si>
  <si>
    <t>system</t>
  </si>
  <si>
    <t>存在簇防反接检测未通过</t>
  </si>
  <si>
    <t>【CcBCFR_ReverseConFltSetTims=3000】ms</t>
  </si>
  <si>
    <t>下电</t>
  </si>
  <si>
    <t>高压盒与汇流柜反接故障【ScBCFR_ReverConRackFailNbr，SbBCFR_ReverseConPreFltFlg；SbBCFR_ReverseConFlt】</t>
  </si>
  <si>
    <t>BCFR_HVBOX_BUSBARCAB_REVERSECON_FAULT</t>
  </si>
  <si>
    <t>V2.2.4</t>
  </si>
  <si>
    <t xml:space="preserve">工具选择32个项目：BMS20CNM_BBMS，BMS20M_BBMS，BMS21CNM_BBMS，BMS23M_BBMS，BMS24M_BBMS，BMS25M_BBMS，BMS26M_BBMS，BMS27M_BBMS，RTG10CNM_BBMS，RTG10HMM_BBMS，RTG10M_BBMS，BMS10_RBMS，BMS11_RBMS，BMS12_RBMS，BMS13_RBMS，BMS14_RBMS，BMS20CN_RBMS，BMS20_RBMS，BMS21CN_RBMS，BMS23_RBMS，BMS24_RBMS，BMS25_RBMS，BMS26_RBMS，BMS27_RBMS，LC25_RBMS，MIC_RBMS，RTG10CN_RBMS，RTG10HM_RBMS，RTG10_RBMS，SF05_RBMS，SIB_RBMS，TD_RBMS
【FaultList】
Add:
BCFR_HVBOX_BUSBARCAB_REVERSECON_FAULT
</t>
  </si>
  <si>
    <t>Number of racks for each bank.
Element [1] is the rack number of the original bank;
elements [2..N] are the rack numbers of the split banks (per PCS).</t>
  </si>
  <si>
    <t>RACK_NUMBER_PER_PCS</t>
  </si>
  <si>
    <t>Total number of banks in the system.
If PCS_NUM = 1, the system has only one bank.
If PCS_NUM &gt; 1, the system contains PCS_NUM split banks plus one original bank.</t>
  </si>
  <si>
    <t>if PCS_NUM==1, return 1, 
else return PCS_NUM+1</t>
  </si>
  <si>
    <t>V2.2.5</t>
  </si>
  <si>
    <t xml:space="preserve">工具选择11个项目：BMS20CNM_BBMS，BMS20M_BBMS，BMS21CNM_BBMS，BMS23M_BBMS，BMS24M_BBMS，BMS25M_BBMS，BMS26M_BBMS，BMS27M_BBMS，RTG10CNM_BBMS，RTG10HMM_BBMS，RTG10M_BBMS
【SystemParameter】
Add:
RACK_NUMBER_PER_PCS
BANK_TOTAL_NUMER
</t>
  </si>
  <si>
    <t>BANK_TOTAL_NUMBER</t>
  </si>
  <si>
    <t>V2.2.6</t>
  </si>
  <si>
    <t xml:space="preserve">工具选择22个项目：BMS20A_BBMS，BMS20CNA_BBMS，BMS21CNA_BBMS，BMS23A_BBMS，BMS24A_BBMS，BMS25A_BBMS，BMS26A_BBMS，BMS27A_BBMS，RTG10A_BBMS，RTG10CNA_BBMS，RTG10HMA_BBMS，BMS20CNM_BBMS，BMS20M_BBMS，BMS21CNM_BBMS，BMS23M_BBMS，BMS24M_BBMS，BMS25M_BBMS，BMS26M_BBMS，BMS27M_BBMS，RTG10CNM_BBMS，RTG10HMM_BBMS，RTG10M_BBMS
【SystemParameter】
Add:
BANK_TOTAL_NUMBER
Delete:
BANK_TOTAL_NUMER
</t>
  </si>
  <si>
    <t>[1 BANK_TOTAL_NUMBER]</t>
    <phoneticPr fontId="1" type="noConversion"/>
  </si>
  <si>
    <t>V2.2.7</t>
  </si>
  <si>
    <t xml:space="preserve">工具选择22个项目：BMS20A_BBMS，BMS20CNA_BBMS，BMS21CNA_BBMS，BMS23A_BBMS，BMS24A_BBMS，BMS25A_BBMS，BMS26A_BBMS，BMS27A_BBMS，RTG10A_BBMS，RTG10CNA_BBMS，RTG10HMA_BBMS，BMS20CNM_BBMS，BMS20M_BBMS，BMS21CNM_BBMS，BMS23M_BBMS，BMS24M_BBMS，BMS25M_BBMS，BMS26M_BBMS，BMS27M_BBMS，RTG10CNM_BBMS，RTG10HMM_BBMS，RTG10M_BBMS
【SystemParameter】
Correct:
RACK_NUMBER_PER_PCS
Dimensions：[1 BANK_TOTAL_NUMER] → [1 BANK_TOTAL_NUMBER]
</t>
  </si>
  <si>
    <t>NA</t>
    <phoneticPr fontId="1" type="noConversion"/>
  </si>
  <si>
    <t>[1]</t>
    <phoneticPr fontId="1" type="noConversion"/>
  </si>
  <si>
    <t>[4]</t>
    <phoneticPr fontId="1" type="noConversion"/>
  </si>
  <si>
    <t>[77 85 50 52 87 49 57 48]</t>
    <phoneticPr fontId="1" type="noConversion"/>
  </si>
  <si>
    <t>260526</t>
    <phoneticPr fontId="1" type="noConversion"/>
  </si>
  <si>
    <t>1,sheet "FaultList" 的 E2,E3颠倒了,已更正</t>
    <phoneticPr fontId="1" type="noConversion"/>
  </si>
  <si>
    <t>2,sheet "FaultList" 的 B3 至少一个RBMS通讯丢失,这个fault的处理是: 如果有一个RBMS通讯丢失,那么在允许退簇的情况下,只退一簇(即这个簇不使能),整个BMS不会下电,其它通讯正常的RBMS需要正常工作;在不允许退簇的情况下,所有RBMS要全退簇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</si>
</sst>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Arial"/>
      <family val="2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name val="微软雅黑"/>
      <family val="2"/>
      <charset val="134"/>
    </font>
    <font>
      <b/>
      <sz val="11"/>
      <name val="Arial"/>
      <family val="2"/>
    </font>
    <font>
      <b/>
      <sz val="11"/>
      <name val="等线"/>
      <family val="2"/>
      <scheme val="minor"/>
    </font>
    <font>
      <sz val="11"/>
      <name val="等线"/>
      <family val="2"/>
      <scheme val="minor"/>
    </font>
    <font>
      <sz val="10.5"/>
      <name val="Arial"/>
      <family val="2"/>
    </font>
    <font>
      <sz val="10.5"/>
      <name val="微软雅黑"/>
      <family val="2"/>
      <charset val="134"/>
    </font>
    <font>
      <sz val="11"/>
      <color theme="1"/>
      <name val="Arial"/>
      <family val="2"/>
    </font>
    <font>
      <sz val="11"/>
      <color rgb="FF000000"/>
      <name val="Arial"/>
      <family val="2"/>
    </font>
    <font>
      <sz val="11"/>
      <color theme="1"/>
      <name val="等线"/>
      <family val="2"/>
      <scheme val="minor"/>
    </font>
    <font>
      <b/>
      <sz val="11"/>
      <color theme="1"/>
      <name val="等线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2" tint="-9.9978637043366805E-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/>
      <diagonal/>
    </border>
  </borders>
  <cellStyleXfs count="4">
    <xf numFmtId="0" fontId="0" fillId="0" borderId="0"/>
    <xf numFmtId="0" fontId="4" fillId="0" borderId="0">
      <alignment vertical="center"/>
    </xf>
    <xf numFmtId="0" fontId="5" fillId="0" borderId="0"/>
    <xf numFmtId="0" fontId="15" fillId="0" borderId="4"/>
  </cellStyleXfs>
  <cellXfs count="42">
    <xf numFmtId="0" fontId="0" fillId="0" borderId="0" xfId="0"/>
    <xf numFmtId="0" fontId="0" fillId="0" borderId="0" xfId="0" applyAlignment="1">
      <alignment wrapText="1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quotePrefix="1" applyFont="1" applyBorder="1" applyAlignment="1" applyProtection="1">
      <alignment horizontal="center" vertical="center" wrapText="1"/>
      <protection locked="0"/>
    </xf>
    <xf numFmtId="0" fontId="7" fillId="0" borderId="1" xfId="0" applyFont="1" applyBorder="1" applyAlignment="1" applyProtection="1">
      <alignment horizontal="center" vertical="center" wrapText="1"/>
      <protection locked="0"/>
    </xf>
    <xf numFmtId="0" fontId="7" fillId="0" borderId="1" xfId="0" applyFont="1" applyBorder="1" applyAlignment="1" applyProtection="1">
      <alignment horizontal="left" vertical="center" wrapText="1"/>
      <protection locked="0"/>
    </xf>
    <xf numFmtId="0" fontId="2" fillId="0" borderId="1" xfId="0" quotePrefix="1" applyFont="1" applyBorder="1" applyAlignment="1" applyProtection="1">
      <alignment horizontal="left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9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11" fillId="0" borderId="1" xfId="0" applyFont="1" applyBorder="1" applyAlignment="1" applyProtection="1">
      <alignment horizontal="left" vertical="center" wrapText="1"/>
      <protection locked="0"/>
    </xf>
    <xf numFmtId="0" fontId="12" fillId="0" borderId="1" xfId="0" applyFont="1" applyBorder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vertical="center" wrapText="1"/>
      <protection locked="0"/>
    </xf>
    <xf numFmtId="0" fontId="7" fillId="0" borderId="0" xfId="0" applyFont="1" applyAlignment="1" applyProtection="1">
      <alignment wrapText="1"/>
      <protection locked="0"/>
    </xf>
    <xf numFmtId="0" fontId="10" fillId="0" borderId="1" xfId="0" applyFont="1" applyBorder="1" applyAlignment="1" applyProtection="1">
      <alignment vertical="center"/>
      <protection locked="0"/>
    </xf>
    <xf numFmtId="0" fontId="2" fillId="3" borderId="1" xfId="0" applyFont="1" applyFill="1" applyBorder="1" applyAlignment="1" applyProtection="1">
      <alignment horizontal="left" vertical="center" wrapText="1"/>
      <protection locked="0"/>
    </xf>
    <xf numFmtId="0" fontId="2" fillId="3" borderId="1" xfId="0" applyFont="1" applyFill="1" applyBorder="1" applyAlignment="1" applyProtection="1">
      <alignment horizontal="center" vertical="center" wrapText="1"/>
      <protection locked="0"/>
    </xf>
    <xf numFmtId="0" fontId="2" fillId="3" borderId="1" xfId="0" quotePrefix="1" applyFont="1" applyFill="1" applyBorder="1" applyAlignment="1" applyProtection="1">
      <alignment horizontal="center" vertical="center" wrapText="1"/>
      <protection locked="0"/>
    </xf>
    <xf numFmtId="0" fontId="2" fillId="3" borderId="1" xfId="0" quotePrefix="1" applyFont="1" applyFill="1" applyBorder="1" applyAlignment="1" applyProtection="1">
      <alignment horizontal="left" vertical="center" wrapText="1"/>
      <protection locked="0"/>
    </xf>
    <xf numFmtId="0" fontId="10" fillId="3" borderId="0" xfId="0" applyFont="1" applyFill="1" applyAlignment="1" applyProtection="1">
      <alignment vertical="center"/>
      <protection locked="0"/>
    </xf>
    <xf numFmtId="0" fontId="2" fillId="4" borderId="1" xfId="0" applyFont="1" applyFill="1" applyBorder="1" applyAlignment="1" applyProtection="1">
      <alignment horizontal="center" vertical="center" wrapText="1"/>
      <protection hidden="1"/>
    </xf>
    <xf numFmtId="0" fontId="13" fillId="3" borderId="1" xfId="0" applyFont="1" applyFill="1" applyBorder="1" applyAlignment="1" applyProtection="1">
      <alignment horizontal="center" vertical="center"/>
      <protection locked="0"/>
    </xf>
    <xf numFmtId="0" fontId="13" fillId="3" borderId="2" xfId="0" applyFont="1" applyFill="1" applyBorder="1" applyAlignment="1" applyProtection="1">
      <alignment horizontal="center" vertical="center"/>
      <protection locked="0"/>
    </xf>
    <xf numFmtId="0" fontId="2" fillId="3" borderId="2" xfId="0" applyFont="1" applyFill="1" applyBorder="1" applyAlignment="1" applyProtection="1">
      <alignment horizontal="center" vertical="center"/>
      <protection locked="0"/>
    </xf>
    <xf numFmtId="0" fontId="2" fillId="3" borderId="2" xfId="0" quotePrefix="1" applyFont="1" applyFill="1" applyBorder="1" applyAlignment="1" applyProtection="1">
      <alignment horizontal="center" vertical="center"/>
      <protection locked="0"/>
    </xf>
    <xf numFmtId="0" fontId="14" fillId="3" borderId="2" xfId="0" applyFont="1" applyFill="1" applyBorder="1" applyAlignment="1" applyProtection="1">
      <alignment horizontal="center" vertical="center"/>
      <protection locked="0"/>
    </xf>
    <xf numFmtId="0" fontId="14" fillId="3" borderId="3" xfId="0" applyFont="1" applyFill="1" applyBorder="1" applyAlignment="1" applyProtection="1">
      <alignment horizontal="center" vertical="center"/>
      <protection locked="0"/>
    </xf>
    <xf numFmtId="0" fontId="2" fillId="3" borderId="1" xfId="0" applyFont="1" applyFill="1" applyBorder="1" applyAlignment="1" applyProtection="1">
      <alignment horizontal="center" vertical="center"/>
      <protection locked="0"/>
    </xf>
    <xf numFmtId="0" fontId="2" fillId="3" borderId="2" xfId="0" quotePrefix="1" applyFont="1" applyFill="1" applyBorder="1" applyAlignment="1" applyProtection="1">
      <alignment horizontal="left" vertical="center" wrapText="1"/>
      <protection locked="0"/>
    </xf>
    <xf numFmtId="0" fontId="15" fillId="0" borderId="4" xfId="3" applyAlignment="1">
      <alignment vertical="center" wrapText="1"/>
    </xf>
    <xf numFmtId="0" fontId="15" fillId="0" borderId="4" xfId="3" applyAlignment="1">
      <alignment horizontal="left" vertical="center" wrapText="1"/>
    </xf>
    <xf numFmtId="14" fontId="0" fillId="0" borderId="0" xfId="0" applyNumberFormat="1" applyAlignment="1">
      <alignment wrapText="1"/>
    </xf>
    <xf numFmtId="0" fontId="3" fillId="5" borderId="1" xfId="3" applyFont="1" applyFill="1" applyBorder="1" applyAlignment="1">
      <alignment horizontal="center" vertical="center" wrapText="1"/>
    </xf>
    <xf numFmtId="0" fontId="15" fillId="0" borderId="1" xfId="3" applyBorder="1" applyAlignment="1">
      <alignment horizontal="center" vertical="center" wrapText="1"/>
    </xf>
    <xf numFmtId="0" fontId="10" fillId="4" borderId="1" xfId="0" applyFont="1" applyFill="1" applyBorder="1" applyAlignment="1">
      <alignment vertical="center"/>
    </xf>
    <xf numFmtId="0" fontId="10" fillId="0" borderId="1" xfId="0" applyFont="1" applyBorder="1" applyAlignment="1" applyProtection="1">
      <alignment vertical="center" wrapText="1"/>
      <protection locked="0"/>
    </xf>
    <xf numFmtId="0" fontId="15" fillId="0" borderId="1" xfId="3" applyBorder="1" applyAlignment="1">
      <alignment horizontal="left" vertical="center" wrapText="1"/>
    </xf>
    <xf numFmtId="0" fontId="0" fillId="0" borderId="0" xfId="0" quotePrefix="1"/>
  </cellXfs>
  <cellStyles count="4">
    <cellStyle name="常规" xfId="0" builtinId="0"/>
    <cellStyle name="常规 2" xfId="1" xr:uid="{00000000-0005-0000-0000-000001000000}"/>
    <cellStyle name="常规 3" xfId="2" xr:uid="{00000000-0005-0000-0000-000002000000}"/>
    <cellStyle name="常规 4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0C5A5-5845-4943-A380-7C6A16B5AE19}">
  <dimension ref="A1:B2"/>
  <sheetViews>
    <sheetView tabSelected="1" workbookViewId="0">
      <selection activeCell="F10" sqref="F10"/>
    </sheetView>
  </sheetViews>
  <sheetFormatPr defaultRowHeight="14" x14ac:dyDescent="0.3"/>
  <sheetData>
    <row r="1" spans="1:2" x14ac:dyDescent="0.3">
      <c r="A1" s="41" t="s">
        <v>721</v>
      </c>
      <c r="B1" t="s">
        <v>722</v>
      </c>
    </row>
    <row r="2" spans="1:2" x14ac:dyDescent="0.3">
      <c r="B2" t="s">
        <v>723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78"/>
  <sheetViews>
    <sheetView topLeftCell="A58" workbookViewId="0">
      <selection activeCell="B60" sqref="B60:B61"/>
    </sheetView>
  </sheetViews>
  <sheetFormatPr defaultColWidth="9" defaultRowHeight="14" x14ac:dyDescent="0.3"/>
  <cols>
    <col min="1" max="1" width="10.33203125" style="1" bestFit="1" customWidth="1"/>
    <col min="2" max="2" width="7.33203125" style="1" bestFit="1" customWidth="1"/>
    <col min="3" max="3" width="9.58203125" style="1" customWidth="1"/>
    <col min="4" max="4" width="295.33203125" style="1" customWidth="1"/>
    <col min="5" max="5" width="9" style="1"/>
    <col min="6" max="6" width="4.58203125" style="1" customWidth="1"/>
    <col min="7" max="8" width="9" style="1"/>
    <col min="9" max="9" width="60.08203125" style="1" customWidth="1"/>
    <col min="10" max="16384" width="9" style="1"/>
  </cols>
  <sheetData>
    <row r="1" spans="1:4" x14ac:dyDescent="0.3">
      <c r="A1" s="1" t="s">
        <v>175</v>
      </c>
      <c r="B1" s="1" t="s">
        <v>215</v>
      </c>
      <c r="C1" s="1" t="s">
        <v>260</v>
      </c>
      <c r="D1" s="1" t="s">
        <v>296</v>
      </c>
    </row>
    <row r="2" spans="1:4" ht="28" x14ac:dyDescent="0.3">
      <c r="A2" s="1" t="s">
        <v>176</v>
      </c>
      <c r="B2" s="1" t="s">
        <v>216</v>
      </c>
      <c r="C2" s="1" t="s">
        <v>261</v>
      </c>
      <c r="D2" s="1" t="s">
        <v>297</v>
      </c>
    </row>
    <row r="3" spans="1:4" ht="409.5" x14ac:dyDescent="0.3">
      <c r="A3" s="1" t="s">
        <v>177</v>
      </c>
      <c r="B3" s="1" t="s">
        <v>217</v>
      </c>
      <c r="C3" s="1" t="s">
        <v>262</v>
      </c>
      <c r="D3" s="1" t="s">
        <v>298</v>
      </c>
    </row>
    <row r="4" spans="1:4" ht="28" x14ac:dyDescent="0.3">
      <c r="A4" s="1" t="s">
        <v>177</v>
      </c>
      <c r="B4" s="1" t="s">
        <v>218</v>
      </c>
      <c r="C4" s="1" t="s">
        <v>263</v>
      </c>
      <c r="D4" s="1" t="s">
        <v>299</v>
      </c>
    </row>
    <row r="5" spans="1:4" ht="84" x14ac:dyDescent="0.3">
      <c r="A5" s="1" t="s">
        <v>178</v>
      </c>
      <c r="B5" s="1" t="s">
        <v>219</v>
      </c>
      <c r="C5" s="1" t="s">
        <v>264</v>
      </c>
      <c r="D5" s="1" t="s">
        <v>300</v>
      </c>
    </row>
    <row r="6" spans="1:4" ht="84" x14ac:dyDescent="0.3">
      <c r="A6" s="1" t="s">
        <v>179</v>
      </c>
      <c r="B6" s="1" t="s">
        <v>220</v>
      </c>
      <c r="C6" s="1" t="s">
        <v>264</v>
      </c>
      <c r="D6" s="1" t="s">
        <v>301</v>
      </c>
    </row>
    <row r="7" spans="1:4" ht="252" x14ac:dyDescent="0.3">
      <c r="A7" s="1" t="s">
        <v>180</v>
      </c>
      <c r="B7" s="1" t="s">
        <v>221</v>
      </c>
      <c r="C7" s="1" t="s">
        <v>265</v>
      </c>
      <c r="D7" s="1" t="s">
        <v>302</v>
      </c>
    </row>
    <row r="8" spans="1:4" ht="84" x14ac:dyDescent="0.3">
      <c r="A8" s="1" t="s">
        <v>181</v>
      </c>
      <c r="B8" s="1" t="s">
        <v>222</v>
      </c>
      <c r="C8" s="1" t="s">
        <v>265</v>
      </c>
      <c r="D8" s="1" t="s">
        <v>303</v>
      </c>
    </row>
    <row r="9" spans="1:4" ht="84" x14ac:dyDescent="0.3">
      <c r="A9" s="1" t="s">
        <v>182</v>
      </c>
      <c r="B9" s="1" t="s">
        <v>223</v>
      </c>
      <c r="C9" s="1" t="s">
        <v>266</v>
      </c>
      <c r="D9" s="1" t="s">
        <v>304</v>
      </c>
    </row>
    <row r="10" spans="1:4" ht="28" x14ac:dyDescent="0.3">
      <c r="A10" s="1" t="s">
        <v>183</v>
      </c>
      <c r="B10" s="1" t="s">
        <v>224</v>
      </c>
      <c r="C10" s="1" t="s">
        <v>267</v>
      </c>
      <c r="D10" s="1" t="s">
        <v>305</v>
      </c>
    </row>
    <row r="11" spans="1:4" ht="70" x14ac:dyDescent="0.3">
      <c r="A11" s="1" t="s">
        <v>184</v>
      </c>
      <c r="B11" s="1" t="s">
        <v>225</v>
      </c>
      <c r="C11" s="1" t="s">
        <v>268</v>
      </c>
      <c r="D11" s="1" t="s">
        <v>306</v>
      </c>
    </row>
    <row r="12" spans="1:4" ht="98" x14ac:dyDescent="0.3">
      <c r="A12" s="1" t="s">
        <v>185</v>
      </c>
      <c r="B12" s="1" t="s">
        <v>226</v>
      </c>
      <c r="C12" s="1" t="s">
        <v>269</v>
      </c>
      <c r="D12" s="1" t="s">
        <v>307</v>
      </c>
    </row>
    <row r="13" spans="1:4" ht="70" x14ac:dyDescent="0.3">
      <c r="A13" s="1" t="s">
        <v>186</v>
      </c>
      <c r="B13" s="1" t="s">
        <v>227</v>
      </c>
      <c r="C13" s="1" t="s">
        <v>270</v>
      </c>
      <c r="D13" s="1" t="s">
        <v>308</v>
      </c>
    </row>
    <row r="14" spans="1:4" ht="112" x14ac:dyDescent="0.3">
      <c r="A14" s="1" t="s">
        <v>187</v>
      </c>
      <c r="B14" s="1" t="s">
        <v>228</v>
      </c>
      <c r="C14" s="1" t="s">
        <v>271</v>
      </c>
      <c r="D14" s="1" t="s">
        <v>309</v>
      </c>
    </row>
    <row r="15" spans="1:4" ht="112" x14ac:dyDescent="0.3">
      <c r="A15" s="1" t="s">
        <v>188</v>
      </c>
      <c r="B15" s="1" t="s">
        <v>229</v>
      </c>
      <c r="C15" s="1" t="s">
        <v>272</v>
      </c>
      <c r="D15" s="1" t="s">
        <v>310</v>
      </c>
    </row>
    <row r="16" spans="1:4" ht="409.5" x14ac:dyDescent="0.3">
      <c r="A16" s="1" t="s">
        <v>189</v>
      </c>
      <c r="B16" s="1" t="s">
        <v>230</v>
      </c>
      <c r="C16" s="1" t="s">
        <v>273</v>
      </c>
      <c r="D16" s="1" t="s">
        <v>311</v>
      </c>
    </row>
    <row r="17" spans="1:4" ht="84" x14ac:dyDescent="0.3">
      <c r="A17" s="1" t="s">
        <v>190</v>
      </c>
      <c r="B17" s="1" t="s">
        <v>231</v>
      </c>
      <c r="C17" s="1" t="s">
        <v>274</v>
      </c>
      <c r="D17" s="1" t="s">
        <v>312</v>
      </c>
    </row>
    <row r="18" spans="1:4" ht="42" x14ac:dyDescent="0.3">
      <c r="A18" s="1" t="s">
        <v>190</v>
      </c>
      <c r="B18" s="1" t="s">
        <v>232</v>
      </c>
      <c r="C18" s="1" t="s">
        <v>275</v>
      </c>
      <c r="D18" s="1" t="s">
        <v>313</v>
      </c>
    </row>
    <row r="19" spans="1:4" ht="28" x14ac:dyDescent="0.3">
      <c r="A19" s="1" t="s">
        <v>191</v>
      </c>
      <c r="B19" s="1" t="s">
        <v>233</v>
      </c>
      <c r="C19" s="1" t="s">
        <v>275</v>
      </c>
      <c r="D19" s="1" t="s">
        <v>314</v>
      </c>
    </row>
    <row r="20" spans="1:4" ht="84" x14ac:dyDescent="0.3">
      <c r="A20" s="1" t="s">
        <v>192</v>
      </c>
      <c r="B20" s="1" t="s">
        <v>234</v>
      </c>
      <c r="C20" s="1" t="s">
        <v>276</v>
      </c>
      <c r="D20" s="1" t="s">
        <v>315</v>
      </c>
    </row>
    <row r="21" spans="1:4" ht="28" x14ac:dyDescent="0.3">
      <c r="A21" s="1" t="s">
        <v>192</v>
      </c>
      <c r="B21" s="1" t="s">
        <v>235</v>
      </c>
      <c r="C21" s="1" t="s">
        <v>277</v>
      </c>
      <c r="D21" s="1" t="s">
        <v>316</v>
      </c>
    </row>
    <row r="22" spans="1:4" ht="84" x14ac:dyDescent="0.3">
      <c r="A22" s="1" t="s">
        <v>193</v>
      </c>
      <c r="B22" s="1" t="s">
        <v>236</v>
      </c>
      <c r="C22" s="1" t="s">
        <v>278</v>
      </c>
      <c r="D22" s="1" t="s">
        <v>317</v>
      </c>
    </row>
    <row r="23" spans="1:4" ht="168" x14ac:dyDescent="0.3">
      <c r="A23" s="1" t="s">
        <v>194</v>
      </c>
      <c r="B23" s="1" t="s">
        <v>237</v>
      </c>
      <c r="C23" s="1" t="s">
        <v>279</v>
      </c>
      <c r="D23" s="1" t="s">
        <v>318</v>
      </c>
    </row>
    <row r="24" spans="1:4" ht="210" x14ac:dyDescent="0.3">
      <c r="A24" s="1" t="s">
        <v>195</v>
      </c>
      <c r="B24" s="1" t="s">
        <v>238</v>
      </c>
      <c r="C24" s="1" t="s">
        <v>280</v>
      </c>
      <c r="D24" s="1" t="s">
        <v>319</v>
      </c>
    </row>
    <row r="25" spans="1:4" ht="70" x14ac:dyDescent="0.3">
      <c r="A25" s="1" t="s">
        <v>196</v>
      </c>
      <c r="B25" s="1" t="s">
        <v>239</v>
      </c>
      <c r="C25" s="1" t="s">
        <v>281</v>
      </c>
      <c r="D25" s="1" t="s">
        <v>320</v>
      </c>
    </row>
    <row r="26" spans="1:4" ht="28" x14ac:dyDescent="0.3">
      <c r="A26" s="1" t="s">
        <v>197</v>
      </c>
      <c r="B26" s="1" t="s">
        <v>240</v>
      </c>
      <c r="C26" s="1" t="s">
        <v>282</v>
      </c>
      <c r="D26" s="1" t="s">
        <v>321</v>
      </c>
    </row>
    <row r="27" spans="1:4" ht="28" x14ac:dyDescent="0.3">
      <c r="A27" s="1" t="s">
        <v>198</v>
      </c>
      <c r="B27" s="1" t="s">
        <v>241</v>
      </c>
      <c r="C27" s="1" t="s">
        <v>282</v>
      </c>
      <c r="D27" s="1" t="s">
        <v>322</v>
      </c>
    </row>
    <row r="28" spans="1:4" ht="84" x14ac:dyDescent="0.3">
      <c r="A28" s="1" t="s">
        <v>198</v>
      </c>
      <c r="B28" s="1" t="s">
        <v>242</v>
      </c>
      <c r="C28" s="1" t="s">
        <v>283</v>
      </c>
      <c r="D28" s="1" t="s">
        <v>323</v>
      </c>
    </row>
    <row r="29" spans="1:4" ht="154" x14ac:dyDescent="0.3">
      <c r="A29" s="1" t="s">
        <v>199</v>
      </c>
      <c r="B29" s="1" t="s">
        <v>243</v>
      </c>
      <c r="C29" s="1" t="s">
        <v>283</v>
      </c>
      <c r="D29" s="1" t="s">
        <v>324</v>
      </c>
    </row>
    <row r="30" spans="1:4" ht="70" x14ac:dyDescent="0.3">
      <c r="A30" s="1" t="s">
        <v>200</v>
      </c>
      <c r="B30" s="1" t="s">
        <v>244</v>
      </c>
      <c r="C30" s="1" t="s">
        <v>283</v>
      </c>
      <c r="D30" s="1" t="s">
        <v>325</v>
      </c>
    </row>
    <row r="31" spans="1:4" ht="28" x14ac:dyDescent="0.3">
      <c r="A31" s="1" t="s">
        <v>201</v>
      </c>
      <c r="B31" s="1" t="s">
        <v>245</v>
      </c>
      <c r="C31" s="1" t="s">
        <v>283</v>
      </c>
      <c r="D31" s="1" t="s">
        <v>326</v>
      </c>
    </row>
    <row r="32" spans="1:4" ht="28" x14ac:dyDescent="0.3">
      <c r="A32" s="1" t="s">
        <v>201</v>
      </c>
      <c r="B32" s="1" t="s">
        <v>246</v>
      </c>
      <c r="C32" s="1" t="s">
        <v>284</v>
      </c>
      <c r="D32" s="1" t="s">
        <v>327</v>
      </c>
    </row>
    <row r="33" spans="1:4" ht="84" x14ac:dyDescent="0.3">
      <c r="A33" s="1" t="s">
        <v>202</v>
      </c>
      <c r="B33" s="1" t="s">
        <v>247</v>
      </c>
      <c r="C33" s="1" t="s">
        <v>285</v>
      </c>
      <c r="D33" s="1" t="s">
        <v>328</v>
      </c>
    </row>
    <row r="34" spans="1:4" ht="28" x14ac:dyDescent="0.3">
      <c r="A34" s="1" t="s">
        <v>203</v>
      </c>
      <c r="B34" s="1" t="s">
        <v>248</v>
      </c>
      <c r="C34" s="1" t="s">
        <v>286</v>
      </c>
      <c r="D34" s="1" t="s">
        <v>329</v>
      </c>
    </row>
    <row r="35" spans="1:4" ht="28" x14ac:dyDescent="0.3">
      <c r="A35" s="1" t="s">
        <v>204</v>
      </c>
      <c r="B35" s="1" t="s">
        <v>249</v>
      </c>
      <c r="C35" s="1" t="s">
        <v>287</v>
      </c>
      <c r="D35" s="1" t="s">
        <v>330</v>
      </c>
    </row>
    <row r="36" spans="1:4" ht="98" x14ac:dyDescent="0.3">
      <c r="A36" s="1" t="s">
        <v>205</v>
      </c>
      <c r="B36" s="1" t="s">
        <v>250</v>
      </c>
      <c r="C36" s="1" t="s">
        <v>288</v>
      </c>
      <c r="D36" s="1" t="s">
        <v>331</v>
      </c>
    </row>
    <row r="37" spans="1:4" ht="140" x14ac:dyDescent="0.3">
      <c r="A37" s="1" t="s">
        <v>206</v>
      </c>
      <c r="B37" s="1" t="s">
        <v>251</v>
      </c>
      <c r="C37" s="1" t="s">
        <v>289</v>
      </c>
      <c r="D37" s="1" t="s">
        <v>332</v>
      </c>
    </row>
    <row r="38" spans="1:4" ht="182" x14ac:dyDescent="0.3">
      <c r="A38" s="1" t="s">
        <v>207</v>
      </c>
      <c r="B38" s="1" t="s">
        <v>252</v>
      </c>
      <c r="C38" s="1" t="s">
        <v>290</v>
      </c>
      <c r="D38" s="1" t="s">
        <v>333</v>
      </c>
    </row>
    <row r="39" spans="1:4" ht="84" x14ac:dyDescent="0.3">
      <c r="A39" s="1" t="s">
        <v>208</v>
      </c>
      <c r="B39" s="1" t="s">
        <v>253</v>
      </c>
      <c r="C39" s="1" t="s">
        <v>291</v>
      </c>
      <c r="D39" s="1" t="s">
        <v>334</v>
      </c>
    </row>
    <row r="40" spans="1:4" ht="98" x14ac:dyDescent="0.3">
      <c r="A40" s="1" t="s">
        <v>209</v>
      </c>
      <c r="B40" s="1" t="s">
        <v>254</v>
      </c>
      <c r="C40" s="1" t="s">
        <v>292</v>
      </c>
      <c r="D40" s="1" t="s">
        <v>335</v>
      </c>
    </row>
    <row r="41" spans="1:4" ht="112" x14ac:dyDescent="0.3">
      <c r="A41" s="1" t="s">
        <v>210</v>
      </c>
      <c r="B41" s="1" t="s">
        <v>255</v>
      </c>
      <c r="C41" s="1" t="s">
        <v>293</v>
      </c>
      <c r="D41" s="1" t="s">
        <v>336</v>
      </c>
    </row>
    <row r="42" spans="1:4" ht="98" x14ac:dyDescent="0.3">
      <c r="A42" s="1" t="s">
        <v>211</v>
      </c>
      <c r="B42" s="1" t="s">
        <v>256</v>
      </c>
      <c r="C42" s="1" t="s">
        <v>294</v>
      </c>
      <c r="D42" s="1" t="s">
        <v>337</v>
      </c>
    </row>
    <row r="43" spans="1:4" ht="409.5" x14ac:dyDescent="0.3">
      <c r="A43" s="1" t="s">
        <v>212</v>
      </c>
      <c r="B43" s="1" t="s">
        <v>257</v>
      </c>
      <c r="C43" s="1" t="s">
        <v>294</v>
      </c>
      <c r="D43" s="1" t="s">
        <v>338</v>
      </c>
    </row>
    <row r="44" spans="1:4" ht="409.5" x14ac:dyDescent="0.3">
      <c r="A44" s="1" t="s">
        <v>213</v>
      </c>
      <c r="B44" s="1" t="s">
        <v>258</v>
      </c>
      <c r="C44" s="1" t="s">
        <v>294</v>
      </c>
      <c r="D44" s="1" t="s">
        <v>339</v>
      </c>
    </row>
    <row r="45" spans="1:4" ht="126" x14ac:dyDescent="0.3">
      <c r="A45" s="1" t="s">
        <v>214</v>
      </c>
      <c r="B45" s="1" t="s">
        <v>259</v>
      </c>
      <c r="C45" s="1" t="s">
        <v>295</v>
      </c>
      <c r="D45" s="1" t="s">
        <v>340</v>
      </c>
    </row>
    <row r="46" spans="1:4" ht="182" x14ac:dyDescent="0.3">
      <c r="A46" s="35">
        <v>45887</v>
      </c>
      <c r="B46" s="1" t="s">
        <v>168</v>
      </c>
      <c r="C46" s="1" t="s">
        <v>169</v>
      </c>
      <c r="D46" s="1" t="s">
        <v>341</v>
      </c>
    </row>
    <row r="47" spans="1:4" ht="112" x14ac:dyDescent="0.3">
      <c r="A47" s="35">
        <v>45902</v>
      </c>
      <c r="B47" s="1" t="s">
        <v>231</v>
      </c>
      <c r="C47" s="1" t="s">
        <v>169</v>
      </c>
      <c r="D47" s="1" t="s">
        <v>344</v>
      </c>
    </row>
    <row r="48" spans="1:4" ht="308" x14ac:dyDescent="0.3">
      <c r="A48" s="35">
        <v>45903</v>
      </c>
      <c r="B48" s="1" t="s">
        <v>232</v>
      </c>
      <c r="C48" s="1" t="s">
        <v>261</v>
      </c>
      <c r="D48" s="1" t="s">
        <v>348</v>
      </c>
    </row>
    <row r="49" spans="1:4" ht="112" x14ac:dyDescent="0.3">
      <c r="A49" s="35">
        <v>45910</v>
      </c>
      <c r="B49" s="1" t="s">
        <v>233</v>
      </c>
      <c r="C49" s="1" t="s">
        <v>262</v>
      </c>
      <c r="D49" s="1" t="s">
        <v>349</v>
      </c>
    </row>
    <row r="50" spans="1:4" ht="140" x14ac:dyDescent="0.3">
      <c r="A50" s="35">
        <v>45910</v>
      </c>
      <c r="B50" s="1" t="s">
        <v>234</v>
      </c>
      <c r="C50" s="1" t="s">
        <v>169</v>
      </c>
      <c r="D50" s="1" t="s">
        <v>351</v>
      </c>
    </row>
    <row r="51" spans="1:4" ht="140" x14ac:dyDescent="0.3">
      <c r="A51" s="35">
        <v>45911</v>
      </c>
      <c r="B51" s="1" t="s">
        <v>235</v>
      </c>
      <c r="C51" s="1" t="s">
        <v>262</v>
      </c>
      <c r="D51" s="1" t="s">
        <v>353</v>
      </c>
    </row>
    <row r="52" spans="1:4" ht="238" x14ac:dyDescent="0.3">
      <c r="A52" s="35">
        <v>45925</v>
      </c>
      <c r="B52" s="1" t="s">
        <v>236</v>
      </c>
      <c r="C52" s="1" t="s">
        <v>261</v>
      </c>
      <c r="D52" s="1" t="s">
        <v>356</v>
      </c>
    </row>
    <row r="53" spans="1:4" ht="112" x14ac:dyDescent="0.3">
      <c r="A53" s="35">
        <v>45941</v>
      </c>
      <c r="B53" s="1" t="s">
        <v>237</v>
      </c>
      <c r="C53" s="1" t="s">
        <v>264</v>
      </c>
      <c r="D53" s="1" t="s">
        <v>357</v>
      </c>
    </row>
    <row r="54" spans="1:4" ht="112" x14ac:dyDescent="0.3">
      <c r="A54" s="35">
        <v>45946</v>
      </c>
      <c r="B54" s="1" t="s">
        <v>238</v>
      </c>
      <c r="C54" s="1" t="s">
        <v>169</v>
      </c>
      <c r="D54" s="1" t="s">
        <v>359</v>
      </c>
    </row>
    <row r="55" spans="1:4" ht="112" x14ac:dyDescent="0.3">
      <c r="A55" s="35">
        <v>45946</v>
      </c>
      <c r="B55" s="1" t="s">
        <v>239</v>
      </c>
      <c r="C55" s="1" t="s">
        <v>169</v>
      </c>
      <c r="D55" s="1" t="s">
        <v>360</v>
      </c>
    </row>
    <row r="56" spans="1:4" ht="112" x14ac:dyDescent="0.3">
      <c r="A56" s="35">
        <v>45946</v>
      </c>
      <c r="B56" s="1" t="s">
        <v>240</v>
      </c>
      <c r="C56" s="1" t="s">
        <v>169</v>
      </c>
      <c r="D56" s="1" t="s">
        <v>359</v>
      </c>
    </row>
    <row r="57" spans="1:4" ht="112" x14ac:dyDescent="0.3">
      <c r="A57" s="35">
        <v>45946</v>
      </c>
      <c r="B57" s="1" t="s">
        <v>241</v>
      </c>
      <c r="C57" s="1" t="s">
        <v>169</v>
      </c>
      <c r="D57" s="1" t="s">
        <v>360</v>
      </c>
    </row>
    <row r="58" spans="1:4" ht="126" x14ac:dyDescent="0.3">
      <c r="A58" s="35">
        <v>45958</v>
      </c>
      <c r="B58" s="1" t="s">
        <v>242</v>
      </c>
      <c r="C58" s="1" t="s">
        <v>366</v>
      </c>
      <c r="D58" s="1" t="s">
        <v>367</v>
      </c>
    </row>
    <row r="59" spans="1:4" ht="112" x14ac:dyDescent="0.3">
      <c r="A59" s="35">
        <v>45958</v>
      </c>
      <c r="B59" s="1" t="s">
        <v>243</v>
      </c>
      <c r="C59" s="1" t="s">
        <v>262</v>
      </c>
      <c r="D59" s="1" t="s">
        <v>368</v>
      </c>
    </row>
    <row r="60" spans="1:4" ht="112" x14ac:dyDescent="0.3">
      <c r="A60" s="35">
        <v>45974</v>
      </c>
      <c r="B60" s="1" t="s">
        <v>244</v>
      </c>
      <c r="C60" s="1" t="s">
        <v>264</v>
      </c>
      <c r="D60" s="1" t="s">
        <v>369</v>
      </c>
    </row>
    <row r="61" spans="1:4" x14ac:dyDescent="0.3">
      <c r="A61" s="35">
        <v>45980</v>
      </c>
      <c r="B61" s="1" t="s">
        <v>245</v>
      </c>
      <c r="C61" s="1" t="s">
        <v>262</v>
      </c>
      <c r="D61" s="1" t="s">
        <v>605</v>
      </c>
    </row>
    <row r="62" spans="1:4" ht="154" x14ac:dyDescent="0.3">
      <c r="A62" s="35">
        <v>45980</v>
      </c>
      <c r="B62" s="1" t="s">
        <v>246</v>
      </c>
      <c r="C62" s="1" t="s">
        <v>262</v>
      </c>
      <c r="D62" s="1" t="s">
        <v>606</v>
      </c>
    </row>
    <row r="63" spans="1:4" ht="252" x14ac:dyDescent="0.3">
      <c r="A63" s="35">
        <v>45980</v>
      </c>
      <c r="B63" s="1" t="s">
        <v>247</v>
      </c>
      <c r="C63" s="1" t="s">
        <v>264</v>
      </c>
      <c r="D63" s="1" t="s">
        <v>620</v>
      </c>
    </row>
    <row r="64" spans="1:4" ht="182" x14ac:dyDescent="0.3">
      <c r="A64" s="35">
        <v>45980</v>
      </c>
      <c r="B64" s="1" t="s">
        <v>624</v>
      </c>
      <c r="C64" s="1" t="s">
        <v>262</v>
      </c>
      <c r="D64" s="1" t="s">
        <v>625</v>
      </c>
    </row>
    <row r="65" spans="1:4" ht="252" x14ac:dyDescent="0.3">
      <c r="A65" s="35">
        <v>45987</v>
      </c>
      <c r="B65" s="1" t="s">
        <v>656</v>
      </c>
      <c r="C65" s="1" t="s">
        <v>261</v>
      </c>
      <c r="D65" s="1" t="s">
        <v>657</v>
      </c>
    </row>
    <row r="66" spans="1:4" ht="294" x14ac:dyDescent="0.3">
      <c r="A66" s="35">
        <v>45987</v>
      </c>
      <c r="B66" s="1" t="s">
        <v>660</v>
      </c>
      <c r="C66" s="1" t="s">
        <v>261</v>
      </c>
      <c r="D66" s="1" t="s">
        <v>661</v>
      </c>
    </row>
    <row r="67" spans="1:4" ht="140" x14ac:dyDescent="0.3">
      <c r="A67" s="35">
        <v>45993</v>
      </c>
      <c r="B67" s="1" t="s">
        <v>663</v>
      </c>
      <c r="C67" s="1" t="s">
        <v>264</v>
      </c>
      <c r="D67" s="1" t="s">
        <v>664</v>
      </c>
    </row>
    <row r="68" spans="1:4" ht="364" x14ac:dyDescent="0.3">
      <c r="A68" s="35">
        <v>46006</v>
      </c>
      <c r="B68" s="1" t="s">
        <v>671</v>
      </c>
      <c r="C68" s="1" t="s">
        <v>264</v>
      </c>
      <c r="D68" s="1" t="s">
        <v>672</v>
      </c>
    </row>
    <row r="69" spans="1:4" ht="140" x14ac:dyDescent="0.3">
      <c r="A69" s="35">
        <v>46013</v>
      </c>
      <c r="B69" s="1" t="s">
        <v>678</v>
      </c>
      <c r="C69" s="1" t="s">
        <v>262</v>
      </c>
      <c r="D69" s="1" t="s">
        <v>679</v>
      </c>
    </row>
    <row r="70" spans="1:4" ht="168" x14ac:dyDescent="0.3">
      <c r="A70" s="35">
        <v>46014</v>
      </c>
      <c r="B70" s="1" t="s">
        <v>683</v>
      </c>
      <c r="C70" s="1" t="s">
        <v>262</v>
      </c>
      <c r="D70" s="1" t="s">
        <v>684</v>
      </c>
    </row>
    <row r="71" spans="1:4" ht="182" x14ac:dyDescent="0.3">
      <c r="A71" s="35">
        <v>46016</v>
      </c>
      <c r="B71" s="1" t="s">
        <v>685</v>
      </c>
      <c r="C71" s="1" t="s">
        <v>264</v>
      </c>
      <c r="D71" s="1" t="s">
        <v>686</v>
      </c>
    </row>
    <row r="72" spans="1:4" ht="140" x14ac:dyDescent="0.3">
      <c r="A72" s="35">
        <v>46031</v>
      </c>
      <c r="B72" s="1" t="s">
        <v>687</v>
      </c>
      <c r="C72" s="1" t="s">
        <v>262</v>
      </c>
      <c r="D72" s="1" t="s">
        <v>688</v>
      </c>
    </row>
    <row r="73" spans="1:4" ht="112" x14ac:dyDescent="0.3">
      <c r="A73" s="35">
        <v>46051</v>
      </c>
      <c r="B73" s="1" t="s">
        <v>691</v>
      </c>
      <c r="C73" s="1" t="s">
        <v>261</v>
      </c>
      <c r="D73" s="1" t="s">
        <v>692</v>
      </c>
    </row>
    <row r="74" spans="1:4" ht="224" x14ac:dyDescent="0.3">
      <c r="A74" s="35">
        <v>46059</v>
      </c>
      <c r="B74" s="1" t="s">
        <v>695</v>
      </c>
      <c r="C74" s="1" t="s">
        <v>264</v>
      </c>
      <c r="D74" s="1" t="s">
        <v>696</v>
      </c>
    </row>
    <row r="75" spans="1:4" ht="126" x14ac:dyDescent="0.3">
      <c r="A75" s="35">
        <v>46066</v>
      </c>
      <c r="B75" s="1" t="s">
        <v>703</v>
      </c>
      <c r="C75" s="1" t="s">
        <v>366</v>
      </c>
      <c r="D75" s="1" t="s">
        <v>704</v>
      </c>
    </row>
    <row r="76" spans="1:4" ht="126" x14ac:dyDescent="0.3">
      <c r="A76" s="35">
        <v>46086</v>
      </c>
      <c r="B76" s="1" t="s">
        <v>709</v>
      </c>
      <c r="C76" s="1" t="s">
        <v>261</v>
      </c>
      <c r="D76" s="1" t="s">
        <v>710</v>
      </c>
    </row>
    <row r="77" spans="1:4" ht="168" x14ac:dyDescent="0.3">
      <c r="A77" s="35">
        <v>46086</v>
      </c>
      <c r="B77" s="1" t="s">
        <v>712</v>
      </c>
      <c r="C77" s="1" t="s">
        <v>261</v>
      </c>
      <c r="D77" s="1" t="s">
        <v>713</v>
      </c>
    </row>
    <row r="78" spans="1:4" ht="154" x14ac:dyDescent="0.3">
      <c r="A78" s="35">
        <v>46086</v>
      </c>
      <c r="B78" s="1" t="s">
        <v>715</v>
      </c>
      <c r="C78" s="1" t="s">
        <v>261</v>
      </c>
      <c r="D78" s="1" t="s">
        <v>716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46"/>
  <sheetViews>
    <sheetView showGridLines="0" zoomScale="85" zoomScaleNormal="85" workbookViewId="0">
      <selection activeCell="J20" sqref="J20"/>
    </sheetView>
  </sheetViews>
  <sheetFormatPr defaultColWidth="9.08203125" defaultRowHeight="14" x14ac:dyDescent="0.3"/>
  <cols>
    <col min="1" max="1" width="52.08203125" style="18" customWidth="1"/>
    <col min="2" max="2" width="16.08203125" style="18" customWidth="1"/>
    <col min="3" max="3" width="23.08203125" style="18" customWidth="1"/>
    <col min="4" max="4" width="12.58203125" style="18" customWidth="1"/>
    <col min="5" max="5" width="21.58203125" style="18" customWidth="1"/>
    <col min="6" max="6" width="15.58203125" style="18" customWidth="1"/>
    <col min="7" max="7" width="11.58203125" style="18" customWidth="1"/>
    <col min="8" max="8" width="16.08203125" style="18" customWidth="1"/>
    <col min="9" max="9" width="19.08203125" style="18" customWidth="1"/>
    <col min="10" max="11" width="9.08203125" style="18"/>
    <col min="12" max="13" width="12.58203125" style="18" customWidth="1"/>
    <col min="14" max="14" width="56.58203125" style="18" customWidth="1"/>
    <col min="15" max="15" width="30.58203125" style="18" customWidth="1"/>
    <col min="16" max="16384" width="9.08203125" style="13"/>
  </cols>
  <sheetData>
    <row r="1" spans="1:15" s="12" customFormat="1" x14ac:dyDescent="0.3">
      <c r="A1" s="11" t="s">
        <v>37</v>
      </c>
      <c r="B1" s="11" t="s">
        <v>0</v>
      </c>
      <c r="C1" s="11" t="s">
        <v>38</v>
      </c>
      <c r="D1" s="11" t="s">
        <v>1</v>
      </c>
      <c r="E1" s="11" t="s">
        <v>39</v>
      </c>
      <c r="F1" s="11" t="s">
        <v>40</v>
      </c>
      <c r="G1" s="11" t="s">
        <v>41</v>
      </c>
      <c r="H1" s="11" t="s">
        <v>42</v>
      </c>
      <c r="I1" s="11" t="s">
        <v>43</v>
      </c>
      <c r="J1" s="11" t="s">
        <v>44</v>
      </c>
      <c r="K1" s="11" t="s">
        <v>45</v>
      </c>
      <c r="L1" s="11" t="s">
        <v>46</v>
      </c>
      <c r="M1" s="11" t="s">
        <v>47</v>
      </c>
      <c r="N1" s="11" t="s">
        <v>48</v>
      </c>
      <c r="O1" s="11" t="s">
        <v>49</v>
      </c>
    </row>
    <row r="2" spans="1:15" x14ac:dyDescent="0.3">
      <c r="A2" s="3" t="s">
        <v>50</v>
      </c>
      <c r="B2" s="2" t="s">
        <v>52</v>
      </c>
      <c r="C2" s="2" t="s">
        <v>53</v>
      </c>
      <c r="D2" s="2" t="s">
        <v>2</v>
      </c>
      <c r="E2" s="2" t="s">
        <v>3</v>
      </c>
      <c r="F2" s="7" t="s">
        <v>4</v>
      </c>
      <c r="G2" s="7" t="s">
        <v>4</v>
      </c>
      <c r="H2" s="7" t="s">
        <v>4</v>
      </c>
      <c r="I2" s="2" t="s">
        <v>5</v>
      </c>
      <c r="J2" s="2" t="s">
        <v>6</v>
      </c>
      <c r="K2" s="2" t="s">
        <v>6</v>
      </c>
      <c r="L2" s="2" t="s">
        <v>54</v>
      </c>
      <c r="M2" s="2" t="s">
        <v>7</v>
      </c>
      <c r="N2" s="3" t="s">
        <v>8</v>
      </c>
      <c r="O2" s="2" t="s">
        <v>55</v>
      </c>
    </row>
    <row r="3" spans="1:15" ht="42" x14ac:dyDescent="0.3">
      <c r="A3" s="3" t="s">
        <v>706</v>
      </c>
      <c r="B3" s="2" t="s">
        <v>29</v>
      </c>
      <c r="C3" s="2" t="e">
        <f ca="1">"[" &amp; GetParamValue("RACK_NUMBER_FOR_EVERY_BANK") &amp; "]"</f>
        <v>#NAME?</v>
      </c>
      <c r="D3" s="2" t="s">
        <v>2</v>
      </c>
      <c r="E3" s="2" t="s">
        <v>346</v>
      </c>
      <c r="F3" s="7" t="s">
        <v>4</v>
      </c>
      <c r="G3" s="7" t="s">
        <v>4</v>
      </c>
      <c r="H3" s="7" t="s">
        <v>4</v>
      </c>
      <c r="I3" s="2" t="s">
        <v>24</v>
      </c>
      <c r="J3" s="2" t="s">
        <v>32</v>
      </c>
      <c r="K3" s="2" t="s">
        <v>25</v>
      </c>
      <c r="L3" s="2" t="s">
        <v>714</v>
      </c>
      <c r="M3" s="2" t="s">
        <v>7</v>
      </c>
      <c r="N3" s="3" t="s">
        <v>705</v>
      </c>
      <c r="O3" s="2" t="s">
        <v>27</v>
      </c>
    </row>
    <row r="4" spans="1:15" x14ac:dyDescent="0.3">
      <c r="A4" s="3" t="s">
        <v>690</v>
      </c>
      <c r="B4" s="2" t="s">
        <v>29</v>
      </c>
      <c r="C4" s="2" t="s">
        <v>14</v>
      </c>
      <c r="D4" s="2" t="s">
        <v>2</v>
      </c>
      <c r="E4" s="2" t="s">
        <v>3</v>
      </c>
      <c r="F4" s="7" t="s">
        <v>4</v>
      </c>
      <c r="G4" s="7" t="s">
        <v>4</v>
      </c>
      <c r="H4" s="7" t="s">
        <v>4</v>
      </c>
      <c r="I4" s="2" t="s">
        <v>5</v>
      </c>
      <c r="J4" s="2" t="s">
        <v>32</v>
      </c>
      <c r="K4" s="2" t="s">
        <v>25</v>
      </c>
      <c r="L4" s="2" t="s">
        <v>34</v>
      </c>
      <c r="M4" s="2" t="s">
        <v>7</v>
      </c>
      <c r="N4" s="3" t="s">
        <v>689</v>
      </c>
      <c r="O4" s="2" t="s">
        <v>27</v>
      </c>
    </row>
    <row r="5" spans="1:15" x14ac:dyDescent="0.3">
      <c r="A5" s="3" t="s">
        <v>674</v>
      </c>
      <c r="B5" s="2" t="s">
        <v>29</v>
      </c>
      <c r="C5" s="2" t="s">
        <v>718</v>
      </c>
      <c r="D5" s="2" t="s">
        <v>2</v>
      </c>
      <c r="E5" s="2" t="s">
        <v>3</v>
      </c>
      <c r="F5" s="7" t="s">
        <v>4</v>
      </c>
      <c r="G5" s="7" t="s">
        <v>4</v>
      </c>
      <c r="H5" s="7" t="s">
        <v>4</v>
      </c>
      <c r="I5" s="2" t="s">
        <v>5</v>
      </c>
      <c r="J5" s="2" t="s">
        <v>32</v>
      </c>
      <c r="K5" s="2" t="s">
        <v>25</v>
      </c>
      <c r="L5" s="2" t="s">
        <v>34</v>
      </c>
      <c r="M5" s="2" t="s">
        <v>7</v>
      </c>
      <c r="N5" s="3" t="s">
        <v>673</v>
      </c>
      <c r="O5" s="2" t="s">
        <v>717</v>
      </c>
    </row>
    <row r="6" spans="1:15" ht="42" x14ac:dyDescent="0.3">
      <c r="A6" s="3" t="s">
        <v>365</v>
      </c>
      <c r="B6" s="2" t="s">
        <v>29</v>
      </c>
      <c r="C6" s="2" t="s">
        <v>32</v>
      </c>
      <c r="D6" s="2" t="s">
        <v>2</v>
      </c>
      <c r="E6" s="2" t="s">
        <v>346</v>
      </c>
      <c r="F6" s="7" t="s">
        <v>4</v>
      </c>
      <c r="G6" s="7" t="s">
        <v>4</v>
      </c>
      <c r="H6" s="7" t="s">
        <v>4</v>
      </c>
      <c r="I6" s="2" t="s">
        <v>24</v>
      </c>
      <c r="J6" s="2" t="s">
        <v>32</v>
      </c>
      <c r="K6" s="2" t="s">
        <v>25</v>
      </c>
      <c r="L6" s="2" t="s">
        <v>34</v>
      </c>
      <c r="M6" s="2" t="s">
        <v>7</v>
      </c>
      <c r="N6" s="3" t="s">
        <v>364</v>
      </c>
      <c r="O6" s="2" t="s">
        <v>27</v>
      </c>
    </row>
    <row r="7" spans="1:15" x14ac:dyDescent="0.3">
      <c r="A7" s="3" t="s">
        <v>362</v>
      </c>
      <c r="B7" s="2" t="s">
        <v>29</v>
      </c>
      <c r="C7" s="2" t="s">
        <v>363</v>
      </c>
      <c r="D7" s="2" t="s">
        <v>2</v>
      </c>
      <c r="E7" s="2" t="s">
        <v>3</v>
      </c>
      <c r="F7" s="7" t="s">
        <v>4</v>
      </c>
      <c r="G7" s="7" t="s">
        <v>4</v>
      </c>
      <c r="H7" s="7" t="s">
        <v>4</v>
      </c>
      <c r="I7" s="2" t="s">
        <v>5</v>
      </c>
      <c r="J7" s="2" t="s">
        <v>14</v>
      </c>
      <c r="K7" s="2" t="s">
        <v>133</v>
      </c>
      <c r="L7" s="2" t="s">
        <v>34</v>
      </c>
      <c r="M7" s="2" t="s">
        <v>7</v>
      </c>
      <c r="N7" s="3" t="s">
        <v>361</v>
      </c>
      <c r="O7" s="2" t="s">
        <v>27</v>
      </c>
    </row>
    <row r="8" spans="1:15" x14ac:dyDescent="0.3">
      <c r="A8" s="3" t="s">
        <v>173</v>
      </c>
      <c r="B8" s="2" t="s">
        <v>29</v>
      </c>
      <c r="C8" s="2" t="s">
        <v>174</v>
      </c>
      <c r="D8" s="2" t="s">
        <v>2</v>
      </c>
      <c r="E8" s="2" t="s">
        <v>3</v>
      </c>
      <c r="F8" s="7" t="s">
        <v>4</v>
      </c>
      <c r="G8" s="7" t="s">
        <v>4</v>
      </c>
      <c r="H8" s="7" t="s">
        <v>4</v>
      </c>
      <c r="I8" s="2" t="s">
        <v>5</v>
      </c>
      <c r="J8" s="2" t="s">
        <v>21</v>
      </c>
      <c r="K8" s="2" t="s">
        <v>83</v>
      </c>
      <c r="L8" s="2" t="s">
        <v>34</v>
      </c>
      <c r="M8" s="2" t="s">
        <v>7</v>
      </c>
      <c r="N8" s="3" t="s">
        <v>172</v>
      </c>
      <c r="O8" s="2" t="s">
        <v>27</v>
      </c>
    </row>
    <row r="9" spans="1:15" ht="56" x14ac:dyDescent="0.3">
      <c r="A9" s="3" t="s">
        <v>171</v>
      </c>
      <c r="B9" s="2" t="s">
        <v>29</v>
      </c>
      <c r="C9" s="2" t="s">
        <v>14</v>
      </c>
      <c r="D9" s="2" t="s">
        <v>2</v>
      </c>
      <c r="E9" s="2" t="s">
        <v>3</v>
      </c>
      <c r="F9" s="7" t="s">
        <v>4</v>
      </c>
      <c r="G9" s="7" t="s">
        <v>4</v>
      </c>
      <c r="H9" s="7" t="s">
        <v>4</v>
      </c>
      <c r="I9" s="2" t="s">
        <v>24</v>
      </c>
      <c r="J9" s="2" t="s">
        <v>32</v>
      </c>
      <c r="K9" s="2" t="s">
        <v>25</v>
      </c>
      <c r="L9" s="2" t="s">
        <v>34</v>
      </c>
      <c r="M9" s="2" t="s">
        <v>4</v>
      </c>
      <c r="N9" s="3" t="s">
        <v>170</v>
      </c>
      <c r="O9" s="2" t="s">
        <v>27</v>
      </c>
    </row>
    <row r="10" spans="1:15" x14ac:dyDescent="0.3">
      <c r="A10" s="3" t="s">
        <v>56</v>
      </c>
      <c r="B10" s="2" t="s">
        <v>51</v>
      </c>
      <c r="C10" s="2" t="s">
        <v>57</v>
      </c>
      <c r="D10" s="2" t="s">
        <v>2</v>
      </c>
      <c r="E10" s="2" t="s">
        <v>3</v>
      </c>
      <c r="F10" s="7" t="s">
        <v>4</v>
      </c>
      <c r="G10" s="7" t="s">
        <v>4</v>
      </c>
      <c r="H10" s="7" t="s">
        <v>4</v>
      </c>
      <c r="I10" s="2" t="s">
        <v>5</v>
      </c>
      <c r="J10" s="2" t="s">
        <v>6</v>
      </c>
      <c r="K10" s="2" t="s">
        <v>6</v>
      </c>
      <c r="L10" s="2" t="s">
        <v>54</v>
      </c>
      <c r="M10" s="2" t="s">
        <v>7</v>
      </c>
      <c r="N10" s="3" t="s">
        <v>9</v>
      </c>
      <c r="O10" s="2" t="s">
        <v>58</v>
      </c>
    </row>
    <row r="11" spans="1:15" ht="28" x14ac:dyDescent="0.3">
      <c r="A11" s="3" t="s">
        <v>59</v>
      </c>
      <c r="B11" s="2" t="s">
        <v>52</v>
      </c>
      <c r="C11" s="2" t="s">
        <v>60</v>
      </c>
      <c r="D11" s="2" t="s">
        <v>2</v>
      </c>
      <c r="E11" s="2" t="s">
        <v>3</v>
      </c>
      <c r="F11" s="7" t="s">
        <v>4</v>
      </c>
      <c r="G11" s="7" t="s">
        <v>4</v>
      </c>
      <c r="H11" s="7" t="s">
        <v>4</v>
      </c>
      <c r="I11" s="2" t="s">
        <v>5</v>
      </c>
      <c r="J11" s="2" t="s">
        <v>18</v>
      </c>
      <c r="K11" s="2" t="s">
        <v>25</v>
      </c>
      <c r="L11" s="2" t="s">
        <v>19</v>
      </c>
      <c r="M11" s="2" t="s">
        <v>61</v>
      </c>
      <c r="N11" s="3" t="s">
        <v>26</v>
      </c>
      <c r="O11" s="2" t="s">
        <v>62</v>
      </c>
    </row>
    <row r="12" spans="1:15" x14ac:dyDescent="0.3">
      <c r="A12" s="3" t="s">
        <v>65</v>
      </c>
      <c r="B12" s="2" t="s">
        <v>52</v>
      </c>
      <c r="C12" s="2" t="s">
        <v>14</v>
      </c>
      <c r="D12" s="2" t="s">
        <v>2</v>
      </c>
      <c r="E12" s="2" t="s">
        <v>3</v>
      </c>
      <c r="F12" s="7" t="s">
        <v>4</v>
      </c>
      <c r="G12" s="7" t="s">
        <v>4</v>
      </c>
      <c r="H12" s="7" t="s">
        <v>4</v>
      </c>
      <c r="I12" s="2" t="s">
        <v>5</v>
      </c>
      <c r="J12" s="2" t="s">
        <v>66</v>
      </c>
      <c r="K12" s="2" t="s">
        <v>67</v>
      </c>
      <c r="L12" s="2" t="s">
        <v>19</v>
      </c>
      <c r="M12" s="2" t="s">
        <v>7</v>
      </c>
      <c r="N12" s="3" t="s">
        <v>68</v>
      </c>
      <c r="O12" s="2" t="s">
        <v>69</v>
      </c>
    </row>
    <row r="13" spans="1:15" x14ac:dyDescent="0.3">
      <c r="A13" s="14" t="s">
        <v>70</v>
      </c>
      <c r="B13" s="2" t="s">
        <v>71</v>
      </c>
      <c r="C13" s="2" t="s">
        <v>14</v>
      </c>
      <c r="D13" s="2" t="s">
        <v>2</v>
      </c>
      <c r="E13" s="2" t="s">
        <v>3</v>
      </c>
      <c r="F13" s="7" t="s">
        <v>4</v>
      </c>
      <c r="G13" s="7" t="s">
        <v>4</v>
      </c>
      <c r="H13" s="7" t="s">
        <v>4</v>
      </c>
      <c r="I13" s="2" t="s">
        <v>5</v>
      </c>
      <c r="J13" s="2" t="s">
        <v>72</v>
      </c>
      <c r="K13" s="2" t="s">
        <v>73</v>
      </c>
      <c r="L13" s="2" t="s">
        <v>54</v>
      </c>
      <c r="M13" s="2" t="s">
        <v>7</v>
      </c>
      <c r="N13" s="3" t="s">
        <v>22</v>
      </c>
      <c r="O13" s="2" t="s">
        <v>62</v>
      </c>
    </row>
    <row r="14" spans="1:15" x14ac:dyDescent="0.3">
      <c r="A14" s="3" t="s">
        <v>10</v>
      </c>
      <c r="B14" s="2" t="s">
        <v>74</v>
      </c>
      <c r="C14" s="2" t="s">
        <v>75</v>
      </c>
      <c r="D14" s="2" t="s">
        <v>2</v>
      </c>
      <c r="E14" s="2" t="s">
        <v>3</v>
      </c>
      <c r="F14" s="7" t="s">
        <v>4</v>
      </c>
      <c r="G14" s="7" t="s">
        <v>4</v>
      </c>
      <c r="H14" s="7" t="s">
        <v>4</v>
      </c>
      <c r="I14" s="2" t="s">
        <v>5</v>
      </c>
      <c r="J14" s="2" t="s">
        <v>6</v>
      </c>
      <c r="K14" s="2" t="s">
        <v>6</v>
      </c>
      <c r="L14" s="2" t="s">
        <v>54</v>
      </c>
      <c r="M14" s="7" t="s">
        <v>4</v>
      </c>
      <c r="N14" s="3" t="s">
        <v>11</v>
      </c>
      <c r="O14" s="2" t="s">
        <v>58</v>
      </c>
    </row>
    <row r="15" spans="1:15" x14ac:dyDescent="0.3">
      <c r="A15" s="14" t="s">
        <v>76</v>
      </c>
      <c r="B15" s="2" t="s">
        <v>51</v>
      </c>
      <c r="C15" s="2" t="s">
        <v>719</v>
      </c>
      <c r="D15" s="2" t="s">
        <v>2</v>
      </c>
      <c r="E15" s="2" t="s">
        <v>346</v>
      </c>
      <c r="F15" s="7" t="s">
        <v>4</v>
      </c>
      <c r="G15" s="7" t="s">
        <v>4</v>
      </c>
      <c r="H15" s="7" t="s">
        <v>4</v>
      </c>
      <c r="I15" s="2" t="s">
        <v>350</v>
      </c>
      <c r="J15" s="2" t="s">
        <v>6</v>
      </c>
      <c r="K15" s="2" t="s">
        <v>6</v>
      </c>
      <c r="L15" s="2" t="s">
        <v>64</v>
      </c>
      <c r="M15" s="7" t="s">
        <v>4</v>
      </c>
      <c r="N15" s="10" t="s">
        <v>347</v>
      </c>
      <c r="O15" s="2" t="s">
        <v>55</v>
      </c>
    </row>
    <row r="16" spans="1:15" x14ac:dyDescent="0.3">
      <c r="A16" s="3" t="s">
        <v>77</v>
      </c>
      <c r="B16" s="2" t="s">
        <v>52</v>
      </c>
      <c r="C16" s="6" t="s">
        <v>78</v>
      </c>
      <c r="D16" s="2" t="s">
        <v>79</v>
      </c>
      <c r="E16" s="2" t="s">
        <v>3</v>
      </c>
      <c r="F16" s="2" t="s">
        <v>61</v>
      </c>
      <c r="G16" s="2" t="s">
        <v>80</v>
      </c>
      <c r="H16" s="2" t="s">
        <v>80</v>
      </c>
      <c r="I16" s="2" t="s">
        <v>81</v>
      </c>
      <c r="J16" s="2" t="s">
        <v>82</v>
      </c>
      <c r="K16" s="2" t="s">
        <v>83</v>
      </c>
      <c r="L16" s="2" t="s">
        <v>19</v>
      </c>
      <c r="M16" s="2" t="s">
        <v>84</v>
      </c>
      <c r="N16" s="3" t="s">
        <v>23</v>
      </c>
      <c r="O16" s="2" t="s">
        <v>55</v>
      </c>
    </row>
    <row r="17" spans="1:15" s="16" customFormat="1" ht="16.5" x14ac:dyDescent="0.3">
      <c r="A17" s="15" t="s">
        <v>85</v>
      </c>
      <c r="B17" s="8" t="s">
        <v>86</v>
      </c>
      <c r="C17" s="8" t="s">
        <v>87</v>
      </c>
      <c r="D17" s="8" t="s">
        <v>2</v>
      </c>
      <c r="E17" s="8" t="s">
        <v>3</v>
      </c>
      <c r="F17" s="8" t="s">
        <v>88</v>
      </c>
      <c r="G17" s="8" t="s">
        <v>88</v>
      </c>
      <c r="H17" s="8" t="s">
        <v>80</v>
      </c>
      <c r="I17" s="8" t="s">
        <v>89</v>
      </c>
      <c r="J17" s="8" t="s">
        <v>63</v>
      </c>
      <c r="K17" s="8" t="s">
        <v>90</v>
      </c>
      <c r="L17" s="8" t="s">
        <v>91</v>
      </c>
      <c r="M17" s="8" t="s">
        <v>7</v>
      </c>
      <c r="N17" s="9" t="s">
        <v>92</v>
      </c>
      <c r="O17" s="8" t="s">
        <v>69</v>
      </c>
    </row>
    <row r="18" spans="1:15" ht="18" customHeight="1" x14ac:dyDescent="0.3">
      <c r="A18" s="3" t="s">
        <v>93</v>
      </c>
      <c r="B18" s="2" t="s">
        <v>52</v>
      </c>
      <c r="C18" s="2" t="s">
        <v>94</v>
      </c>
      <c r="D18" s="2" t="s">
        <v>2</v>
      </c>
      <c r="E18" s="2" t="s">
        <v>3</v>
      </c>
      <c r="F18" s="2" t="s">
        <v>4</v>
      </c>
      <c r="G18" s="2" t="s">
        <v>4</v>
      </c>
      <c r="H18" s="2" t="s">
        <v>4</v>
      </c>
      <c r="I18" s="2" t="s">
        <v>5</v>
      </c>
      <c r="J18" s="2" t="s">
        <v>63</v>
      </c>
      <c r="K18" s="2" t="s">
        <v>95</v>
      </c>
      <c r="L18" s="2" t="s">
        <v>54</v>
      </c>
      <c r="M18" s="2" t="s">
        <v>7</v>
      </c>
      <c r="N18" s="3" t="s">
        <v>96</v>
      </c>
      <c r="O18" s="2" t="s">
        <v>69</v>
      </c>
    </row>
    <row r="19" spans="1:15" ht="14.5" x14ac:dyDescent="0.3">
      <c r="A19" s="3" t="s">
        <v>97</v>
      </c>
      <c r="B19" s="2" t="s">
        <v>52</v>
      </c>
      <c r="C19" s="2" t="s">
        <v>720</v>
      </c>
      <c r="D19" s="2" t="s">
        <v>2</v>
      </c>
      <c r="E19" s="2" t="s">
        <v>98</v>
      </c>
      <c r="F19" s="2" t="s">
        <v>88</v>
      </c>
      <c r="G19" s="2" t="s">
        <v>88</v>
      </c>
      <c r="H19" s="2" t="s">
        <v>88</v>
      </c>
      <c r="I19" s="2" t="s">
        <v>24</v>
      </c>
      <c r="J19" s="2" t="s">
        <v>99</v>
      </c>
      <c r="K19" s="2" t="s">
        <v>99</v>
      </c>
      <c r="L19" s="2" t="s">
        <v>100</v>
      </c>
      <c r="M19" s="2" t="s">
        <v>7</v>
      </c>
      <c r="N19" s="3" t="s">
        <v>101</v>
      </c>
      <c r="O19" s="2" t="s">
        <v>55</v>
      </c>
    </row>
    <row r="20" spans="1:15" x14ac:dyDescent="0.3">
      <c r="A20" s="3" t="s">
        <v>15</v>
      </c>
      <c r="B20" s="2" t="s">
        <v>86</v>
      </c>
      <c r="C20" s="2" t="s">
        <v>14</v>
      </c>
      <c r="D20" s="2" t="s">
        <v>2</v>
      </c>
      <c r="E20" s="2" t="s">
        <v>3</v>
      </c>
      <c r="F20" s="7" t="s">
        <v>4</v>
      </c>
      <c r="G20" s="7" t="s">
        <v>4</v>
      </c>
      <c r="H20" s="7" t="s">
        <v>4</v>
      </c>
      <c r="I20" s="2" t="s">
        <v>5</v>
      </c>
      <c r="J20" s="2" t="s">
        <v>6</v>
      </c>
      <c r="K20" s="2" t="s">
        <v>6</v>
      </c>
      <c r="L20" s="2" t="s">
        <v>91</v>
      </c>
      <c r="M20" s="7" t="s">
        <v>4</v>
      </c>
      <c r="N20" s="10" t="s">
        <v>4</v>
      </c>
      <c r="O20" s="2" t="s">
        <v>69</v>
      </c>
    </row>
    <row r="21" spans="1:15" x14ac:dyDescent="0.3">
      <c r="A21" s="3" t="s">
        <v>28</v>
      </c>
      <c r="B21" s="2" t="s">
        <v>29</v>
      </c>
      <c r="C21" s="2" t="s">
        <v>30</v>
      </c>
      <c r="D21" s="2" t="s">
        <v>2</v>
      </c>
      <c r="E21" s="2" t="s">
        <v>3</v>
      </c>
      <c r="F21" s="7" t="s">
        <v>4</v>
      </c>
      <c r="G21" s="7" t="s">
        <v>4</v>
      </c>
      <c r="H21" s="7" t="s">
        <v>4</v>
      </c>
      <c r="I21" s="2" t="s">
        <v>31</v>
      </c>
      <c r="J21" s="2" t="s">
        <v>32</v>
      </c>
      <c r="K21" s="2" t="s">
        <v>33</v>
      </c>
      <c r="L21" s="2" t="s">
        <v>34</v>
      </c>
      <c r="M21" s="7" t="s">
        <v>35</v>
      </c>
      <c r="N21" s="10" t="s">
        <v>36</v>
      </c>
      <c r="O21" s="2" t="s">
        <v>27</v>
      </c>
    </row>
    <row r="22" spans="1:15" s="23" customFormat="1" x14ac:dyDescent="0.3">
      <c r="A22" s="19" t="s">
        <v>120</v>
      </c>
      <c r="B22" s="20" t="s">
        <v>29</v>
      </c>
      <c r="C22" s="20" t="s">
        <v>30</v>
      </c>
      <c r="D22" s="20" t="s">
        <v>2</v>
      </c>
      <c r="E22" s="20" t="s">
        <v>3</v>
      </c>
      <c r="F22" s="21" t="s">
        <v>4</v>
      </c>
      <c r="G22" s="21" t="s">
        <v>4</v>
      </c>
      <c r="H22" s="21" t="s">
        <v>4</v>
      </c>
      <c r="I22" s="20" t="s">
        <v>5</v>
      </c>
      <c r="J22" s="20" t="s">
        <v>6</v>
      </c>
      <c r="K22" s="20" t="s">
        <v>6</v>
      </c>
      <c r="L22" s="20" t="s">
        <v>34</v>
      </c>
      <c r="M22" s="21" t="s">
        <v>7</v>
      </c>
      <c r="N22" s="22" t="s">
        <v>121</v>
      </c>
      <c r="O22" s="20" t="s">
        <v>27</v>
      </c>
    </row>
    <row r="23" spans="1:15" s="23" customFormat="1" x14ac:dyDescent="0.3">
      <c r="A23" s="19" t="s">
        <v>131</v>
      </c>
      <c r="B23" s="20" t="s">
        <v>29</v>
      </c>
      <c r="C23" s="20" t="s">
        <v>132</v>
      </c>
      <c r="D23" s="20" t="s">
        <v>2</v>
      </c>
      <c r="E23" s="20" t="s">
        <v>3</v>
      </c>
      <c r="F23" s="21" t="s">
        <v>4</v>
      </c>
      <c r="G23" s="21" t="s">
        <v>4</v>
      </c>
      <c r="H23" s="21" t="s">
        <v>4</v>
      </c>
      <c r="I23" s="20" t="s">
        <v>5</v>
      </c>
      <c r="J23" s="20" t="s">
        <v>14</v>
      </c>
      <c r="K23" s="20" t="s">
        <v>133</v>
      </c>
      <c r="L23" s="20" t="s">
        <v>34</v>
      </c>
      <c r="M23" s="21" t="s">
        <v>7</v>
      </c>
      <c r="N23" s="22" t="s">
        <v>134</v>
      </c>
      <c r="O23" s="20" t="s">
        <v>27</v>
      </c>
    </row>
    <row r="24" spans="1:15" s="23" customFormat="1" ht="28" x14ac:dyDescent="0.3">
      <c r="A24" s="19" t="s">
        <v>135</v>
      </c>
      <c r="B24" s="20" t="s">
        <v>29</v>
      </c>
      <c r="C24" s="20" t="s">
        <v>14</v>
      </c>
      <c r="D24" s="20" t="s">
        <v>2</v>
      </c>
      <c r="E24" s="20" t="s">
        <v>3</v>
      </c>
      <c r="F24" s="21" t="s">
        <v>4</v>
      </c>
      <c r="G24" s="21" t="s">
        <v>4</v>
      </c>
      <c r="H24" s="21" t="s">
        <v>4</v>
      </c>
      <c r="I24" s="20" t="s">
        <v>24</v>
      </c>
      <c r="J24" s="20" t="s">
        <v>14</v>
      </c>
      <c r="K24" s="20" t="s">
        <v>136</v>
      </c>
      <c r="L24" s="20" t="s">
        <v>34</v>
      </c>
      <c r="M24" s="21" t="s">
        <v>4</v>
      </c>
      <c r="N24" s="22" t="s">
        <v>137</v>
      </c>
      <c r="O24" s="20" t="s">
        <v>27</v>
      </c>
    </row>
    <row r="25" spans="1:15" s="23" customFormat="1" ht="70.5" x14ac:dyDescent="0.3">
      <c r="A25" t="s">
        <v>147</v>
      </c>
      <c r="B25" s="25" t="s">
        <v>29</v>
      </c>
      <c r="C25" s="26" t="s">
        <v>149</v>
      </c>
      <c r="D25" s="27" t="s">
        <v>2</v>
      </c>
      <c r="E25" s="27" t="s">
        <v>3</v>
      </c>
      <c r="F25" s="28" t="s">
        <v>4</v>
      </c>
      <c r="G25" s="28" t="s">
        <v>4</v>
      </c>
      <c r="H25" s="28" t="s">
        <v>4</v>
      </c>
      <c r="I25" s="29" t="s">
        <v>24</v>
      </c>
      <c r="J25" s="30" t="s">
        <v>150</v>
      </c>
      <c r="K25" s="30" t="s">
        <v>136</v>
      </c>
      <c r="L25" s="31" t="s">
        <v>34</v>
      </c>
      <c r="M25" s="28" t="s">
        <v>4</v>
      </c>
      <c r="N25" s="32" t="s">
        <v>148</v>
      </c>
      <c r="O25" s="25" t="s">
        <v>27</v>
      </c>
    </row>
    <row r="26" spans="1:15" s="23" customFormat="1" ht="28" x14ac:dyDescent="0.3">
      <c r="A26" s="19" t="s">
        <v>138</v>
      </c>
      <c r="B26" s="20" t="s">
        <v>29</v>
      </c>
      <c r="C26" s="20" t="s">
        <v>33</v>
      </c>
      <c r="D26" s="20" t="s">
        <v>2</v>
      </c>
      <c r="E26" s="20" t="s">
        <v>3</v>
      </c>
      <c r="F26" s="21" t="s">
        <v>4</v>
      </c>
      <c r="G26" s="21" t="s">
        <v>4</v>
      </c>
      <c r="H26" s="21" t="s">
        <v>4</v>
      </c>
      <c r="I26" s="20" t="s">
        <v>125</v>
      </c>
      <c r="J26" s="20" t="s">
        <v>14</v>
      </c>
      <c r="K26" s="20" t="s">
        <v>139</v>
      </c>
      <c r="L26" s="20" t="s">
        <v>34</v>
      </c>
      <c r="M26" s="21" t="s">
        <v>140</v>
      </c>
      <c r="N26" s="22" t="s">
        <v>141</v>
      </c>
      <c r="O26" s="20" t="s">
        <v>27</v>
      </c>
    </row>
    <row r="27" spans="1:15" s="23" customFormat="1" x14ac:dyDescent="0.3">
      <c r="A27" s="19" t="s">
        <v>124</v>
      </c>
      <c r="B27" s="20" t="s">
        <v>29</v>
      </c>
      <c r="C27" s="20" t="s">
        <v>151</v>
      </c>
      <c r="D27" s="20" t="s">
        <v>2</v>
      </c>
      <c r="E27" s="20" t="s">
        <v>3</v>
      </c>
      <c r="F27" s="21" t="s">
        <v>4</v>
      </c>
      <c r="G27" s="21" t="s">
        <v>4</v>
      </c>
      <c r="H27" s="21" t="s">
        <v>4</v>
      </c>
      <c r="I27" s="20" t="s">
        <v>125</v>
      </c>
      <c r="J27" s="20" t="s">
        <v>32</v>
      </c>
      <c r="K27" s="20" t="s">
        <v>126</v>
      </c>
      <c r="L27" s="20" t="s">
        <v>34</v>
      </c>
      <c r="M27" s="21" t="s">
        <v>127</v>
      </c>
      <c r="N27" s="22" t="s">
        <v>128</v>
      </c>
      <c r="O27" s="20" t="s">
        <v>27</v>
      </c>
    </row>
    <row r="28" spans="1:15" s="23" customFormat="1" x14ac:dyDescent="0.3">
      <c r="A28" s="19" t="s">
        <v>161</v>
      </c>
      <c r="B28" s="20" t="s">
        <v>29</v>
      </c>
      <c r="C28" s="20" t="s">
        <v>162</v>
      </c>
      <c r="D28" s="20" t="s">
        <v>2</v>
      </c>
      <c r="E28" s="20" t="s">
        <v>3</v>
      </c>
      <c r="F28" s="21" t="s">
        <v>4</v>
      </c>
      <c r="G28" s="21" t="s">
        <v>4</v>
      </c>
      <c r="H28" s="21" t="s">
        <v>4</v>
      </c>
      <c r="I28" s="20" t="s">
        <v>5</v>
      </c>
      <c r="J28" s="20" t="s">
        <v>14</v>
      </c>
      <c r="K28" s="20" t="s">
        <v>163</v>
      </c>
      <c r="L28" s="20" t="s">
        <v>34</v>
      </c>
      <c r="M28" s="21" t="s">
        <v>7</v>
      </c>
      <c r="N28" s="22" t="s">
        <v>164</v>
      </c>
      <c r="O28" s="20" t="s">
        <v>27</v>
      </c>
    </row>
    <row r="29" spans="1:15" s="17" customFormat="1" ht="33" x14ac:dyDescent="0.45">
      <c r="A29" s="15" t="s">
        <v>142</v>
      </c>
      <c r="B29" s="8" t="s">
        <v>29</v>
      </c>
      <c r="C29" s="24" t="e">
        <f ca="1">"[" &amp; GetParamValue("RACK_AFE_NUMBER")/GetParamValue("MODULE_AFE_NUMBER") &amp; "]"</f>
        <v>#NAME?</v>
      </c>
      <c r="D29" s="8" t="s">
        <v>2</v>
      </c>
      <c r="E29" s="8" t="s">
        <v>3</v>
      </c>
      <c r="F29" s="8" t="s">
        <v>88</v>
      </c>
      <c r="G29" s="8" t="s">
        <v>88</v>
      </c>
      <c r="H29" s="8" t="s">
        <v>88</v>
      </c>
      <c r="I29" s="8" t="s">
        <v>102</v>
      </c>
      <c r="J29" s="8" t="s">
        <v>66</v>
      </c>
      <c r="K29" s="8" t="s">
        <v>103</v>
      </c>
      <c r="L29" s="8" t="s">
        <v>91</v>
      </c>
      <c r="M29" s="8" t="s">
        <v>7</v>
      </c>
      <c r="N29" s="9" t="s">
        <v>104</v>
      </c>
      <c r="O29" s="8" t="s">
        <v>105</v>
      </c>
    </row>
    <row r="30" spans="1:15" ht="42" x14ac:dyDescent="0.3">
      <c r="A30" s="3" t="s">
        <v>143</v>
      </c>
      <c r="B30" s="2" t="s">
        <v>29</v>
      </c>
      <c r="C30" s="24" t="e">
        <f ca="1">"[" &amp; GetParamValue("RACK_AFE_NUMBER")*GetParamValue("AFE_CELL_VOLTAGE_SAMPLING_NUMBER") &amp; "]"</f>
        <v>#NAME?</v>
      </c>
      <c r="D30" s="2" t="s">
        <v>106</v>
      </c>
      <c r="E30" s="2" t="s">
        <v>107</v>
      </c>
      <c r="F30" s="2" t="s">
        <v>108</v>
      </c>
      <c r="G30" s="2" t="s">
        <v>108</v>
      </c>
      <c r="H30" s="2" t="s">
        <v>108</v>
      </c>
      <c r="I30" s="2" t="s">
        <v>109</v>
      </c>
      <c r="J30" s="2" t="s">
        <v>6</v>
      </c>
      <c r="K30" s="2" t="s">
        <v>6</v>
      </c>
      <c r="L30" s="2" t="s">
        <v>91</v>
      </c>
      <c r="M30" s="2" t="s">
        <v>110</v>
      </c>
      <c r="N30" s="3" t="s">
        <v>16</v>
      </c>
      <c r="O30" s="2" t="s">
        <v>345</v>
      </c>
    </row>
    <row r="31" spans="1:15" s="17" customFormat="1" ht="49.5" x14ac:dyDescent="0.45">
      <c r="A31" s="9" t="s">
        <v>144</v>
      </c>
      <c r="B31" s="8" t="s">
        <v>29</v>
      </c>
      <c r="C31" s="24" t="e">
        <f ca="1">"[" &amp; GetParamValue("RACK_MODULE_NUMBER")*GetParamValue("MODULE_CELL_TEMPERATURE_SENSOR_NUMBER") &amp; "]"</f>
        <v>#NAME?</v>
      </c>
      <c r="D31" s="8" t="s">
        <v>2</v>
      </c>
      <c r="E31" s="8" t="s">
        <v>3</v>
      </c>
      <c r="F31" s="8" t="s">
        <v>88</v>
      </c>
      <c r="G31" s="8" t="s">
        <v>88</v>
      </c>
      <c r="H31" s="8" t="s">
        <v>88</v>
      </c>
      <c r="I31" s="8" t="s">
        <v>81</v>
      </c>
      <c r="J31" s="8" t="s">
        <v>66</v>
      </c>
      <c r="K31" s="8" t="s">
        <v>111</v>
      </c>
      <c r="L31" s="8" t="s">
        <v>91</v>
      </c>
      <c r="M31" s="8" t="s">
        <v>7</v>
      </c>
      <c r="N31" s="9" t="s">
        <v>112</v>
      </c>
      <c r="O31" s="8" t="s">
        <v>113</v>
      </c>
    </row>
    <row r="32" spans="1:15" ht="28" x14ac:dyDescent="0.3">
      <c r="A32" s="3" t="s">
        <v>145</v>
      </c>
      <c r="B32" s="2" t="s">
        <v>29</v>
      </c>
      <c r="C32" s="24" t="e">
        <f ca="1">"[" &amp; GetParamValue("CELL_RATE_CAPACITY") * GetParamValue("CELL_RATE_VOLTAGE") / 1000 / 1000  &amp; "]"</f>
        <v>#NAME?</v>
      </c>
      <c r="D32" s="2" t="s">
        <v>2</v>
      </c>
      <c r="E32" s="2" t="s">
        <v>3</v>
      </c>
      <c r="F32" s="2" t="s">
        <v>20</v>
      </c>
      <c r="G32" s="2" t="s">
        <v>88</v>
      </c>
      <c r="H32" s="2" t="s">
        <v>88</v>
      </c>
      <c r="I32" s="2" t="s">
        <v>114</v>
      </c>
      <c r="J32" s="2" t="s">
        <v>21</v>
      </c>
      <c r="K32" s="2" t="s">
        <v>115</v>
      </c>
      <c r="L32" s="2" t="s">
        <v>91</v>
      </c>
      <c r="M32" s="2" t="s">
        <v>116</v>
      </c>
      <c r="N32" s="3" t="s">
        <v>117</v>
      </c>
      <c r="O32" s="2" t="s">
        <v>129</v>
      </c>
    </row>
    <row r="33" spans="1:15" ht="84" x14ac:dyDescent="0.3">
      <c r="A33" s="3" t="s">
        <v>146</v>
      </c>
      <c r="B33" s="2" t="s">
        <v>29</v>
      </c>
      <c r="C33" s="24" t="e">
        <f ca="1">"[" &amp; GetParamValue("CELL_RATE_ENERGY") * GetParamValue("CELL_PARALLEL_NUMBER_PER_RACK_BMS") * GetParamValue("CELL_PARALLEL_NUMBER_INTERNAL_MODULE") * GetParamValue("TOTAL_SERIES_CELL_NUMBER_PER_RACK_BMS") &amp; "]"</f>
        <v>#NAME?</v>
      </c>
      <c r="D33" s="2" t="s">
        <v>2</v>
      </c>
      <c r="E33" s="2" t="s">
        <v>3</v>
      </c>
      <c r="F33" s="7" t="s">
        <v>4</v>
      </c>
      <c r="G33" s="7" t="s">
        <v>4</v>
      </c>
      <c r="H33" s="7" t="s">
        <v>4</v>
      </c>
      <c r="I33" s="2" t="s">
        <v>118</v>
      </c>
      <c r="J33" s="2" t="s">
        <v>6</v>
      </c>
      <c r="K33" s="2" t="s">
        <v>6</v>
      </c>
      <c r="L33" s="2" t="s">
        <v>91</v>
      </c>
      <c r="M33" s="2" t="s">
        <v>12</v>
      </c>
      <c r="N33" s="3" t="s">
        <v>13</v>
      </c>
      <c r="O33" s="2" t="s">
        <v>119</v>
      </c>
    </row>
    <row r="34" spans="1:15" x14ac:dyDescent="0.3">
      <c r="A34" s="18" t="s">
        <v>165</v>
      </c>
      <c r="B34" s="18" t="s">
        <v>29</v>
      </c>
      <c r="C34" s="38" t="e">
        <f ca="1">"[" &amp; GetParamValue("RACK_AFE_NUMBER_MAX")/GetParamValue("MODULE_AFE_NUMBER") &amp; "]"</f>
        <v>#NAME?</v>
      </c>
      <c r="D34" s="18" t="s">
        <v>2</v>
      </c>
      <c r="E34" s="18" t="s">
        <v>3</v>
      </c>
      <c r="F34" s="18" t="s">
        <v>4</v>
      </c>
      <c r="G34" s="18" t="s">
        <v>4</v>
      </c>
      <c r="H34" s="18" t="s">
        <v>4</v>
      </c>
      <c r="I34" s="18" t="s">
        <v>5</v>
      </c>
      <c r="J34" s="18" t="s">
        <v>14</v>
      </c>
      <c r="K34" s="18" t="s">
        <v>133</v>
      </c>
      <c r="L34" s="18" t="s">
        <v>34</v>
      </c>
      <c r="M34" s="18" t="s">
        <v>7</v>
      </c>
      <c r="N34" s="18" t="s">
        <v>166</v>
      </c>
      <c r="O34" s="18" t="s">
        <v>167</v>
      </c>
    </row>
    <row r="35" spans="1:15" x14ac:dyDescent="0.3">
      <c r="A35" s="18" t="s">
        <v>122</v>
      </c>
      <c r="B35" s="18" t="s">
        <v>29</v>
      </c>
      <c r="C35" s="38" t="e">
        <f ca="1">"[" &amp; GetParamValue("RACK_AFE_NUMBER_MAX") *GetParamValue("AFE_TEMPERATURE_SENSOR_MUX_NUMBER") &amp; "]"</f>
        <v>#NAME?</v>
      </c>
      <c r="D35" s="18" t="s">
        <v>2</v>
      </c>
      <c r="E35" s="18" t="s">
        <v>3</v>
      </c>
      <c r="F35" s="18" t="s">
        <v>4</v>
      </c>
      <c r="G35" s="18" t="s">
        <v>4</v>
      </c>
      <c r="H35" s="18" t="s">
        <v>4</v>
      </c>
      <c r="I35" s="18" t="s">
        <v>5</v>
      </c>
      <c r="J35" s="18" t="s">
        <v>6</v>
      </c>
      <c r="K35" s="18" t="s">
        <v>6</v>
      </c>
      <c r="L35" s="18" t="s">
        <v>34</v>
      </c>
      <c r="M35" s="18" t="s">
        <v>7</v>
      </c>
      <c r="N35" s="18" t="s">
        <v>123</v>
      </c>
      <c r="O35" s="18" t="s">
        <v>130</v>
      </c>
    </row>
    <row r="36" spans="1:15" x14ac:dyDescent="0.3">
      <c r="A36" s="18" t="s">
        <v>630</v>
      </c>
      <c r="B36" s="18" t="s">
        <v>29</v>
      </c>
      <c r="C36" s="38" t="e">
        <f ca="1">"[" &amp; TextJoinArrayCompat(" ", TRUE, AppendArray(SheetColumnContainsArray("FaultList","EnableFault", "0"), 1,GetParamValue("FAULT_NUMBER_RESERVED"))) &amp; "]"</f>
        <v>#NAME?</v>
      </c>
      <c r="D36" s="18" t="s">
        <v>2</v>
      </c>
      <c r="E36" s="18" t="s">
        <v>346</v>
      </c>
      <c r="I36" s="18" t="s">
        <v>626</v>
      </c>
      <c r="J36" s="18" t="s">
        <v>32</v>
      </c>
      <c r="K36" s="18" t="s">
        <v>14</v>
      </c>
      <c r="L36" s="18" t="s">
        <v>658</v>
      </c>
      <c r="M36" s="18" t="s">
        <v>628</v>
      </c>
      <c r="N36" s="18" t="s">
        <v>627</v>
      </c>
      <c r="O36" s="18" t="s">
        <v>629</v>
      </c>
    </row>
    <row r="37" spans="1:15" x14ac:dyDescent="0.3">
      <c r="A37" s="18" t="s">
        <v>633</v>
      </c>
      <c r="B37" s="18" t="s">
        <v>29</v>
      </c>
      <c r="C37" s="38" t="e">
        <f ca="1">"[" &amp; TextJoinArrayCompat(" ", TRUE, AppendArray(SheetColumnContainsArray("FaultList","EnableFault", "0"), 1,GetParamValue("FAULT_NUMBER_RESERVED"))) &amp; "]"</f>
        <v>#NAME?</v>
      </c>
      <c r="D37" s="18" t="s">
        <v>2</v>
      </c>
      <c r="E37" s="18" t="s">
        <v>631</v>
      </c>
      <c r="I37" s="18" t="s">
        <v>626</v>
      </c>
      <c r="J37" s="18" t="s">
        <v>32</v>
      </c>
      <c r="K37" s="18" t="s">
        <v>14</v>
      </c>
      <c r="L37" s="18" t="s">
        <v>658</v>
      </c>
      <c r="M37" s="18" t="s">
        <v>628</v>
      </c>
      <c r="N37" s="18" t="s">
        <v>632</v>
      </c>
      <c r="O37" s="18" t="s">
        <v>629</v>
      </c>
    </row>
    <row r="38" spans="1:15" x14ac:dyDescent="0.3">
      <c r="A38" s="18" t="s">
        <v>636</v>
      </c>
      <c r="B38" s="18" t="s">
        <v>29</v>
      </c>
      <c r="C38" s="38" t="e">
        <f ca="1">"[" &amp; TextJoinArrayCompat(" ", TRUE, AppendArray(SheetColumnContainsArray("FaultList","FaultDeassertCriteria", "下电"), 0,GetParamValue("FAULT_NUMBER_RESERVED"))) &amp; "]"</f>
        <v>#NAME?</v>
      </c>
      <c r="D38" s="18" t="s">
        <v>2</v>
      </c>
      <c r="E38" s="18" t="s">
        <v>346</v>
      </c>
      <c r="I38" s="18" t="s">
        <v>626</v>
      </c>
      <c r="J38" s="18" t="s">
        <v>32</v>
      </c>
      <c r="K38" s="18" t="s">
        <v>14</v>
      </c>
      <c r="L38" s="18" t="s">
        <v>658</v>
      </c>
      <c r="M38" s="18" t="s">
        <v>628</v>
      </c>
      <c r="N38" s="18" t="s">
        <v>634</v>
      </c>
      <c r="O38" s="18" t="s">
        <v>635</v>
      </c>
    </row>
    <row r="39" spans="1:15" x14ac:dyDescent="0.3">
      <c r="A39" s="18" t="s">
        <v>638</v>
      </c>
      <c r="B39" s="18" t="s">
        <v>29</v>
      </c>
      <c r="C39" s="38" t="e">
        <f ca="1">"[" &amp; TextJoinArrayCompat(" ", TRUE, AppendArray(SheetColumnContainsArray("FaultList","FaultDeassertCriteria", "下电"), 0,GetParamValue("FAULT_NUMBER_RESERVED"))) &amp; "]"</f>
        <v>#NAME?</v>
      </c>
      <c r="D39" s="18" t="s">
        <v>2</v>
      </c>
      <c r="E39" s="18" t="s">
        <v>631</v>
      </c>
      <c r="I39" s="18" t="s">
        <v>626</v>
      </c>
      <c r="J39" s="18" t="s">
        <v>32</v>
      </c>
      <c r="K39" s="18" t="s">
        <v>14</v>
      </c>
      <c r="L39" s="18" t="s">
        <v>659</v>
      </c>
      <c r="M39" s="18" t="s">
        <v>628</v>
      </c>
      <c r="N39" s="18" t="s">
        <v>637</v>
      </c>
      <c r="O39" s="18" t="s">
        <v>635</v>
      </c>
    </row>
    <row r="40" spans="1:15" x14ac:dyDescent="0.3">
      <c r="A40" s="18" t="s">
        <v>643</v>
      </c>
      <c r="B40" s="18" t="s">
        <v>29</v>
      </c>
      <c r="C40" s="38" t="e">
        <f ca="1">"[" &amp; TextJoinArrayCompat(" ", TRUE,GetColumnArray("FaultList","ChargeSOPCoef(%)")) &amp; "]"</f>
        <v>#NAME?</v>
      </c>
      <c r="D40" s="18" t="s">
        <v>2</v>
      </c>
      <c r="E40" s="18" t="s">
        <v>346</v>
      </c>
      <c r="I40" s="18" t="s">
        <v>24</v>
      </c>
      <c r="J40" s="18" t="s">
        <v>32</v>
      </c>
      <c r="K40" s="18" t="s">
        <v>133</v>
      </c>
      <c r="L40" s="18" t="s">
        <v>640</v>
      </c>
      <c r="M40" s="18" t="s">
        <v>641</v>
      </c>
      <c r="N40" s="18" t="s">
        <v>639</v>
      </c>
      <c r="O40" s="18" t="s">
        <v>642</v>
      </c>
    </row>
    <row r="41" spans="1:15" x14ac:dyDescent="0.3">
      <c r="A41" s="18" t="s">
        <v>646</v>
      </c>
      <c r="B41" s="18" t="s">
        <v>29</v>
      </c>
      <c r="C41" s="38" t="e">
        <f ca="1">"[" &amp; TextJoinArrayCompat(" ",TRUE, GetColumnArray("FaultList","DischargeSOPCoef(%)")) &amp; "]"</f>
        <v>#NAME?</v>
      </c>
      <c r="D41" s="18" t="s">
        <v>2</v>
      </c>
      <c r="E41" s="18" t="s">
        <v>346</v>
      </c>
      <c r="I41" s="18" t="s">
        <v>24</v>
      </c>
      <c r="J41" s="18" t="s">
        <v>32</v>
      </c>
      <c r="K41" s="18" t="s">
        <v>133</v>
      </c>
      <c r="L41" s="18" t="s">
        <v>640</v>
      </c>
      <c r="M41" s="18" t="s">
        <v>641</v>
      </c>
      <c r="N41" s="18" t="s">
        <v>644</v>
      </c>
      <c r="O41" s="18" t="s">
        <v>645</v>
      </c>
    </row>
    <row r="42" spans="1:15" x14ac:dyDescent="0.3">
      <c r="A42" s="18" t="s">
        <v>649</v>
      </c>
      <c r="B42" s="18" t="s">
        <v>29</v>
      </c>
      <c r="C42" s="38" t="e">
        <f ca="1">"[" &amp; TextJoinArrayCompat(" ", TRUE,GetColumnArray("FaultList","FaultLevel")) &amp; "]"</f>
        <v>#NAME?</v>
      </c>
      <c r="D42" s="18" t="s">
        <v>2</v>
      </c>
      <c r="E42" s="18" t="s">
        <v>346</v>
      </c>
      <c r="I42" s="18" t="s">
        <v>24</v>
      </c>
      <c r="J42" s="18" t="s">
        <v>32</v>
      </c>
      <c r="K42" s="18" t="s">
        <v>133</v>
      </c>
      <c r="L42" s="18" t="s">
        <v>640</v>
      </c>
      <c r="M42" s="18" t="s">
        <v>628</v>
      </c>
      <c r="N42" s="18" t="s">
        <v>647</v>
      </c>
      <c r="O42" s="18" t="s">
        <v>648</v>
      </c>
    </row>
    <row r="43" spans="1:15" x14ac:dyDescent="0.3">
      <c r="A43" s="18" t="s">
        <v>652</v>
      </c>
      <c r="B43" s="18" t="s">
        <v>29</v>
      </c>
      <c r="C43" s="38" t="e">
        <f ca="1">"[" &amp; COLUMNS(GetColumnArray("FaultList","FaultLevel") )&amp; "]"</f>
        <v>#NAME?</v>
      </c>
      <c r="D43" s="18" t="s">
        <v>2</v>
      </c>
      <c r="E43" s="18" t="s">
        <v>3</v>
      </c>
      <c r="I43" s="18" t="s">
        <v>5</v>
      </c>
      <c r="J43" s="18" t="s">
        <v>32</v>
      </c>
      <c r="K43" s="18" t="s">
        <v>25</v>
      </c>
      <c r="L43" s="18" t="s">
        <v>34</v>
      </c>
      <c r="M43" s="18" t="s">
        <v>7</v>
      </c>
      <c r="N43" s="18" t="s">
        <v>650</v>
      </c>
      <c r="O43" s="18" t="s">
        <v>651</v>
      </c>
    </row>
    <row r="44" spans="1:15" x14ac:dyDescent="0.3">
      <c r="A44" s="18" t="s">
        <v>655</v>
      </c>
      <c r="B44" s="18" t="s">
        <v>29</v>
      </c>
      <c r="C44" s="38" t="e">
        <f ca="1">"[" &amp; GetParamValue("FAULT_TOTAL_NUMBER") - GetParamValue("FAULT_NUMBER_USED") &amp; "]"</f>
        <v>#NAME?</v>
      </c>
      <c r="D44" s="18" t="s">
        <v>2</v>
      </c>
      <c r="E44" s="18" t="s">
        <v>3</v>
      </c>
      <c r="I44" s="18" t="s">
        <v>5</v>
      </c>
      <c r="J44" s="18" t="s">
        <v>32</v>
      </c>
      <c r="K44" s="18" t="s">
        <v>25</v>
      </c>
      <c r="L44" s="18" t="s">
        <v>34</v>
      </c>
      <c r="M44" s="18" t="s">
        <v>7</v>
      </c>
      <c r="N44" s="18" t="s">
        <v>653</v>
      </c>
      <c r="O44" s="18" t="s">
        <v>654</v>
      </c>
    </row>
    <row r="45" spans="1:15" x14ac:dyDescent="0.3">
      <c r="A45" s="18" t="s">
        <v>677</v>
      </c>
      <c r="B45" s="18" t="s">
        <v>29</v>
      </c>
      <c r="C45" s="38" t="e">
        <f ca="1">"[" &amp; GetParamValue("RACK_NUMBER_FOR_EVERY_BANK")/GetParamValue("TMS_NUM") &amp; "]"</f>
        <v>#NAME?</v>
      </c>
      <c r="D45" s="18" t="s">
        <v>2</v>
      </c>
      <c r="E45" s="18" t="s">
        <v>3</v>
      </c>
      <c r="F45" s="18" t="s">
        <v>4</v>
      </c>
      <c r="G45" s="18" t="s">
        <v>4</v>
      </c>
      <c r="H45" s="18" t="s">
        <v>4</v>
      </c>
      <c r="I45" s="18" t="s">
        <v>5</v>
      </c>
      <c r="J45" s="18" t="s">
        <v>32</v>
      </c>
      <c r="K45" s="18" t="s">
        <v>25</v>
      </c>
      <c r="L45" s="18" t="s">
        <v>34</v>
      </c>
      <c r="M45" s="18" t="s">
        <v>7</v>
      </c>
      <c r="N45" s="18" t="s">
        <v>675</v>
      </c>
      <c r="O45" s="18" t="s">
        <v>676</v>
      </c>
    </row>
    <row r="46" spans="1:15" ht="56" x14ac:dyDescent="0.3">
      <c r="A46" s="18" t="s">
        <v>711</v>
      </c>
      <c r="B46" s="18" t="s">
        <v>29</v>
      </c>
      <c r="C46" s="38" t="e">
        <f ca="1">"[" &amp; IF(GetParamValue("PCS_NUM")=1,1,GetParamValue("PCS_NUM")+1) &amp; "]"</f>
        <v>#NAME?</v>
      </c>
      <c r="D46" s="18" t="s">
        <v>2</v>
      </c>
      <c r="E46" s="18" t="s">
        <v>3</v>
      </c>
      <c r="F46" s="18" t="s">
        <v>4</v>
      </c>
      <c r="G46" s="18" t="s">
        <v>4</v>
      </c>
      <c r="H46" s="18" t="s">
        <v>4</v>
      </c>
      <c r="I46" s="18" t="s">
        <v>5</v>
      </c>
      <c r="J46" s="18" t="s">
        <v>32</v>
      </c>
      <c r="K46" s="18" t="s">
        <v>25</v>
      </c>
      <c r="L46" s="18" t="s">
        <v>34</v>
      </c>
      <c r="M46" s="18" t="s">
        <v>7</v>
      </c>
      <c r="N46" s="39" t="s">
        <v>707</v>
      </c>
      <c r="O46" s="39" t="s">
        <v>708</v>
      </c>
    </row>
  </sheetData>
  <protectedRanges>
    <protectedRange sqref="C17" name="可修改"/>
  </protectedRange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50"/>
  <sheetViews>
    <sheetView showGridLines="0"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3" sqref="B13"/>
    </sheetView>
  </sheetViews>
  <sheetFormatPr defaultColWidth="9" defaultRowHeight="14" x14ac:dyDescent="0.3"/>
  <cols>
    <col min="1" max="1" width="12" customWidth="1"/>
    <col min="2" max="2" width="156.5" customWidth="1"/>
    <col min="3" max="3" width="61.25" customWidth="1"/>
    <col min="4" max="4" width="72.58203125" customWidth="1"/>
    <col min="5" max="5" width="108" customWidth="1"/>
    <col min="6" max="6" width="52.83203125" style="4" customWidth="1"/>
    <col min="7" max="7" width="55.83203125" customWidth="1"/>
    <col min="8" max="8" width="50.75" customWidth="1"/>
    <col min="9" max="9" width="10.83203125" customWidth="1"/>
    <col min="10" max="10" width="7.08203125" style="5" customWidth="1"/>
    <col min="11" max="11" width="9.33203125" style="5" customWidth="1"/>
    <col min="12" max="12" width="16.83203125" customWidth="1"/>
    <col min="13" max="13" width="29.08203125" customWidth="1"/>
    <col min="14" max="14" width="19.08203125" customWidth="1"/>
  </cols>
  <sheetData>
    <row r="1" spans="1:14" x14ac:dyDescent="0.3">
      <c r="A1" t="s">
        <v>370</v>
      </c>
      <c r="B1" t="s">
        <v>371</v>
      </c>
      <c r="C1" t="s">
        <v>372</v>
      </c>
      <c r="D1" t="s">
        <v>373</v>
      </c>
      <c r="E1" t="s">
        <v>374</v>
      </c>
      <c r="F1" s="4" t="s">
        <v>375</v>
      </c>
      <c r="G1" t="s">
        <v>376</v>
      </c>
      <c r="H1" t="s">
        <v>377</v>
      </c>
      <c r="I1" t="s">
        <v>378</v>
      </c>
      <c r="J1" s="5" t="s">
        <v>379</v>
      </c>
      <c r="K1" s="5" t="s">
        <v>380</v>
      </c>
      <c r="L1" t="s">
        <v>381</v>
      </c>
      <c r="M1" t="s">
        <v>382</v>
      </c>
      <c r="N1" t="s">
        <v>383</v>
      </c>
    </row>
    <row r="2" spans="1:14" x14ac:dyDescent="0.3">
      <c r="A2" t="s">
        <v>384</v>
      </c>
      <c r="B2" t="s">
        <v>385</v>
      </c>
      <c r="C2" t="s">
        <v>386</v>
      </c>
      <c r="D2" t="s">
        <v>666</v>
      </c>
      <c r="E2" t="s">
        <v>668</v>
      </c>
      <c r="F2" s="4" t="s">
        <v>387</v>
      </c>
      <c r="G2" t="s">
        <v>388</v>
      </c>
      <c r="H2" t="s">
        <v>55</v>
      </c>
      <c r="I2">
        <v>1</v>
      </c>
      <c r="J2" s="5">
        <v>0</v>
      </c>
      <c r="K2" s="5">
        <v>1</v>
      </c>
      <c r="L2">
        <v>0</v>
      </c>
      <c r="N2">
        <v>0</v>
      </c>
    </row>
    <row r="3" spans="1:14" x14ac:dyDescent="0.3">
      <c r="A3" t="s">
        <v>384</v>
      </c>
      <c r="B3" t="s">
        <v>389</v>
      </c>
      <c r="C3" t="s">
        <v>390</v>
      </c>
      <c r="D3" t="s">
        <v>666</v>
      </c>
      <c r="E3" t="s">
        <v>667</v>
      </c>
      <c r="F3" s="4" t="s">
        <v>387</v>
      </c>
      <c r="G3" t="s">
        <v>388</v>
      </c>
      <c r="H3" t="s">
        <v>55</v>
      </c>
      <c r="I3">
        <v>1</v>
      </c>
      <c r="J3" s="5">
        <v>1</v>
      </c>
      <c r="K3" s="5">
        <v>1</v>
      </c>
      <c r="L3">
        <v>0</v>
      </c>
      <c r="N3">
        <v>0</v>
      </c>
    </row>
    <row r="4" spans="1:14" x14ac:dyDescent="0.3">
      <c r="A4" t="s">
        <v>391</v>
      </c>
      <c r="B4" t="s">
        <v>392</v>
      </c>
      <c r="C4" t="s">
        <v>393</v>
      </c>
      <c r="D4" t="s">
        <v>394</v>
      </c>
      <c r="E4" t="s">
        <v>395</v>
      </c>
      <c r="F4" s="4" t="s">
        <v>396</v>
      </c>
      <c r="G4" t="s">
        <v>397</v>
      </c>
      <c r="H4" t="s">
        <v>398</v>
      </c>
      <c r="I4">
        <v>1</v>
      </c>
      <c r="J4" s="5">
        <v>2</v>
      </c>
      <c r="K4" s="5">
        <v>2</v>
      </c>
      <c r="L4">
        <v>50</v>
      </c>
      <c r="N4">
        <v>50</v>
      </c>
    </row>
    <row r="5" spans="1:14" x14ac:dyDescent="0.3">
      <c r="A5" t="s">
        <v>391</v>
      </c>
      <c r="B5" t="s">
        <v>399</v>
      </c>
      <c r="C5" t="s">
        <v>400</v>
      </c>
      <c r="D5" t="s">
        <v>401</v>
      </c>
      <c r="E5" t="s">
        <v>402</v>
      </c>
      <c r="F5" s="4" t="s">
        <v>403</v>
      </c>
      <c r="G5" t="s">
        <v>388</v>
      </c>
      <c r="H5" t="s">
        <v>55</v>
      </c>
      <c r="I5">
        <v>0</v>
      </c>
      <c r="J5" s="5">
        <v>3</v>
      </c>
      <c r="K5" s="5">
        <v>1</v>
      </c>
      <c r="L5">
        <v>0</v>
      </c>
      <c r="N5">
        <v>0</v>
      </c>
    </row>
    <row r="6" spans="1:14" x14ac:dyDescent="0.3">
      <c r="A6" t="s">
        <v>391</v>
      </c>
      <c r="B6" t="s">
        <v>404</v>
      </c>
      <c r="C6" t="s">
        <v>405</v>
      </c>
      <c r="D6" t="s">
        <v>401</v>
      </c>
      <c r="E6" t="s">
        <v>406</v>
      </c>
      <c r="F6" s="4" t="s">
        <v>403</v>
      </c>
      <c r="G6" t="s">
        <v>407</v>
      </c>
      <c r="H6" t="s">
        <v>408</v>
      </c>
      <c r="I6">
        <v>0</v>
      </c>
      <c r="J6" s="5">
        <v>4</v>
      </c>
      <c r="K6" s="5">
        <v>2</v>
      </c>
      <c r="L6">
        <v>50</v>
      </c>
      <c r="N6">
        <v>50</v>
      </c>
    </row>
    <row r="7" spans="1:14" x14ac:dyDescent="0.3">
      <c r="A7" t="s">
        <v>391</v>
      </c>
      <c r="B7" t="s">
        <v>409</v>
      </c>
      <c r="C7" t="s">
        <v>410</v>
      </c>
      <c r="D7" t="s">
        <v>401</v>
      </c>
      <c r="E7" t="s">
        <v>411</v>
      </c>
      <c r="F7" s="4" t="s">
        <v>403</v>
      </c>
      <c r="G7" t="s">
        <v>412</v>
      </c>
      <c r="H7" t="s">
        <v>408</v>
      </c>
      <c r="I7">
        <v>1</v>
      </c>
      <c r="J7" s="5">
        <v>5</v>
      </c>
      <c r="K7" s="5">
        <v>3</v>
      </c>
      <c r="L7">
        <v>100</v>
      </c>
      <c r="N7">
        <v>100</v>
      </c>
    </row>
    <row r="8" spans="1:14" x14ac:dyDescent="0.3">
      <c r="A8" t="s">
        <v>384</v>
      </c>
      <c r="B8" t="s">
        <v>413</v>
      </c>
      <c r="C8" t="s">
        <v>414</v>
      </c>
      <c r="D8" t="s">
        <v>415</v>
      </c>
      <c r="E8" t="s">
        <v>416</v>
      </c>
      <c r="F8" s="4" t="s">
        <v>417</v>
      </c>
      <c r="G8" t="s">
        <v>388</v>
      </c>
      <c r="H8" t="s">
        <v>55</v>
      </c>
      <c r="I8">
        <v>0</v>
      </c>
      <c r="J8" s="5">
        <v>6</v>
      </c>
      <c r="K8" s="5">
        <v>1</v>
      </c>
      <c r="L8">
        <v>0</v>
      </c>
      <c r="N8">
        <v>0</v>
      </c>
    </row>
    <row r="9" spans="1:14" x14ac:dyDescent="0.3">
      <c r="A9" t="s">
        <v>391</v>
      </c>
      <c r="B9" t="s">
        <v>418</v>
      </c>
      <c r="C9" t="s">
        <v>419</v>
      </c>
      <c r="D9" t="s">
        <v>415</v>
      </c>
      <c r="E9" t="s">
        <v>420</v>
      </c>
      <c r="F9" s="4" t="s">
        <v>421</v>
      </c>
      <c r="G9" t="s">
        <v>422</v>
      </c>
      <c r="H9" t="s">
        <v>423</v>
      </c>
      <c r="I9">
        <v>1</v>
      </c>
      <c r="J9" s="5">
        <v>7</v>
      </c>
      <c r="K9" s="5">
        <v>1</v>
      </c>
      <c r="L9">
        <v>0</v>
      </c>
      <c r="N9">
        <v>0</v>
      </c>
    </row>
    <row r="10" spans="1:14" x14ac:dyDescent="0.3">
      <c r="A10" t="s">
        <v>391</v>
      </c>
      <c r="B10" t="s">
        <v>424</v>
      </c>
      <c r="C10" t="s">
        <v>425</v>
      </c>
      <c r="D10" t="s">
        <v>415</v>
      </c>
      <c r="E10" t="s">
        <v>426</v>
      </c>
      <c r="F10" s="4" t="s">
        <v>427</v>
      </c>
      <c r="G10" t="s">
        <v>428</v>
      </c>
      <c r="H10" t="s">
        <v>429</v>
      </c>
      <c r="I10">
        <v>1</v>
      </c>
      <c r="J10" s="5">
        <v>8</v>
      </c>
      <c r="K10" s="5">
        <v>1</v>
      </c>
      <c r="L10">
        <v>0</v>
      </c>
      <c r="N10">
        <v>0</v>
      </c>
    </row>
    <row r="11" spans="1:14" x14ac:dyDescent="0.3">
      <c r="A11" t="s">
        <v>430</v>
      </c>
      <c r="B11" t="s">
        <v>431</v>
      </c>
      <c r="C11" t="s">
        <v>432</v>
      </c>
      <c r="D11" t="s">
        <v>415</v>
      </c>
      <c r="E11" t="s">
        <v>433</v>
      </c>
      <c r="F11" s="4" t="s">
        <v>434</v>
      </c>
      <c r="G11" t="s">
        <v>435</v>
      </c>
      <c r="H11" t="s">
        <v>436</v>
      </c>
      <c r="I11">
        <v>1</v>
      </c>
      <c r="J11" s="5">
        <v>9</v>
      </c>
      <c r="K11" s="5">
        <v>2</v>
      </c>
      <c r="L11">
        <v>50</v>
      </c>
      <c r="N11">
        <v>50</v>
      </c>
    </row>
    <row r="12" spans="1:14" x14ac:dyDescent="0.3">
      <c r="A12" t="s">
        <v>430</v>
      </c>
      <c r="B12" t="s">
        <v>437</v>
      </c>
      <c r="C12" t="s">
        <v>438</v>
      </c>
      <c r="D12" t="s">
        <v>415</v>
      </c>
      <c r="E12" t="s">
        <v>439</v>
      </c>
      <c r="F12" s="4" t="s">
        <v>440</v>
      </c>
      <c r="G12" t="s">
        <v>388</v>
      </c>
      <c r="H12" t="s">
        <v>55</v>
      </c>
      <c r="I12">
        <v>1</v>
      </c>
      <c r="J12" s="5">
        <v>10</v>
      </c>
      <c r="K12" s="5">
        <v>1</v>
      </c>
      <c r="L12">
        <v>0</v>
      </c>
      <c r="N12">
        <v>0</v>
      </c>
    </row>
    <row r="13" spans="1:14" x14ac:dyDescent="0.3">
      <c r="A13" t="s">
        <v>430</v>
      </c>
      <c r="B13" t="s">
        <v>441</v>
      </c>
      <c r="C13" t="s">
        <v>442</v>
      </c>
      <c r="D13" t="s">
        <v>415</v>
      </c>
      <c r="E13" t="s">
        <v>443</v>
      </c>
      <c r="F13" s="4" t="s">
        <v>440</v>
      </c>
      <c r="G13" t="s">
        <v>444</v>
      </c>
      <c r="H13" t="s">
        <v>445</v>
      </c>
      <c r="I13">
        <v>1</v>
      </c>
      <c r="J13" s="5">
        <v>11</v>
      </c>
      <c r="K13" s="5">
        <v>2</v>
      </c>
      <c r="L13">
        <v>50</v>
      </c>
      <c r="N13">
        <v>50</v>
      </c>
    </row>
    <row r="14" spans="1:14" x14ac:dyDescent="0.3">
      <c r="A14" t="s">
        <v>430</v>
      </c>
      <c r="B14" t="s">
        <v>446</v>
      </c>
      <c r="C14" t="s">
        <v>447</v>
      </c>
      <c r="D14" t="s">
        <v>680</v>
      </c>
      <c r="E14" t="s">
        <v>681</v>
      </c>
      <c r="F14" s="4" t="s">
        <v>448</v>
      </c>
      <c r="G14" t="s">
        <v>682</v>
      </c>
      <c r="H14" t="s">
        <v>449</v>
      </c>
      <c r="I14">
        <v>1</v>
      </c>
      <c r="J14" s="5">
        <v>12</v>
      </c>
      <c r="K14" s="5">
        <v>2</v>
      </c>
      <c r="L14">
        <v>50</v>
      </c>
      <c r="N14">
        <v>50</v>
      </c>
    </row>
    <row r="15" spans="1:14" ht="28" x14ac:dyDescent="0.3">
      <c r="A15" t="s">
        <v>384</v>
      </c>
      <c r="B15" t="s">
        <v>450</v>
      </c>
      <c r="C15" t="s">
        <v>451</v>
      </c>
      <c r="D15" t="s">
        <v>415</v>
      </c>
      <c r="E15" t="s">
        <v>452</v>
      </c>
      <c r="F15" s="4" t="s">
        <v>453</v>
      </c>
      <c r="G15" s="1" t="s">
        <v>454</v>
      </c>
      <c r="H15" t="s">
        <v>455</v>
      </c>
      <c r="I15">
        <v>0</v>
      </c>
      <c r="J15" s="5">
        <v>13</v>
      </c>
      <c r="K15" s="5">
        <v>2</v>
      </c>
      <c r="L15">
        <v>50</v>
      </c>
      <c r="N15">
        <v>50</v>
      </c>
    </row>
    <row r="16" spans="1:14" ht="28" x14ac:dyDescent="0.3">
      <c r="A16" t="s">
        <v>384</v>
      </c>
      <c r="B16" t="s">
        <v>456</v>
      </c>
      <c r="C16" t="s">
        <v>457</v>
      </c>
      <c r="D16" t="s">
        <v>415</v>
      </c>
      <c r="E16" t="s">
        <v>458</v>
      </c>
      <c r="F16" s="4" t="s">
        <v>459</v>
      </c>
      <c r="G16" s="1" t="s">
        <v>460</v>
      </c>
      <c r="H16" t="s">
        <v>461</v>
      </c>
      <c r="I16">
        <v>0</v>
      </c>
      <c r="J16" s="5">
        <v>14</v>
      </c>
      <c r="K16" s="5">
        <v>2</v>
      </c>
      <c r="L16">
        <v>50</v>
      </c>
      <c r="N16">
        <v>50</v>
      </c>
    </row>
    <row r="17" spans="1:14" x14ac:dyDescent="0.3">
      <c r="A17" t="s">
        <v>391</v>
      </c>
      <c r="B17" t="s">
        <v>462</v>
      </c>
      <c r="C17" t="s">
        <v>463</v>
      </c>
      <c r="D17" t="s">
        <v>464</v>
      </c>
      <c r="E17" t="s">
        <v>465</v>
      </c>
      <c r="F17" s="4" t="s">
        <v>466</v>
      </c>
      <c r="G17" t="s">
        <v>467</v>
      </c>
      <c r="H17" t="s">
        <v>468</v>
      </c>
      <c r="I17">
        <v>0</v>
      </c>
      <c r="J17" s="5">
        <v>15</v>
      </c>
      <c r="K17" s="5">
        <v>3</v>
      </c>
      <c r="L17">
        <v>100</v>
      </c>
      <c r="M17" t="s">
        <v>469</v>
      </c>
      <c r="N17">
        <v>100</v>
      </c>
    </row>
    <row r="18" spans="1:14" x14ac:dyDescent="0.3">
      <c r="A18" t="s">
        <v>391</v>
      </c>
      <c r="B18" t="s">
        <v>470</v>
      </c>
      <c r="C18" t="s">
        <v>471</v>
      </c>
      <c r="D18" t="s">
        <v>415</v>
      </c>
      <c r="E18" t="s">
        <v>472</v>
      </c>
      <c r="F18" s="4" t="s">
        <v>473</v>
      </c>
      <c r="G18" t="s">
        <v>388</v>
      </c>
      <c r="H18" t="s">
        <v>55</v>
      </c>
      <c r="I18">
        <v>1</v>
      </c>
      <c r="J18" s="5">
        <v>16</v>
      </c>
      <c r="K18" s="5">
        <v>3</v>
      </c>
      <c r="L18">
        <v>100</v>
      </c>
      <c r="N18">
        <v>100</v>
      </c>
    </row>
    <row r="19" spans="1:14" x14ac:dyDescent="0.3">
      <c r="A19" t="s">
        <v>430</v>
      </c>
      <c r="B19" t="s">
        <v>474</v>
      </c>
      <c r="C19" t="s">
        <v>475</v>
      </c>
      <c r="D19" t="s">
        <v>476</v>
      </c>
      <c r="E19" t="s">
        <v>477</v>
      </c>
      <c r="F19" s="4" t="s">
        <v>478</v>
      </c>
      <c r="G19" t="s">
        <v>479</v>
      </c>
      <c r="H19" t="s">
        <v>480</v>
      </c>
      <c r="I19">
        <v>1</v>
      </c>
      <c r="J19" s="5">
        <v>17</v>
      </c>
      <c r="K19" s="5">
        <v>3</v>
      </c>
      <c r="L19">
        <v>100</v>
      </c>
      <c r="N19">
        <v>100</v>
      </c>
    </row>
    <row r="20" spans="1:14" x14ac:dyDescent="0.3">
      <c r="A20" t="s">
        <v>430</v>
      </c>
      <c r="B20" t="s">
        <v>481</v>
      </c>
      <c r="C20" t="s">
        <v>482</v>
      </c>
      <c r="D20" t="s">
        <v>476</v>
      </c>
      <c r="E20" t="s">
        <v>483</v>
      </c>
      <c r="F20" s="4" t="s">
        <v>484</v>
      </c>
      <c r="G20" t="s">
        <v>485</v>
      </c>
      <c r="H20" t="s">
        <v>486</v>
      </c>
      <c r="I20">
        <v>1</v>
      </c>
      <c r="J20" s="5">
        <v>18</v>
      </c>
      <c r="K20" s="5">
        <v>2</v>
      </c>
      <c r="L20">
        <v>50</v>
      </c>
      <c r="N20">
        <v>50</v>
      </c>
    </row>
    <row r="21" spans="1:14" x14ac:dyDescent="0.3">
      <c r="A21" t="s">
        <v>430</v>
      </c>
      <c r="B21" t="s">
        <v>487</v>
      </c>
      <c r="C21" t="s">
        <v>488</v>
      </c>
      <c r="D21" t="s">
        <v>476</v>
      </c>
      <c r="E21" t="s">
        <v>489</v>
      </c>
      <c r="F21" s="4" t="s">
        <v>490</v>
      </c>
      <c r="G21" t="s">
        <v>388</v>
      </c>
      <c r="H21" t="s">
        <v>55</v>
      </c>
      <c r="I21">
        <v>1</v>
      </c>
      <c r="J21" s="5">
        <v>19</v>
      </c>
      <c r="K21" s="5">
        <v>1</v>
      </c>
      <c r="L21">
        <v>0</v>
      </c>
      <c r="N21">
        <v>0</v>
      </c>
    </row>
    <row r="22" spans="1:14" x14ac:dyDescent="0.3">
      <c r="A22" t="s">
        <v>430</v>
      </c>
      <c r="B22" t="s">
        <v>491</v>
      </c>
      <c r="C22" t="s">
        <v>492</v>
      </c>
      <c r="D22" t="s">
        <v>476</v>
      </c>
      <c r="E22" t="s">
        <v>493</v>
      </c>
      <c r="F22" s="4" t="s">
        <v>494</v>
      </c>
      <c r="G22" t="s">
        <v>388</v>
      </c>
      <c r="H22" t="s">
        <v>55</v>
      </c>
      <c r="I22">
        <v>1</v>
      </c>
      <c r="J22" s="5">
        <v>20</v>
      </c>
      <c r="K22" s="5">
        <v>1</v>
      </c>
      <c r="L22">
        <v>0</v>
      </c>
      <c r="N22">
        <v>0</v>
      </c>
    </row>
    <row r="23" spans="1:14" x14ac:dyDescent="0.3">
      <c r="A23" t="s">
        <v>430</v>
      </c>
      <c r="B23" t="s">
        <v>495</v>
      </c>
      <c r="C23" t="s">
        <v>496</v>
      </c>
      <c r="D23" t="s">
        <v>476</v>
      </c>
      <c r="E23" t="s">
        <v>497</v>
      </c>
      <c r="F23" s="4" t="s">
        <v>498</v>
      </c>
      <c r="G23" t="s">
        <v>499</v>
      </c>
      <c r="H23" t="s">
        <v>500</v>
      </c>
      <c r="I23">
        <v>1</v>
      </c>
      <c r="J23" s="5">
        <v>21</v>
      </c>
      <c r="K23" s="5">
        <v>3</v>
      </c>
      <c r="L23">
        <v>100</v>
      </c>
      <c r="N23">
        <v>100</v>
      </c>
    </row>
    <row r="24" spans="1:14" x14ac:dyDescent="0.3">
      <c r="A24" t="s">
        <v>430</v>
      </c>
      <c r="B24" t="s">
        <v>501</v>
      </c>
      <c r="C24" t="s">
        <v>502</v>
      </c>
      <c r="D24" t="s">
        <v>476</v>
      </c>
      <c r="E24" t="s">
        <v>503</v>
      </c>
      <c r="F24" s="4" t="s">
        <v>504</v>
      </c>
      <c r="G24" t="s">
        <v>505</v>
      </c>
      <c r="H24" t="s">
        <v>506</v>
      </c>
      <c r="I24">
        <v>1</v>
      </c>
      <c r="J24" s="5">
        <v>22</v>
      </c>
      <c r="K24" s="5">
        <v>3</v>
      </c>
      <c r="L24">
        <v>100</v>
      </c>
      <c r="N24">
        <v>100</v>
      </c>
    </row>
    <row r="25" spans="1:14" x14ac:dyDescent="0.3">
      <c r="A25" t="s">
        <v>430</v>
      </c>
      <c r="B25" t="s">
        <v>507</v>
      </c>
      <c r="C25" t="s">
        <v>508</v>
      </c>
      <c r="D25" t="s">
        <v>476</v>
      </c>
      <c r="E25" t="s">
        <v>509</v>
      </c>
      <c r="F25" s="4" t="s">
        <v>510</v>
      </c>
      <c r="G25" t="s">
        <v>388</v>
      </c>
      <c r="H25" t="s">
        <v>55</v>
      </c>
      <c r="I25">
        <v>0</v>
      </c>
      <c r="J25" s="5">
        <v>23</v>
      </c>
      <c r="K25" s="5">
        <v>1</v>
      </c>
      <c r="L25">
        <v>0</v>
      </c>
      <c r="N25">
        <v>0</v>
      </c>
    </row>
    <row r="26" spans="1:14" x14ac:dyDescent="0.3">
      <c r="A26" t="s">
        <v>430</v>
      </c>
      <c r="B26" t="s">
        <v>622</v>
      </c>
      <c r="C26" t="s">
        <v>511</v>
      </c>
      <c r="D26" t="s">
        <v>476</v>
      </c>
      <c r="E26" t="s">
        <v>512</v>
      </c>
      <c r="F26" s="4" t="s">
        <v>513</v>
      </c>
      <c r="G26" t="s">
        <v>388</v>
      </c>
      <c r="H26" t="s">
        <v>55</v>
      </c>
      <c r="I26">
        <v>1</v>
      </c>
      <c r="J26" s="5">
        <v>24</v>
      </c>
      <c r="K26" s="5">
        <v>1</v>
      </c>
      <c r="L26">
        <v>0</v>
      </c>
      <c r="N26">
        <v>0</v>
      </c>
    </row>
    <row r="27" spans="1:14" x14ac:dyDescent="0.3">
      <c r="A27" t="s">
        <v>430</v>
      </c>
      <c r="B27" t="s">
        <v>623</v>
      </c>
      <c r="C27" t="s">
        <v>514</v>
      </c>
      <c r="D27" t="s">
        <v>476</v>
      </c>
      <c r="E27" t="s">
        <v>515</v>
      </c>
      <c r="F27" s="4" t="s">
        <v>516</v>
      </c>
      <c r="G27" t="s">
        <v>517</v>
      </c>
      <c r="H27" t="s">
        <v>518</v>
      </c>
      <c r="I27">
        <v>1</v>
      </c>
      <c r="J27" s="5">
        <v>25</v>
      </c>
      <c r="K27" s="5">
        <v>2</v>
      </c>
      <c r="L27">
        <v>50</v>
      </c>
      <c r="N27">
        <v>50</v>
      </c>
    </row>
    <row r="28" spans="1:14" x14ac:dyDescent="0.3">
      <c r="A28" t="s">
        <v>430</v>
      </c>
      <c r="B28" t="s">
        <v>519</v>
      </c>
      <c r="C28" t="s">
        <v>520</v>
      </c>
      <c r="D28" t="s">
        <v>476</v>
      </c>
      <c r="E28" t="s">
        <v>521</v>
      </c>
      <c r="F28" s="4" t="s">
        <v>522</v>
      </c>
      <c r="G28" t="s">
        <v>523</v>
      </c>
      <c r="H28" t="s">
        <v>524</v>
      </c>
      <c r="I28">
        <v>1</v>
      </c>
      <c r="J28" s="5">
        <v>26</v>
      </c>
      <c r="K28" s="5">
        <v>2</v>
      </c>
      <c r="L28">
        <v>50</v>
      </c>
      <c r="N28">
        <v>50</v>
      </c>
    </row>
    <row r="29" spans="1:14" x14ac:dyDescent="0.3">
      <c r="A29" t="s">
        <v>430</v>
      </c>
      <c r="B29" t="s">
        <v>525</v>
      </c>
      <c r="C29" t="s">
        <v>526</v>
      </c>
      <c r="D29" t="s">
        <v>415</v>
      </c>
      <c r="E29" t="s">
        <v>527</v>
      </c>
      <c r="F29" s="4" t="s">
        <v>528</v>
      </c>
      <c r="G29" t="s">
        <v>529</v>
      </c>
      <c r="H29" t="s">
        <v>693</v>
      </c>
      <c r="I29">
        <v>1</v>
      </c>
      <c r="J29" s="5">
        <v>27</v>
      </c>
      <c r="K29" s="5">
        <v>3</v>
      </c>
      <c r="L29">
        <v>100</v>
      </c>
      <c r="N29">
        <v>100</v>
      </c>
    </row>
    <row r="30" spans="1:14" x14ac:dyDescent="0.3">
      <c r="A30" t="s">
        <v>430</v>
      </c>
      <c r="B30" t="s">
        <v>530</v>
      </c>
      <c r="C30" t="s">
        <v>531</v>
      </c>
      <c r="D30" t="s">
        <v>415</v>
      </c>
      <c r="E30" t="s">
        <v>532</v>
      </c>
      <c r="F30" s="4" t="s">
        <v>533</v>
      </c>
      <c r="G30" t="s">
        <v>534</v>
      </c>
      <c r="H30" t="s">
        <v>694</v>
      </c>
      <c r="I30">
        <v>1</v>
      </c>
      <c r="J30" s="5">
        <v>28</v>
      </c>
      <c r="K30" s="5">
        <v>3</v>
      </c>
      <c r="L30">
        <v>100</v>
      </c>
      <c r="N30">
        <v>100</v>
      </c>
    </row>
    <row r="31" spans="1:14" x14ac:dyDescent="0.3">
      <c r="A31" t="s">
        <v>430</v>
      </c>
      <c r="B31" t="s">
        <v>535</v>
      </c>
      <c r="C31" t="s">
        <v>536</v>
      </c>
      <c r="D31" t="s">
        <v>476</v>
      </c>
      <c r="E31" t="s">
        <v>537</v>
      </c>
      <c r="F31" s="4" t="s">
        <v>538</v>
      </c>
      <c r="G31" t="s">
        <v>388</v>
      </c>
      <c r="H31" t="s">
        <v>55</v>
      </c>
      <c r="I31">
        <v>0</v>
      </c>
      <c r="J31" s="5">
        <v>29</v>
      </c>
      <c r="K31" s="5">
        <v>1</v>
      </c>
      <c r="L31">
        <v>0</v>
      </c>
      <c r="N31">
        <v>0</v>
      </c>
    </row>
    <row r="32" spans="1:14" x14ac:dyDescent="0.3">
      <c r="A32" t="s">
        <v>430</v>
      </c>
      <c r="B32" t="s">
        <v>539</v>
      </c>
      <c r="C32" t="s">
        <v>540</v>
      </c>
      <c r="D32" t="s">
        <v>476</v>
      </c>
      <c r="E32" t="s">
        <v>541</v>
      </c>
      <c r="F32" s="4" t="s">
        <v>542</v>
      </c>
      <c r="G32" t="s">
        <v>388</v>
      </c>
      <c r="H32" t="s">
        <v>55</v>
      </c>
      <c r="I32">
        <v>1</v>
      </c>
      <c r="J32" s="5">
        <v>30</v>
      </c>
      <c r="K32" s="5">
        <v>1</v>
      </c>
      <c r="L32">
        <v>0</v>
      </c>
      <c r="N32">
        <v>0</v>
      </c>
    </row>
    <row r="33" spans="1:14" x14ac:dyDescent="0.3">
      <c r="A33" t="s">
        <v>430</v>
      </c>
      <c r="B33" t="s">
        <v>543</v>
      </c>
      <c r="C33" t="s">
        <v>544</v>
      </c>
      <c r="D33" t="s">
        <v>476</v>
      </c>
      <c r="E33" t="s">
        <v>545</v>
      </c>
      <c r="F33" s="4" t="s">
        <v>546</v>
      </c>
      <c r="G33" t="s">
        <v>388</v>
      </c>
      <c r="H33" t="s">
        <v>55</v>
      </c>
      <c r="I33">
        <v>0</v>
      </c>
      <c r="J33" s="5">
        <v>31</v>
      </c>
      <c r="K33" s="5">
        <v>1</v>
      </c>
      <c r="L33">
        <v>0</v>
      </c>
      <c r="N33">
        <v>0</v>
      </c>
    </row>
    <row r="34" spans="1:14" x14ac:dyDescent="0.3">
      <c r="A34" t="s">
        <v>430</v>
      </c>
      <c r="B34" t="s">
        <v>547</v>
      </c>
      <c r="C34" t="s">
        <v>548</v>
      </c>
      <c r="D34" t="s">
        <v>415</v>
      </c>
      <c r="E34" t="s">
        <v>549</v>
      </c>
      <c r="F34" s="4" t="s">
        <v>550</v>
      </c>
      <c r="G34" t="s">
        <v>388</v>
      </c>
      <c r="H34" t="s">
        <v>55</v>
      </c>
      <c r="I34">
        <v>0</v>
      </c>
      <c r="J34" s="5">
        <v>32</v>
      </c>
      <c r="K34" s="5">
        <v>1</v>
      </c>
      <c r="L34">
        <v>0</v>
      </c>
      <c r="N34">
        <v>0</v>
      </c>
    </row>
    <row r="35" spans="1:14" x14ac:dyDescent="0.3">
      <c r="A35" t="s">
        <v>430</v>
      </c>
      <c r="B35" t="s">
        <v>662</v>
      </c>
      <c r="C35" t="s">
        <v>665</v>
      </c>
      <c r="D35" t="s">
        <v>680</v>
      </c>
      <c r="E35" t="s">
        <v>551</v>
      </c>
      <c r="F35" s="4" t="s">
        <v>552</v>
      </c>
      <c r="G35" t="s">
        <v>553</v>
      </c>
      <c r="H35" t="s">
        <v>554</v>
      </c>
      <c r="I35">
        <v>1</v>
      </c>
      <c r="J35" s="5">
        <v>33</v>
      </c>
      <c r="K35" s="5">
        <v>3</v>
      </c>
      <c r="L35">
        <v>100</v>
      </c>
      <c r="N35">
        <v>100</v>
      </c>
    </row>
    <row r="36" spans="1:14" x14ac:dyDescent="0.3">
      <c r="A36" t="s">
        <v>430</v>
      </c>
      <c r="B36" t="s">
        <v>613</v>
      </c>
      <c r="C36" t="s">
        <v>621</v>
      </c>
      <c r="D36" t="s">
        <v>415</v>
      </c>
      <c r="E36" t="s">
        <v>608</v>
      </c>
      <c r="F36" s="4" t="s">
        <v>609</v>
      </c>
      <c r="G36" t="s">
        <v>611</v>
      </c>
      <c r="H36" t="s">
        <v>612</v>
      </c>
      <c r="I36">
        <v>1</v>
      </c>
      <c r="J36" s="5">
        <v>34</v>
      </c>
      <c r="K36" s="5">
        <v>1</v>
      </c>
      <c r="L36">
        <v>0</v>
      </c>
      <c r="N36">
        <v>0</v>
      </c>
    </row>
    <row r="37" spans="1:14" x14ac:dyDescent="0.3">
      <c r="A37" t="s">
        <v>430</v>
      </c>
      <c r="B37" t="s">
        <v>555</v>
      </c>
      <c r="C37" t="s">
        <v>556</v>
      </c>
      <c r="D37" t="s">
        <v>476</v>
      </c>
      <c r="E37" t="s">
        <v>557</v>
      </c>
      <c r="F37" s="4" t="s">
        <v>558</v>
      </c>
      <c r="G37" t="s">
        <v>388</v>
      </c>
      <c r="H37" t="s">
        <v>55</v>
      </c>
      <c r="I37">
        <v>1</v>
      </c>
      <c r="J37" s="5">
        <v>35</v>
      </c>
      <c r="K37" s="5">
        <v>1</v>
      </c>
      <c r="L37">
        <v>0</v>
      </c>
      <c r="N37">
        <v>0</v>
      </c>
    </row>
    <row r="38" spans="1:14" x14ac:dyDescent="0.3">
      <c r="A38" t="s">
        <v>430</v>
      </c>
      <c r="B38" t="s">
        <v>559</v>
      </c>
      <c r="C38" t="s">
        <v>560</v>
      </c>
      <c r="D38" t="s">
        <v>476</v>
      </c>
      <c r="E38" t="s">
        <v>561</v>
      </c>
      <c r="F38" s="4" t="s">
        <v>562</v>
      </c>
      <c r="G38" t="s">
        <v>388</v>
      </c>
      <c r="H38" t="s">
        <v>55</v>
      </c>
      <c r="I38">
        <v>0</v>
      </c>
      <c r="J38" s="5">
        <v>36</v>
      </c>
      <c r="K38" s="5">
        <v>1</v>
      </c>
      <c r="L38">
        <v>0</v>
      </c>
      <c r="N38">
        <v>0</v>
      </c>
    </row>
    <row r="39" spans="1:14" x14ac:dyDescent="0.3">
      <c r="A39" t="s">
        <v>430</v>
      </c>
      <c r="B39" t="s">
        <v>563</v>
      </c>
      <c r="C39" t="s">
        <v>564</v>
      </c>
      <c r="D39" t="s">
        <v>476</v>
      </c>
      <c r="E39" t="s">
        <v>565</v>
      </c>
      <c r="F39" s="4" t="s">
        <v>566</v>
      </c>
      <c r="G39" t="s">
        <v>388</v>
      </c>
      <c r="H39" t="s">
        <v>55</v>
      </c>
      <c r="I39">
        <v>0</v>
      </c>
      <c r="J39" s="5">
        <v>37</v>
      </c>
      <c r="K39" s="5">
        <v>1</v>
      </c>
      <c r="L39">
        <v>0</v>
      </c>
      <c r="N39">
        <v>0</v>
      </c>
    </row>
    <row r="40" spans="1:14" x14ac:dyDescent="0.3">
      <c r="A40" t="s">
        <v>430</v>
      </c>
      <c r="B40" t="s">
        <v>567</v>
      </c>
      <c r="C40" t="s">
        <v>568</v>
      </c>
      <c r="D40" t="s">
        <v>476</v>
      </c>
      <c r="E40" t="s">
        <v>569</v>
      </c>
      <c r="F40" s="4" t="s">
        <v>570</v>
      </c>
      <c r="G40" t="s">
        <v>388</v>
      </c>
      <c r="H40" t="s">
        <v>55</v>
      </c>
      <c r="I40">
        <v>0</v>
      </c>
      <c r="J40" s="5">
        <v>38</v>
      </c>
      <c r="K40" s="5">
        <v>1</v>
      </c>
      <c r="L40">
        <v>0</v>
      </c>
      <c r="N40">
        <v>0</v>
      </c>
    </row>
    <row r="41" spans="1:14" x14ac:dyDescent="0.3">
      <c r="A41" t="s">
        <v>430</v>
      </c>
      <c r="B41" t="s">
        <v>571</v>
      </c>
      <c r="C41" t="s">
        <v>572</v>
      </c>
      <c r="D41" t="s">
        <v>415</v>
      </c>
      <c r="E41" t="s">
        <v>573</v>
      </c>
      <c r="F41" s="4" t="s">
        <v>574</v>
      </c>
      <c r="G41" t="s">
        <v>575</v>
      </c>
      <c r="H41" t="s">
        <v>576</v>
      </c>
      <c r="I41">
        <v>1</v>
      </c>
      <c r="J41" s="5">
        <v>39</v>
      </c>
      <c r="K41" s="5">
        <v>3</v>
      </c>
      <c r="L41">
        <v>100</v>
      </c>
      <c r="N41">
        <v>100</v>
      </c>
    </row>
    <row r="42" spans="1:14" x14ac:dyDescent="0.3">
      <c r="A42" t="s">
        <v>384</v>
      </c>
      <c r="B42" t="s">
        <v>577</v>
      </c>
      <c r="C42" t="s">
        <v>578</v>
      </c>
      <c r="D42" t="s">
        <v>415</v>
      </c>
      <c r="E42" t="s">
        <v>669</v>
      </c>
      <c r="F42" s="4" t="s">
        <v>579</v>
      </c>
      <c r="G42" t="s">
        <v>670</v>
      </c>
      <c r="H42" t="s">
        <v>580</v>
      </c>
      <c r="I42">
        <v>1</v>
      </c>
      <c r="J42" s="5">
        <v>40</v>
      </c>
      <c r="K42" s="5">
        <v>3</v>
      </c>
      <c r="L42">
        <v>100</v>
      </c>
      <c r="N42">
        <v>100</v>
      </c>
    </row>
    <row r="43" spans="1:14" x14ac:dyDescent="0.3">
      <c r="A43" t="s">
        <v>384</v>
      </c>
      <c r="B43" t="s">
        <v>581</v>
      </c>
      <c r="C43" t="s">
        <v>582</v>
      </c>
      <c r="D43" t="s">
        <v>666</v>
      </c>
      <c r="E43" t="s">
        <v>583</v>
      </c>
      <c r="F43" s="4" t="s">
        <v>354</v>
      </c>
      <c r="G43" t="s">
        <v>584</v>
      </c>
      <c r="H43" t="s">
        <v>355</v>
      </c>
      <c r="I43">
        <v>0</v>
      </c>
      <c r="J43" s="5">
        <v>41</v>
      </c>
      <c r="K43" s="5">
        <v>3</v>
      </c>
      <c r="L43">
        <v>100</v>
      </c>
      <c r="N43">
        <v>100</v>
      </c>
    </row>
    <row r="44" spans="1:14" x14ac:dyDescent="0.3">
      <c r="A44" t="s">
        <v>384</v>
      </c>
      <c r="B44" t="s">
        <v>585</v>
      </c>
      <c r="C44" t="s">
        <v>586</v>
      </c>
      <c r="D44" t="s">
        <v>666</v>
      </c>
      <c r="E44" t="s">
        <v>587</v>
      </c>
      <c r="F44" s="4" t="s">
        <v>354</v>
      </c>
      <c r="G44" t="s">
        <v>584</v>
      </c>
      <c r="H44" t="s">
        <v>355</v>
      </c>
      <c r="I44">
        <v>0</v>
      </c>
      <c r="J44" s="5">
        <v>42</v>
      </c>
      <c r="K44" s="5">
        <v>3</v>
      </c>
      <c r="L44">
        <v>100</v>
      </c>
      <c r="N44">
        <v>100</v>
      </c>
    </row>
    <row r="45" spans="1:14" x14ac:dyDescent="0.3">
      <c r="A45" t="s">
        <v>430</v>
      </c>
      <c r="B45" t="s">
        <v>352</v>
      </c>
      <c r="C45" t="s">
        <v>588</v>
      </c>
      <c r="D45" t="s">
        <v>415</v>
      </c>
      <c r="E45" t="s">
        <v>589</v>
      </c>
      <c r="F45" s="4" t="s">
        <v>590</v>
      </c>
      <c r="G45" t="s">
        <v>388</v>
      </c>
      <c r="H45" t="s">
        <v>55</v>
      </c>
      <c r="I45">
        <v>0</v>
      </c>
      <c r="J45" s="5">
        <v>43</v>
      </c>
      <c r="K45" s="5">
        <v>1</v>
      </c>
      <c r="L45">
        <v>0</v>
      </c>
      <c r="N45">
        <v>0</v>
      </c>
    </row>
    <row r="46" spans="1:14" x14ac:dyDescent="0.3">
      <c r="A46" t="s">
        <v>430</v>
      </c>
      <c r="B46" t="s">
        <v>591</v>
      </c>
      <c r="C46" t="s">
        <v>358</v>
      </c>
      <c r="D46" t="s">
        <v>680</v>
      </c>
      <c r="E46" t="s">
        <v>592</v>
      </c>
      <c r="F46" s="4" t="s">
        <v>552</v>
      </c>
      <c r="G46" t="s">
        <v>553</v>
      </c>
      <c r="H46" t="s">
        <v>554</v>
      </c>
      <c r="I46">
        <v>1</v>
      </c>
      <c r="J46" s="5">
        <v>44</v>
      </c>
      <c r="K46" s="5">
        <v>3</v>
      </c>
      <c r="L46">
        <v>100</v>
      </c>
      <c r="N46">
        <v>100</v>
      </c>
    </row>
    <row r="47" spans="1:14" x14ac:dyDescent="0.3">
      <c r="A47" t="s">
        <v>430</v>
      </c>
      <c r="B47" t="s">
        <v>593</v>
      </c>
      <c r="C47" t="s">
        <v>594</v>
      </c>
      <c r="D47" t="s">
        <v>415</v>
      </c>
      <c r="E47" t="s">
        <v>595</v>
      </c>
      <c r="F47" s="4" t="s">
        <v>596</v>
      </c>
      <c r="G47" t="s">
        <v>597</v>
      </c>
      <c r="H47" t="s">
        <v>598</v>
      </c>
      <c r="I47">
        <v>0</v>
      </c>
      <c r="J47" s="5">
        <v>45</v>
      </c>
      <c r="K47" s="5">
        <v>3</v>
      </c>
      <c r="L47">
        <v>100</v>
      </c>
      <c r="N47">
        <v>100</v>
      </c>
    </row>
    <row r="48" spans="1:14" x14ac:dyDescent="0.3">
      <c r="A48" t="s">
        <v>430</v>
      </c>
      <c r="B48" t="s">
        <v>599</v>
      </c>
      <c r="C48" t="s">
        <v>600</v>
      </c>
      <c r="D48" t="s">
        <v>415</v>
      </c>
      <c r="E48" t="s">
        <v>601</v>
      </c>
      <c r="F48" s="4" t="s">
        <v>602</v>
      </c>
      <c r="G48" t="s">
        <v>603</v>
      </c>
      <c r="H48" t="s">
        <v>604</v>
      </c>
      <c r="I48">
        <v>0</v>
      </c>
      <c r="J48" s="5">
        <v>46</v>
      </c>
      <c r="K48" s="5">
        <v>3</v>
      </c>
      <c r="L48">
        <v>100</v>
      </c>
      <c r="N48">
        <v>100</v>
      </c>
    </row>
    <row r="49" spans="1:14" x14ac:dyDescent="0.3">
      <c r="A49" t="s">
        <v>614</v>
      </c>
      <c r="B49" t="s">
        <v>618</v>
      </c>
      <c r="C49" t="s">
        <v>619</v>
      </c>
      <c r="D49" t="s">
        <v>615</v>
      </c>
      <c r="E49" t="s">
        <v>607</v>
      </c>
      <c r="F49" s="4" t="s">
        <v>616</v>
      </c>
      <c r="G49" t="s">
        <v>610</v>
      </c>
      <c r="H49" t="s">
        <v>617</v>
      </c>
      <c r="I49">
        <v>1</v>
      </c>
      <c r="J49" s="5">
        <v>47</v>
      </c>
      <c r="K49" s="5">
        <v>3</v>
      </c>
      <c r="L49">
        <v>100</v>
      </c>
      <c r="N49">
        <v>100</v>
      </c>
    </row>
    <row r="50" spans="1:14" x14ac:dyDescent="0.3">
      <c r="A50" t="s">
        <v>697</v>
      </c>
      <c r="B50" t="s">
        <v>701</v>
      </c>
      <c r="C50" t="s">
        <v>702</v>
      </c>
      <c r="D50" t="s">
        <v>615</v>
      </c>
      <c r="E50" t="s">
        <v>698</v>
      </c>
      <c r="F50" s="4" t="s">
        <v>699</v>
      </c>
      <c r="G50" t="s">
        <v>700</v>
      </c>
      <c r="H50" t="s">
        <v>27</v>
      </c>
      <c r="I50">
        <v>1</v>
      </c>
      <c r="J50" s="5">
        <v>48</v>
      </c>
      <c r="K50" s="5">
        <v>1</v>
      </c>
      <c r="L50">
        <v>0</v>
      </c>
      <c r="N50">
        <v>0</v>
      </c>
    </row>
  </sheetData>
  <phoneticPr fontId="1" type="noConversion"/>
  <dataValidations count="2">
    <dataValidation type="list" allowBlank="1" showInputMessage="1" showErrorMessage="1" sqref="J2:K8" xr:uid="{00000000-0002-0000-0200-000000000000}">
      <formula1>"0,1,2,3,4,5,6,7"</formula1>
    </dataValidation>
    <dataValidation type="list" allowBlank="1" showInputMessage="1" showErrorMessage="1" sqref="J11:K14" xr:uid="{00000000-0002-0000-0200-000001000000}">
      <formula1>"0,1,2,3"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4"/>
  <sheetViews>
    <sheetView showGridLines="0" zoomScale="115" zoomScaleNormal="115" workbookViewId="0">
      <selection activeCell="F12" sqref="F12"/>
    </sheetView>
  </sheetViews>
  <sheetFormatPr defaultColWidth="8.33203125" defaultRowHeight="14" x14ac:dyDescent="0.3"/>
  <cols>
    <col min="1" max="4" width="23.08203125" style="33" customWidth="1"/>
    <col min="5" max="16384" width="8.33203125" style="33"/>
  </cols>
  <sheetData>
    <row r="1" spans="1:4" x14ac:dyDescent="0.3">
      <c r="A1" s="36" t="s">
        <v>152</v>
      </c>
      <c r="B1" s="36" t="s">
        <v>153</v>
      </c>
      <c r="C1" s="36" t="s">
        <v>154</v>
      </c>
      <c r="D1" s="36" t="s">
        <v>155</v>
      </c>
    </row>
    <row r="2" spans="1:4" x14ac:dyDescent="0.3">
      <c r="A2" s="37" t="s">
        <v>342</v>
      </c>
      <c r="B2" s="37" t="s">
        <v>17</v>
      </c>
      <c r="C2" s="37" t="s">
        <v>157</v>
      </c>
      <c r="D2" s="37" t="s">
        <v>156</v>
      </c>
    </row>
    <row r="3" spans="1:4" x14ac:dyDescent="0.3">
      <c r="A3" s="37" t="s">
        <v>158</v>
      </c>
      <c r="B3" s="37" t="s">
        <v>17</v>
      </c>
      <c r="C3" s="37" t="s">
        <v>159</v>
      </c>
      <c r="D3" s="37" t="s">
        <v>160</v>
      </c>
    </row>
    <row r="4" spans="1:4" s="34" customFormat="1" ht="243.75" customHeight="1" x14ac:dyDescent="0.3">
      <c r="A4" s="40" t="s">
        <v>343</v>
      </c>
      <c r="B4" s="40"/>
      <c r="C4" s="40"/>
      <c r="D4" s="40"/>
    </row>
  </sheetData>
  <mergeCells count="1">
    <mergeCell ref="A4:D4"/>
  </mergeCells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58747F14778EC4F95189F16D09C2EA9" ma:contentTypeVersion="16" ma:contentTypeDescription="Create a new document." ma:contentTypeScope="" ma:versionID="a866cc32f5f411ab0e36b61dbdfa96db">
  <xsd:schema xmlns:xsd="http://www.w3.org/2001/XMLSchema" xmlns:xs="http://www.w3.org/2001/XMLSchema" xmlns:p="http://schemas.microsoft.com/office/2006/metadata/properties" xmlns:ns2="49281f0c-7665-4bec-b410-2f4949496428" xmlns:ns3="95b7a27d-1b81-43f0-b8c3-dfafd7208ff4" targetNamespace="http://schemas.microsoft.com/office/2006/metadata/properties" ma:root="true" ma:fieldsID="4a8a8dd306016dc94ae07149d12f9eb2" ns2:_="" ns3:_="">
    <xsd:import namespace="49281f0c-7665-4bec-b410-2f4949496428"/>
    <xsd:import namespace="95b7a27d-1b81-43f0-b8c3-dfafd7208ff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281f0c-7665-4bec-b410-2f494949642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a3f0b306-5c8f-44a5-9de7-bb42e716fd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b7a27d-1b81-43f0-b8c3-dfafd7208ff4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931e378a-822d-4c91-ac2f-ecc5b37a1d1b}" ma:internalName="TaxCatchAll" ma:showField="CatchAllData" ma:web="95b7a27d-1b81-43f0-b8c3-dfafd7208ff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9281f0c-7665-4bec-b410-2f4949496428">
      <Terms xmlns="http://schemas.microsoft.com/office/infopath/2007/PartnerControls"/>
    </lcf76f155ced4ddcb4097134ff3c332f>
    <TaxCatchAll xmlns="95b7a27d-1b81-43f0-b8c3-dfafd7208ff4" xsi:nil="true"/>
  </documentManagement>
</p:properties>
</file>

<file path=customXml/itemProps1.xml><?xml version="1.0" encoding="utf-8"?>
<ds:datastoreItem xmlns:ds="http://schemas.openxmlformats.org/officeDocument/2006/customXml" ds:itemID="{00CE1F38-7AFF-4134-AB0C-C257F22229E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9281f0c-7665-4bec-b410-2f4949496428"/>
    <ds:schemaRef ds:uri="95b7a27d-1b81-43f0-b8c3-dfafd7208ff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3DE488-5C40-4E15-81CB-834FEE7EF43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BD5B1D3-B402-489F-A57E-1BA69E81FEBD}">
  <ds:schemaRefs>
    <ds:schemaRef ds:uri="95b7a27d-1b81-43f0-b8c3-dfafd7208ff4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49281f0c-7665-4bec-b410-2f4949496428"/>
    <ds:schemaRef ds:uri="http://schemas.microsoft.com/office/2006/metadata/properties"/>
    <ds:schemaRef ds:uri="http://purl.org/dc/terms/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更新</vt:lpstr>
      <vt:lpstr>History</vt:lpstr>
      <vt:lpstr>SystemParameter</vt:lpstr>
      <vt:lpstr>FaultList</vt:lpstr>
      <vt:lpstr>Fault Category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Administrator</dc:creator>
  <cp:keywords/>
  <dc:description/>
  <cp:lastModifiedBy>q z</cp:lastModifiedBy>
  <cp:revision/>
  <dcterms:created xsi:type="dcterms:W3CDTF">2015-06-05T18:19:34Z</dcterms:created>
  <dcterms:modified xsi:type="dcterms:W3CDTF">2026-05-26T10:12:03Z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0x010100058747F14778EC4F95189F16D09C2EA9</vt:lpwstr>
  </property>
  <property fmtid="{D5CDD505-2E9C-101B-9397-08002B2CF9AE}" pid="3" name="MediaServiceImageTags">
    <vt:lpwstr/>
  </property>
</Properties>
</file>