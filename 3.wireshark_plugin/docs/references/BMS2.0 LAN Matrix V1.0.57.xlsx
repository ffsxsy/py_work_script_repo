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u2404\work\bms\docs\海辰提供的文件\开发资料\"/>
    </mc:Choice>
  </mc:AlternateContent>
  <xr:revisionPtr revIDLastSave="0" documentId="8_{DF3B1344-A2E7-44E8-851F-46C157421A9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over" sheetId="2" r:id="rId1"/>
    <sheet name="Revision" sheetId="3" r:id="rId2"/>
    <sheet name="Legend" sheetId="4" r:id="rId3"/>
    <sheet name="Station ID" sheetId="5" r:id="rId4"/>
    <sheet name="Message ID" sheetId="6" r:id="rId5"/>
    <sheet name="Comm Matrix" sheetId="7" r:id="rId6"/>
    <sheet name="Device ID" sheetId="8" r:id="rId7"/>
    <sheet name="SSD Store Calculation" sheetId="9" r:id="rId8"/>
  </sheets>
  <definedNames>
    <definedName name="_xlnm._FilterDatabase" localSheetId="5" hidden="1">'Comm Matrix'!$A$1:$AA$601</definedName>
    <definedName name="_xlnm._FilterDatabase" localSheetId="4" hidden="1">'Message ID'!$A$1:$W$201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3" i="7" l="1"/>
  <c r="N233" i="7" s="1"/>
  <c r="K232" i="7"/>
  <c r="N232" i="7" s="1"/>
  <c r="K231" i="7"/>
  <c r="N231" i="7" s="1"/>
  <c r="K230" i="7"/>
  <c r="N230" i="7" s="1"/>
  <c r="A52" i="9"/>
  <c r="D52" i="9" s="1"/>
  <c r="B52" i="9"/>
  <c r="C52" i="9"/>
  <c r="F52" i="9"/>
  <c r="H52" i="9"/>
  <c r="I52" i="9"/>
  <c r="A53" i="9"/>
  <c r="D53" i="9" s="1"/>
  <c r="B53" i="9"/>
  <c r="C53" i="9"/>
  <c r="F53" i="9" s="1"/>
  <c r="H53" i="9"/>
  <c r="I53" i="9"/>
  <c r="K35" i="7"/>
  <c r="N35" i="7" s="1"/>
  <c r="K34" i="7"/>
  <c r="N34" i="7" s="1"/>
  <c r="K33" i="7"/>
  <c r="N33" i="7" s="1"/>
  <c r="K32" i="7"/>
  <c r="N32" i="7" s="1"/>
  <c r="K299" i="7"/>
  <c r="N299" i="7" s="1"/>
  <c r="E430" i="7"/>
  <c r="E443" i="7"/>
  <c r="E456" i="7"/>
  <c r="E490" i="7"/>
  <c r="E522" i="7"/>
  <c r="E525" i="7"/>
  <c r="E543" i="7"/>
  <c r="E590" i="7"/>
  <c r="E594" i="7"/>
  <c r="E599" i="7"/>
  <c r="E604" i="7"/>
  <c r="K571" i="7"/>
  <c r="N571" i="7" s="1"/>
  <c r="K428" i="7"/>
  <c r="N428" i="7" s="1"/>
  <c r="K427" i="7"/>
  <c r="N427" i="7" s="1"/>
  <c r="K426" i="7"/>
  <c r="N426" i="7" s="1"/>
  <c r="K425" i="7"/>
  <c r="N425" i="7" s="1"/>
  <c r="K424" i="7"/>
  <c r="N424" i="7" s="1"/>
  <c r="K423" i="7"/>
  <c r="N423" i="7" s="1"/>
  <c r="K422" i="7"/>
  <c r="N422" i="7" s="1"/>
  <c r="K421" i="7"/>
  <c r="N421" i="7" s="1"/>
  <c r="K420" i="7"/>
  <c r="N420" i="7" s="1"/>
  <c r="K419" i="7"/>
  <c r="N419" i="7" s="1"/>
  <c r="K418" i="7"/>
  <c r="N418" i="7" s="1"/>
  <c r="K417" i="7"/>
  <c r="N417" i="7" s="1"/>
  <c r="K416" i="7"/>
  <c r="N416" i="7" s="1"/>
  <c r="K415" i="7"/>
  <c r="N415" i="7" s="1"/>
  <c r="K414" i="7"/>
  <c r="N414" i="7" s="1"/>
  <c r="K413" i="7"/>
  <c r="N413" i="7" s="1"/>
  <c r="K412" i="7"/>
  <c r="N412" i="7" s="1"/>
  <c r="K411" i="7"/>
  <c r="N411" i="7" s="1"/>
  <c r="K410" i="7"/>
  <c r="N410" i="7" s="1"/>
  <c r="K409" i="7"/>
  <c r="N409" i="7" s="1"/>
  <c r="K408" i="7"/>
  <c r="N408" i="7" s="1"/>
  <c r="K407" i="7"/>
  <c r="N407" i="7" s="1"/>
  <c r="K406" i="7"/>
  <c r="N406" i="7" s="1"/>
  <c r="K405" i="7"/>
  <c r="N405" i="7" s="1"/>
  <c r="K404" i="7"/>
  <c r="N404" i="7" s="1"/>
  <c r="K403" i="7"/>
  <c r="N403" i="7" s="1"/>
  <c r="K402" i="7"/>
  <c r="N402" i="7" s="1"/>
  <c r="K401" i="7"/>
  <c r="N401" i="7" s="1"/>
  <c r="K400" i="7"/>
  <c r="N400" i="7" s="1"/>
  <c r="K399" i="7"/>
  <c r="N399" i="7" s="1"/>
  <c r="K398" i="7"/>
  <c r="N398" i="7" s="1"/>
  <c r="K151" i="7"/>
  <c r="K377" i="7"/>
  <c r="K376" i="7"/>
  <c r="K390" i="7"/>
  <c r="T56" i="6"/>
  <c r="K56" i="6"/>
  <c r="H56" i="6" a="1"/>
  <c r="K31" i="7"/>
  <c r="N31" i="7" s="1"/>
  <c r="K30" i="7"/>
  <c r="N30" i="7" s="1"/>
  <c r="K605" i="7"/>
  <c r="N605" i="7" s="1"/>
  <c r="F605" i="7"/>
  <c r="E605" i="7" s="1"/>
  <c r="K604" i="7"/>
  <c r="N604" i="7" s="1"/>
  <c r="N603" i="7" s="1"/>
  <c r="K55" i="6"/>
  <c r="H55" i="6" a="1"/>
  <c r="T55" i="6"/>
  <c r="T10" i="6"/>
  <c r="K10" i="6"/>
  <c r="H10" i="6" a="1"/>
  <c r="T3" i="6"/>
  <c r="K3" i="6"/>
  <c r="K169" i="7"/>
  <c r="N169" i="7" s="1"/>
  <c r="K168" i="7"/>
  <c r="K167" i="7"/>
  <c r="N167" i="7" s="1"/>
  <c r="K166" i="7"/>
  <c r="N166" i="7" s="1"/>
  <c r="K570" i="7"/>
  <c r="N570" i="7" s="1"/>
  <c r="K569" i="7"/>
  <c r="N569" i="7" s="1"/>
  <c r="K52" i="6"/>
  <c r="H52" i="6" a="1"/>
  <c r="T52" i="6"/>
  <c r="K17" i="7"/>
  <c r="N17" i="7" s="1"/>
  <c r="G52" i="9" a="1"/>
  <c r="E53" i="9"/>
  <c r="E52" i="9"/>
  <c r="K36" i="7"/>
  <c r="F541" i="7"/>
  <c r="N541" i="7"/>
  <c r="K520" i="7"/>
  <c r="N520" i="7" s="1"/>
  <c r="G53" i="9" a="1"/>
  <c r="K568" i="7"/>
  <c r="N568" i="7" s="1"/>
  <c r="F600" i="7"/>
  <c r="K602" i="7"/>
  <c r="N602" i="7" s="1"/>
  <c r="H4" i="6" a="1"/>
  <c r="H5" i="6" a="1"/>
  <c r="H6" i="6" a="1"/>
  <c r="H7" i="6" a="1"/>
  <c r="H8" i="6" a="1"/>
  <c r="H9" i="6" a="1"/>
  <c r="H11" i="6" a="1"/>
  <c r="H12" i="6" a="1"/>
  <c r="H13" i="6" a="1"/>
  <c r="H14" i="6" a="1"/>
  <c r="H15" i="6" a="1"/>
  <c r="H16" i="6" a="1"/>
  <c r="H17" i="6" a="1"/>
  <c r="H18" i="6" a="1"/>
  <c r="H19" i="6" a="1"/>
  <c r="H20" i="6" a="1"/>
  <c r="H21" i="6" a="1"/>
  <c r="H22" i="6" a="1"/>
  <c r="H23" i="6" a="1"/>
  <c r="H24" i="6" a="1"/>
  <c r="H25" i="6" a="1"/>
  <c r="H26" i="6" a="1"/>
  <c r="H27" i="6" a="1"/>
  <c r="H28" i="6" a="1"/>
  <c r="H29" i="6" a="1"/>
  <c r="H30" i="6" a="1"/>
  <c r="H31" i="6" a="1"/>
  <c r="H32" i="6" a="1"/>
  <c r="H33" i="6" a="1"/>
  <c r="H34" i="6" a="1"/>
  <c r="H35" i="6" a="1"/>
  <c r="H36" i="6" a="1"/>
  <c r="H37" i="6" a="1"/>
  <c r="H38" i="6" a="1"/>
  <c r="H39" i="6" a="1"/>
  <c r="H40" i="6" a="1"/>
  <c r="H41" i="6" a="1"/>
  <c r="H42" i="6" a="1"/>
  <c r="H43" i="6" a="1"/>
  <c r="H44" i="6" a="1"/>
  <c r="H45" i="6" a="1"/>
  <c r="H46" i="6" a="1"/>
  <c r="H47" i="6" a="1"/>
  <c r="H48" i="6" a="1"/>
  <c r="H49" i="6" a="1"/>
  <c r="H50" i="6" a="1"/>
  <c r="H51" i="6" a="1"/>
  <c r="H53" i="6" a="1"/>
  <c r="H54" i="6" a="1"/>
  <c r="H2" i="6" a="1"/>
  <c r="K4" i="6"/>
  <c r="K5" i="6"/>
  <c r="K6" i="6"/>
  <c r="K7" i="6"/>
  <c r="K8" i="6"/>
  <c r="K9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3" i="6"/>
  <c r="K54" i="6"/>
  <c r="K2" i="6"/>
  <c r="K252" i="7"/>
  <c r="K263" i="7"/>
  <c r="N263" i="7" s="1"/>
  <c r="K530" i="7"/>
  <c r="N530" i="7" s="1"/>
  <c r="F530" i="7"/>
  <c r="E530" i="7" s="1"/>
  <c r="K527" i="7"/>
  <c r="N527" i="7" s="1"/>
  <c r="F527" i="7"/>
  <c r="E527" i="7" s="1"/>
  <c r="F601" i="7" l="1"/>
  <c r="E601" i="7" s="1"/>
  <c r="E600" i="7"/>
  <c r="K601" i="7"/>
  <c r="N601" i="7" s="1"/>
  <c r="K600" i="7"/>
  <c r="N600" i="7" s="1"/>
  <c r="F602" i="7" l="1"/>
  <c r="E602" i="7" s="1"/>
  <c r="K228" i="7"/>
  <c r="N228" i="7" s="1"/>
  <c r="K597" i="7"/>
  <c r="N597" i="7" s="1"/>
  <c r="K236" i="7"/>
  <c r="N236" i="7" s="1"/>
  <c r="F236" i="7"/>
  <c r="K239" i="7"/>
  <c r="N239" i="7" s="1"/>
  <c r="K248" i="7"/>
  <c r="N248" i="7" s="1"/>
  <c r="K229" i="7"/>
  <c r="N229" i="7" s="1"/>
  <c r="K227" i="7"/>
  <c r="N227" i="7" s="1"/>
  <c r="K226" i="7"/>
  <c r="N226" i="7" s="1"/>
  <c r="K18" i="7"/>
  <c r="K19" i="7"/>
  <c r="N19" i="7" s="1"/>
  <c r="K223" i="7" l="1"/>
  <c r="N223" i="7" s="1"/>
  <c r="K220" i="7"/>
  <c r="N220" i="7" s="1"/>
  <c r="K192" i="7"/>
  <c r="N192" i="7" s="1"/>
  <c r="K188" i="7"/>
  <c r="N188" i="7" s="1"/>
  <c r="K225" i="7"/>
  <c r="N225" i="7" s="1"/>
  <c r="K224" i="7"/>
  <c r="N224" i="7" s="1"/>
  <c r="K222" i="7"/>
  <c r="N222" i="7" s="1"/>
  <c r="K221" i="7"/>
  <c r="N221" i="7" s="1"/>
  <c r="F391" i="7"/>
  <c r="K302" i="7"/>
  <c r="N302" i="7" s="1"/>
  <c r="K268" i="7"/>
  <c r="N268" i="7" s="1"/>
  <c r="K266" i="7"/>
  <c r="A34" i="9"/>
  <c r="B34" i="9"/>
  <c r="C34" i="9"/>
  <c r="F34" i="9" s="1"/>
  <c r="A35" i="9"/>
  <c r="E35" i="9" s="1"/>
  <c r="B35" i="9"/>
  <c r="C35" i="9"/>
  <c r="F35" i="9" s="1"/>
  <c r="A19" i="9"/>
  <c r="B19" i="9"/>
  <c r="C19" i="9"/>
  <c r="A14" i="9"/>
  <c r="B14" i="9"/>
  <c r="C14" i="9"/>
  <c r="F14" i="9" s="1"/>
  <c r="T4" i="6"/>
  <c r="T5" i="6"/>
  <c r="T6" i="6"/>
  <c r="T7" i="6"/>
  <c r="T8" i="6"/>
  <c r="T9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3" i="6"/>
  <c r="T54" i="6"/>
  <c r="T2" i="6"/>
  <c r="K242" i="7"/>
  <c r="N242" i="7" s="1"/>
  <c r="K241" i="7"/>
  <c r="N241" i="7" s="1"/>
  <c r="K547" i="7"/>
  <c r="G35" i="9" a="1"/>
  <c r="G14" i="9" a="1"/>
  <c r="G34" i="9" a="1"/>
  <c r="G19" i="9" a="1"/>
  <c r="F392" i="7" l="1"/>
  <c r="E391" i="7"/>
  <c r="I34" i="9"/>
  <c r="H34" i="9"/>
  <c r="H14" i="9"/>
  <c r="I35" i="9"/>
  <c r="H35" i="9"/>
  <c r="E34" i="9"/>
  <c r="I14" i="9"/>
  <c r="I19" i="9"/>
  <c r="K558" i="7"/>
  <c r="N558" i="7" s="1"/>
  <c r="K557" i="7"/>
  <c r="N557" i="7" s="1"/>
  <c r="K564" i="7"/>
  <c r="N564" i="7" s="1"/>
  <c r="K563" i="7"/>
  <c r="N563" i="7" s="1"/>
  <c r="K567" i="7"/>
  <c r="N567" i="7" s="1"/>
  <c r="K565" i="7"/>
  <c r="N565" i="7" s="1"/>
  <c r="K566" i="7"/>
  <c r="N566" i="7" s="1"/>
  <c r="K243" i="7"/>
  <c r="N243" i="7" s="1"/>
  <c r="A51" i="9"/>
  <c r="B51" i="9"/>
  <c r="C51" i="9"/>
  <c r="F51" i="9" s="1"/>
  <c r="K599" i="7"/>
  <c r="N599" i="7" s="1"/>
  <c r="N598" i="7" s="1"/>
  <c r="B598" i="7"/>
  <c r="K262" i="7"/>
  <c r="N262" i="7" s="1"/>
  <c r="K519" i="7"/>
  <c r="N519" i="7" s="1"/>
  <c r="K139" i="7"/>
  <c r="N139" i="7" s="1"/>
  <c r="K138" i="7"/>
  <c r="N138" i="7" s="1"/>
  <c r="K137" i="7"/>
  <c r="N137" i="7" s="1"/>
  <c r="K136" i="7"/>
  <c r="N136" i="7" s="1"/>
  <c r="K244" i="7"/>
  <c r="N244" i="7" s="1"/>
  <c r="N196" i="7"/>
  <c r="K247" i="7"/>
  <c r="N247" i="7" s="1"/>
  <c r="K246" i="7"/>
  <c r="N246" i="7" s="1"/>
  <c r="K245" i="7"/>
  <c r="N245" i="7" s="1"/>
  <c r="K219" i="7"/>
  <c r="N219" i="7" s="1"/>
  <c r="K218" i="7"/>
  <c r="N218" i="7" s="1"/>
  <c r="K562" i="7"/>
  <c r="N562" i="7" s="1"/>
  <c r="K561" i="7"/>
  <c r="K560" i="7"/>
  <c r="N560" i="7" s="1"/>
  <c r="K105" i="7"/>
  <c r="N105" i="7" s="1"/>
  <c r="K13" i="7"/>
  <c r="N13" i="7" s="1"/>
  <c r="K57" i="7"/>
  <c r="N57" i="7" s="1"/>
  <c r="K55" i="7"/>
  <c r="K104" i="7"/>
  <c r="N104" i="7" s="1"/>
  <c r="K103" i="7"/>
  <c r="N103" i="7" s="1"/>
  <c r="K66" i="7"/>
  <c r="N66" i="7" s="1"/>
  <c r="K14" i="7"/>
  <c r="K12" i="7"/>
  <c r="N12" i="7" s="1"/>
  <c r="K135" i="7"/>
  <c r="N135" i="7" s="1"/>
  <c r="K134" i="7"/>
  <c r="N134" i="7" s="1"/>
  <c r="K133" i="7"/>
  <c r="N133" i="7" s="1"/>
  <c r="K132" i="7"/>
  <c r="N132" i="7" s="1"/>
  <c r="K217" i="7"/>
  <c r="N217" i="7" s="1"/>
  <c r="K216" i="7"/>
  <c r="N216" i="7" s="1"/>
  <c r="K215" i="7"/>
  <c r="N215" i="7" s="1"/>
  <c r="K131" i="7"/>
  <c r="N131" i="7" s="1"/>
  <c r="K559" i="7"/>
  <c r="N559" i="7" s="1"/>
  <c r="K214" i="7"/>
  <c r="N214" i="7" s="1"/>
  <c r="K213" i="7"/>
  <c r="N213" i="7" s="1"/>
  <c r="K212" i="7"/>
  <c r="N212" i="7" s="1"/>
  <c r="K211" i="7"/>
  <c r="N211" i="7" s="1"/>
  <c r="K64" i="7"/>
  <c r="F540" i="7"/>
  <c r="F539" i="7"/>
  <c r="F538" i="7"/>
  <c r="A50" i="9"/>
  <c r="B50" i="9"/>
  <c r="C50" i="9"/>
  <c r="F50" i="9" s="1"/>
  <c r="K596" i="7"/>
  <c r="N596" i="7" s="1"/>
  <c r="K595" i="7"/>
  <c r="N595" i="7" s="1"/>
  <c r="F595" i="7"/>
  <c r="E595" i="7" s="1"/>
  <c r="K594" i="7"/>
  <c r="B593" i="7"/>
  <c r="G51" i="9" a="1"/>
  <c r="G50" i="9" a="1"/>
  <c r="F393" i="7" l="1"/>
  <c r="E392" i="7"/>
  <c r="D51" i="9"/>
  <c r="H19" i="9"/>
  <c r="H51" i="9"/>
  <c r="I51" i="9"/>
  <c r="E51" i="9"/>
  <c r="N593" i="7"/>
  <c r="D50" i="9" s="1"/>
  <c r="I50" i="9"/>
  <c r="H50" i="9"/>
  <c r="F596" i="7"/>
  <c r="E596" i="7" s="1"/>
  <c r="E50" i="9"/>
  <c r="F394" i="7" l="1"/>
  <c r="E393" i="7"/>
  <c r="F597" i="7"/>
  <c r="E597" i="7" s="1"/>
  <c r="K130" i="7"/>
  <c r="N130" i="7" s="1"/>
  <c r="K129" i="7"/>
  <c r="N129" i="7" s="1"/>
  <c r="K550" i="7"/>
  <c r="N550" i="7" s="1"/>
  <c r="K551" i="7"/>
  <c r="N551" i="7" s="1"/>
  <c r="K552" i="7"/>
  <c r="N552" i="7" s="1"/>
  <c r="K553" i="7"/>
  <c r="N553" i="7" s="1"/>
  <c r="K554" i="7"/>
  <c r="N554" i="7" s="1"/>
  <c r="K555" i="7"/>
  <c r="N555" i="7" s="1"/>
  <c r="K556" i="7"/>
  <c r="N556" i="7" s="1"/>
  <c r="K128" i="7"/>
  <c r="N128" i="7" s="1"/>
  <c r="K127" i="7"/>
  <c r="N127" i="7" s="1"/>
  <c r="K126" i="7"/>
  <c r="N126" i="7" s="1"/>
  <c r="K125" i="7"/>
  <c r="N125" i="7" s="1"/>
  <c r="K124" i="7"/>
  <c r="N124" i="7" s="1"/>
  <c r="K123" i="7"/>
  <c r="N123" i="7" s="1"/>
  <c r="K590" i="7"/>
  <c r="A48" i="9"/>
  <c r="F591" i="7"/>
  <c r="G48" i="9"/>
  <c r="A49" i="9"/>
  <c r="B49" i="9"/>
  <c r="C49" i="9"/>
  <c r="B48" i="9"/>
  <c r="C48" i="9"/>
  <c r="F48" i="9" s="1"/>
  <c r="K591" i="7"/>
  <c r="N591" i="7" s="1"/>
  <c r="K592" i="7"/>
  <c r="N592" i="7" s="1"/>
  <c r="K546" i="7"/>
  <c r="B585" i="7"/>
  <c r="K475" i="7"/>
  <c r="K477" i="7"/>
  <c r="N477" i="7" s="1"/>
  <c r="K210" i="7"/>
  <c r="N210" i="7" s="1"/>
  <c r="G49" i="9" a="1"/>
  <c r="F592" i="7" l="1"/>
  <c r="E592" i="7" s="1"/>
  <c r="E591" i="7"/>
  <c r="F395" i="7"/>
  <c r="E394" i="7"/>
  <c r="N589" i="7"/>
  <c r="D49" i="9"/>
  <c r="E49" i="9"/>
  <c r="I48" i="9"/>
  <c r="H48" i="9"/>
  <c r="E48" i="9"/>
  <c r="A47" i="9"/>
  <c r="B47" i="9"/>
  <c r="C47" i="9"/>
  <c r="H47" i="9" s="1"/>
  <c r="G47" i="9"/>
  <c r="K588" i="7"/>
  <c r="N588" i="7" s="1"/>
  <c r="N587" i="7" s="1"/>
  <c r="K145" i="7"/>
  <c r="K141" i="7"/>
  <c r="K209" i="7"/>
  <c r="N209" i="7" s="1"/>
  <c r="K208" i="7"/>
  <c r="N208" i="7" s="1"/>
  <c r="G45" i="9"/>
  <c r="G44" i="9"/>
  <c r="N489" i="7"/>
  <c r="K518" i="7"/>
  <c r="N518" i="7" s="1"/>
  <c r="N581" i="7"/>
  <c r="N580" i="7"/>
  <c r="N579" i="7"/>
  <c r="N584" i="7"/>
  <c r="N583" i="7"/>
  <c r="N582" i="7"/>
  <c r="N577" i="7"/>
  <c r="N576" i="7"/>
  <c r="N575" i="7"/>
  <c r="N574" i="7"/>
  <c r="N573" i="7"/>
  <c r="K121" i="7"/>
  <c r="N121" i="7" s="1"/>
  <c r="K122" i="7"/>
  <c r="N122" i="7" s="1"/>
  <c r="F396" i="7" l="1"/>
  <c r="E395" i="7"/>
  <c r="N572" i="7"/>
  <c r="N578" i="7"/>
  <c r="D47" i="9"/>
  <c r="D48" i="9"/>
  <c r="F49" i="9"/>
  <c r="I49" i="9"/>
  <c r="H49" i="9"/>
  <c r="I47" i="9"/>
  <c r="F47" i="9"/>
  <c r="E47" i="9"/>
  <c r="K476" i="7"/>
  <c r="K485" i="7"/>
  <c r="F397" i="7" l="1"/>
  <c r="E396" i="7"/>
  <c r="K52" i="7"/>
  <c r="K50" i="7"/>
  <c r="K48" i="7"/>
  <c r="F457" i="7"/>
  <c r="F491" i="7"/>
  <c r="F492" i="7" l="1"/>
  <c r="E491" i="7"/>
  <c r="F458" i="7"/>
  <c r="E457" i="7"/>
  <c r="F398" i="7"/>
  <c r="E397" i="7"/>
  <c r="K586" i="7"/>
  <c r="N586" i="7" s="1"/>
  <c r="N585" i="7" s="1"/>
  <c r="K544" i="7"/>
  <c r="N544" i="7" s="1"/>
  <c r="K545" i="7"/>
  <c r="N545" i="7" s="1"/>
  <c r="N546" i="7"/>
  <c r="K548" i="7"/>
  <c r="N548" i="7" s="1"/>
  <c r="K549" i="7"/>
  <c r="N549" i="7" s="1"/>
  <c r="K534" i="7"/>
  <c r="N534" i="7" s="1"/>
  <c r="K496" i="7"/>
  <c r="N496" i="7" s="1"/>
  <c r="K498" i="7"/>
  <c r="N498" i="7" s="1"/>
  <c r="K499" i="7"/>
  <c r="N499" i="7" s="1"/>
  <c r="N502" i="7"/>
  <c r="N503" i="7"/>
  <c r="N504" i="7"/>
  <c r="N505" i="7"/>
  <c r="N506" i="7"/>
  <c r="N509" i="7"/>
  <c r="K510" i="7"/>
  <c r="N510" i="7" s="1"/>
  <c r="K511" i="7"/>
  <c r="N511" i="7" s="1"/>
  <c r="K512" i="7"/>
  <c r="N512" i="7" s="1"/>
  <c r="K513" i="7"/>
  <c r="N513" i="7" s="1"/>
  <c r="K514" i="7"/>
  <c r="N514" i="7" s="1"/>
  <c r="K515" i="7"/>
  <c r="N515" i="7" s="1"/>
  <c r="K516" i="7"/>
  <c r="N516" i="7" s="1"/>
  <c r="K517" i="7"/>
  <c r="N517" i="7" s="1"/>
  <c r="K481" i="7"/>
  <c r="N481" i="7" s="1"/>
  <c r="N461" i="7"/>
  <c r="K462" i="7"/>
  <c r="N462" i="7" s="1"/>
  <c r="K463" i="7"/>
  <c r="N463" i="7" s="1"/>
  <c r="K464" i="7"/>
  <c r="N464" i="7" s="1"/>
  <c r="K465" i="7"/>
  <c r="N465" i="7" s="1"/>
  <c r="K466" i="7"/>
  <c r="N466" i="7" s="1"/>
  <c r="K467" i="7"/>
  <c r="N467" i="7" s="1"/>
  <c r="K468" i="7"/>
  <c r="N468" i="7" s="1"/>
  <c r="K469" i="7"/>
  <c r="N469" i="7" s="1"/>
  <c r="K470" i="7"/>
  <c r="N470" i="7" s="1"/>
  <c r="K471" i="7"/>
  <c r="N471" i="7" s="1"/>
  <c r="K472" i="7"/>
  <c r="N472" i="7" s="1"/>
  <c r="K473" i="7"/>
  <c r="K474" i="7"/>
  <c r="K478" i="7"/>
  <c r="N478" i="7" s="1"/>
  <c r="K479" i="7"/>
  <c r="N479" i="7" s="1"/>
  <c r="K480" i="7"/>
  <c r="N480" i="7" s="1"/>
  <c r="K482" i="7"/>
  <c r="N482" i="7" s="1"/>
  <c r="K483" i="7"/>
  <c r="N483" i="7" s="1"/>
  <c r="K484" i="7"/>
  <c r="N484" i="7" s="1"/>
  <c r="N486" i="7"/>
  <c r="N487" i="7"/>
  <c r="K444" i="7"/>
  <c r="N444" i="7" s="1"/>
  <c r="K445" i="7"/>
  <c r="N445" i="7" s="1"/>
  <c r="K446" i="7"/>
  <c r="N446" i="7" s="1"/>
  <c r="K447" i="7"/>
  <c r="N447" i="7" s="1"/>
  <c r="K448" i="7"/>
  <c r="N448" i="7" s="1"/>
  <c r="K449" i="7"/>
  <c r="N449" i="7" s="1"/>
  <c r="K450" i="7"/>
  <c r="N450" i="7" s="1"/>
  <c r="K451" i="7"/>
  <c r="N451" i="7" s="1"/>
  <c r="K452" i="7"/>
  <c r="N452" i="7" s="1"/>
  <c r="K453" i="7"/>
  <c r="N453" i="7" s="1"/>
  <c r="K454" i="7"/>
  <c r="N454" i="7" s="1"/>
  <c r="K443" i="7"/>
  <c r="N443" i="7" s="1"/>
  <c r="K441" i="7"/>
  <c r="N441" i="7" s="1"/>
  <c r="K431" i="7"/>
  <c r="N431" i="7" s="1"/>
  <c r="K432" i="7"/>
  <c r="N432" i="7" s="1"/>
  <c r="K433" i="7"/>
  <c r="N433" i="7" s="1"/>
  <c r="K434" i="7"/>
  <c r="N434" i="7" s="1"/>
  <c r="K435" i="7"/>
  <c r="N435" i="7" s="1"/>
  <c r="K436" i="7"/>
  <c r="N436" i="7" s="1"/>
  <c r="K437" i="7"/>
  <c r="N437" i="7" s="1"/>
  <c r="K438" i="7"/>
  <c r="N438" i="7" s="1"/>
  <c r="K439" i="7"/>
  <c r="N439" i="7" s="1"/>
  <c r="K440" i="7"/>
  <c r="N440" i="7" s="1"/>
  <c r="K430" i="7"/>
  <c r="N430" i="7" s="1"/>
  <c r="K391" i="7"/>
  <c r="N391" i="7" s="1"/>
  <c r="K392" i="7"/>
  <c r="N392" i="7" s="1"/>
  <c r="K393" i="7"/>
  <c r="N393" i="7" s="1"/>
  <c r="K394" i="7"/>
  <c r="N394" i="7" s="1"/>
  <c r="K395" i="7"/>
  <c r="N395" i="7" s="1"/>
  <c r="K396" i="7"/>
  <c r="N396" i="7" s="1"/>
  <c r="K397" i="7"/>
  <c r="N397" i="7" s="1"/>
  <c r="N390" i="7"/>
  <c r="K343" i="7"/>
  <c r="N343" i="7" s="1"/>
  <c r="K335" i="7"/>
  <c r="N335" i="7" s="1"/>
  <c r="K336" i="7"/>
  <c r="N336" i="7" s="1"/>
  <c r="K337" i="7"/>
  <c r="N337" i="7" s="1"/>
  <c r="K338" i="7"/>
  <c r="N338" i="7" s="1"/>
  <c r="K339" i="7"/>
  <c r="N339" i="7" s="1"/>
  <c r="K340" i="7"/>
  <c r="N340" i="7" s="1"/>
  <c r="K341" i="7"/>
  <c r="N341" i="7" s="1"/>
  <c r="K342" i="7"/>
  <c r="N342" i="7" s="1"/>
  <c r="K334" i="7"/>
  <c r="N334" i="7" s="1"/>
  <c r="K289" i="7"/>
  <c r="N289" i="7" s="1"/>
  <c r="K290" i="7"/>
  <c r="N290" i="7" s="1"/>
  <c r="K291" i="7"/>
  <c r="N291" i="7" s="1"/>
  <c r="K292" i="7"/>
  <c r="N292" i="7" s="1"/>
  <c r="K293" i="7"/>
  <c r="N293" i="7" s="1"/>
  <c r="K294" i="7"/>
  <c r="N294" i="7" s="1"/>
  <c r="K295" i="7"/>
  <c r="N295" i="7" s="1"/>
  <c r="K296" i="7"/>
  <c r="N296" i="7" s="1"/>
  <c r="K297" i="7"/>
  <c r="N297" i="7" s="1"/>
  <c r="K298" i="7"/>
  <c r="N298" i="7" s="1"/>
  <c r="K300" i="7"/>
  <c r="N300" i="7" s="1"/>
  <c r="K301" i="7"/>
  <c r="N301" i="7" s="1"/>
  <c r="K288" i="7"/>
  <c r="N288" i="7" s="1"/>
  <c r="K235" i="7"/>
  <c r="N235" i="7" s="1"/>
  <c r="N234" i="7" s="1"/>
  <c r="K207" i="7"/>
  <c r="N98" i="7"/>
  <c r="N99" i="7"/>
  <c r="K100" i="7"/>
  <c r="N100" i="7" s="1"/>
  <c r="K101" i="7"/>
  <c r="N101" i="7" s="1"/>
  <c r="K102" i="7"/>
  <c r="N537" i="7"/>
  <c r="N538" i="7"/>
  <c r="K539" i="7"/>
  <c r="N539" i="7" s="1"/>
  <c r="N540" i="7"/>
  <c r="G46" i="9"/>
  <c r="G9" i="9"/>
  <c r="G7" i="9"/>
  <c r="G6" i="9"/>
  <c r="G5" i="9"/>
  <c r="G4" i="9"/>
  <c r="G3" i="9"/>
  <c r="C2" i="9"/>
  <c r="C3" i="9"/>
  <c r="C4" i="9"/>
  <c r="C5" i="9"/>
  <c r="C6" i="9"/>
  <c r="F6" i="9" s="1"/>
  <c r="C7" i="9"/>
  <c r="C8" i="9"/>
  <c r="C9" i="9"/>
  <c r="C10" i="9"/>
  <c r="F10" i="9" s="1"/>
  <c r="C11" i="9"/>
  <c r="C12" i="9"/>
  <c r="F12" i="9" s="1"/>
  <c r="C13" i="9"/>
  <c r="F13" i="9" s="1"/>
  <c r="C15" i="9"/>
  <c r="F15" i="9" s="1"/>
  <c r="C16" i="9"/>
  <c r="F16" i="9" s="1"/>
  <c r="C17" i="9"/>
  <c r="F17" i="9" s="1"/>
  <c r="C18" i="9"/>
  <c r="C20" i="9"/>
  <c r="F20" i="9" s="1"/>
  <c r="C21" i="9"/>
  <c r="F21" i="9" s="1"/>
  <c r="C22" i="9"/>
  <c r="F22" i="9" s="1"/>
  <c r="C23" i="9"/>
  <c r="F23" i="9" s="1"/>
  <c r="C24" i="9"/>
  <c r="F24" i="9" s="1"/>
  <c r="C25" i="9"/>
  <c r="F25" i="9" s="1"/>
  <c r="C26" i="9"/>
  <c r="F26" i="9" s="1"/>
  <c r="C27" i="9"/>
  <c r="F27" i="9" s="1"/>
  <c r="C28" i="9"/>
  <c r="F28" i="9" s="1"/>
  <c r="C29" i="9"/>
  <c r="F29" i="9" s="1"/>
  <c r="C30" i="9"/>
  <c r="F30" i="9" s="1"/>
  <c r="C31" i="9"/>
  <c r="F31" i="9" s="1"/>
  <c r="C32" i="9"/>
  <c r="F32" i="9" s="1"/>
  <c r="C33" i="9"/>
  <c r="F33" i="9" s="1"/>
  <c r="C36" i="9"/>
  <c r="F36" i="9" s="1"/>
  <c r="C37" i="9"/>
  <c r="F37" i="9" s="1"/>
  <c r="C38" i="9"/>
  <c r="C39" i="9"/>
  <c r="C40" i="9"/>
  <c r="F40" i="9" s="1"/>
  <c r="C41" i="9"/>
  <c r="F41" i="9" s="1"/>
  <c r="C42" i="9"/>
  <c r="F42" i="9" s="1"/>
  <c r="C43" i="9"/>
  <c r="C44" i="9"/>
  <c r="C45" i="9"/>
  <c r="C46" i="9"/>
  <c r="C1" i="9"/>
  <c r="B2" i="9"/>
  <c r="B3" i="9"/>
  <c r="B4" i="9"/>
  <c r="B5" i="9"/>
  <c r="B6" i="9"/>
  <c r="B7" i="9"/>
  <c r="B8" i="9"/>
  <c r="B9" i="9"/>
  <c r="B10" i="9"/>
  <c r="B11" i="9"/>
  <c r="B12" i="9"/>
  <c r="B13" i="9"/>
  <c r="B15" i="9"/>
  <c r="B16" i="9"/>
  <c r="B17" i="9"/>
  <c r="B18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6" i="9"/>
  <c r="B37" i="9"/>
  <c r="B38" i="9"/>
  <c r="B39" i="9"/>
  <c r="B40" i="9"/>
  <c r="B41" i="9"/>
  <c r="B42" i="9"/>
  <c r="B43" i="9"/>
  <c r="B44" i="9"/>
  <c r="B45" i="9"/>
  <c r="B46" i="9"/>
  <c r="B1" i="9"/>
  <c r="A45" i="9"/>
  <c r="A46" i="9"/>
  <c r="E46" i="9" s="1"/>
  <c r="A2" i="9"/>
  <c r="A3" i="9"/>
  <c r="E3" i="9" s="1"/>
  <c r="A4" i="9"/>
  <c r="E4" i="9" s="1"/>
  <c r="A5" i="9"/>
  <c r="E5" i="9" s="1"/>
  <c r="A6" i="9"/>
  <c r="E6" i="9" s="1"/>
  <c r="A7" i="9"/>
  <c r="E7" i="9" s="1"/>
  <c r="A8" i="9"/>
  <c r="A9" i="9"/>
  <c r="E9" i="9" s="1"/>
  <c r="A10" i="9"/>
  <c r="A11" i="9"/>
  <c r="A12" i="9"/>
  <c r="A13" i="9"/>
  <c r="A15" i="9"/>
  <c r="A16" i="9"/>
  <c r="A17" i="9"/>
  <c r="A18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6" i="9"/>
  <c r="A37" i="9"/>
  <c r="A38" i="9"/>
  <c r="A39" i="9"/>
  <c r="A40" i="9"/>
  <c r="A41" i="9"/>
  <c r="A42" i="9"/>
  <c r="E42" i="9" s="1"/>
  <c r="A43" i="9"/>
  <c r="A44" i="9"/>
  <c r="A1" i="9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3" i="7"/>
  <c r="N324" i="7"/>
  <c r="N325" i="7"/>
  <c r="N326" i="7"/>
  <c r="N327" i="7"/>
  <c r="N328" i="7"/>
  <c r="N329" i="7"/>
  <c r="N330" i="7"/>
  <c r="N331" i="7"/>
  <c r="N332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4" i="7"/>
  <c r="N375" i="7"/>
  <c r="N378" i="7"/>
  <c r="N379" i="7"/>
  <c r="N380" i="7"/>
  <c r="N381" i="7"/>
  <c r="N382" i="7"/>
  <c r="N383" i="7"/>
  <c r="N384" i="7"/>
  <c r="N385" i="7"/>
  <c r="N386" i="7"/>
  <c r="N388" i="7"/>
  <c r="N387" i="7" s="1"/>
  <c r="N456" i="7"/>
  <c r="N457" i="7"/>
  <c r="N458" i="7"/>
  <c r="N459" i="7"/>
  <c r="N460" i="7"/>
  <c r="N490" i="7"/>
  <c r="N491" i="7"/>
  <c r="N492" i="7"/>
  <c r="N493" i="7"/>
  <c r="N494" i="7"/>
  <c r="N495" i="7"/>
  <c r="N497" i="7"/>
  <c r="N500" i="7"/>
  <c r="N501" i="7"/>
  <c r="N507" i="7"/>
  <c r="N508" i="7"/>
  <c r="N532" i="7"/>
  <c r="N145" i="7"/>
  <c r="N144" i="7" s="1"/>
  <c r="N92" i="7"/>
  <c r="G36" i="9" a="1"/>
  <c r="G11" i="9" a="1"/>
  <c r="F399" i="7" l="1"/>
  <c r="E398" i="7"/>
  <c r="F459" i="7"/>
  <c r="E458" i="7"/>
  <c r="F493" i="7"/>
  <c r="E492" i="7"/>
  <c r="N442" i="7"/>
  <c r="N333" i="7"/>
  <c r="N303" i="7"/>
  <c r="N389" i="7"/>
  <c r="N344" i="7"/>
  <c r="N429" i="7"/>
  <c r="N287" i="7"/>
  <c r="N488" i="7"/>
  <c r="N373" i="7"/>
  <c r="D7" i="9"/>
  <c r="F7" i="9" s="1"/>
  <c r="E44" i="9"/>
  <c r="I44" i="9" s="1"/>
  <c r="D44" i="9"/>
  <c r="E45" i="9"/>
  <c r="I45" i="9" s="1"/>
  <c r="D45" i="9"/>
  <c r="D9" i="9"/>
  <c r="D46" i="9"/>
  <c r="D30" i="9"/>
  <c r="D31" i="9"/>
  <c r="D39" i="9"/>
  <c r="E43" i="9"/>
  <c r="I43" i="9" s="1"/>
  <c r="E41" i="9"/>
  <c r="E40" i="9"/>
  <c r="E38" i="9"/>
  <c r="I38" i="9" s="1"/>
  <c r="E31" i="9"/>
  <c r="E30" i="9"/>
  <c r="E29" i="9"/>
  <c r="E28" i="9"/>
  <c r="E27" i="9"/>
  <c r="E26" i="9"/>
  <c r="E25" i="9"/>
  <c r="E24" i="9"/>
  <c r="E18" i="9"/>
  <c r="I18" i="9" s="1"/>
  <c r="E17" i="9"/>
  <c r="E22" i="9"/>
  <c r="E20" i="9"/>
  <c r="E16" i="9"/>
  <c r="E37" i="9"/>
  <c r="E21" i="9"/>
  <c r="E15" i="9"/>
  <c r="E13" i="9"/>
  <c r="E12" i="9"/>
  <c r="E23" i="9"/>
  <c r="E10" i="9"/>
  <c r="E8" i="9"/>
  <c r="I8" i="9" s="1"/>
  <c r="E2" i="9"/>
  <c r="I2" i="9" s="1"/>
  <c r="E36" i="9"/>
  <c r="E39" i="9"/>
  <c r="I39" i="9" s="1"/>
  <c r="I11" i="9"/>
  <c r="I5" i="9"/>
  <c r="I4" i="9"/>
  <c r="I32" i="9"/>
  <c r="I26" i="9"/>
  <c r="I25" i="9"/>
  <c r="I7" i="9"/>
  <c r="I3" i="9"/>
  <c r="I37" i="9"/>
  <c r="I36" i="9"/>
  <c r="I33" i="9"/>
  <c r="I31" i="9"/>
  <c r="I24" i="9"/>
  <c r="I23" i="9"/>
  <c r="I22" i="9"/>
  <c r="I21" i="9"/>
  <c r="I20" i="9"/>
  <c r="I17" i="9"/>
  <c r="I15" i="9"/>
  <c r="I30" i="9"/>
  <c r="I29" i="9"/>
  <c r="I28" i="9"/>
  <c r="I27" i="9"/>
  <c r="I16" i="9"/>
  <c r="I13" i="9"/>
  <c r="I12" i="9"/>
  <c r="I10" i="9"/>
  <c r="I42" i="9"/>
  <c r="I41" i="9"/>
  <c r="I6" i="9"/>
  <c r="I40" i="9"/>
  <c r="H5" i="9"/>
  <c r="H4" i="9"/>
  <c r="H3" i="9"/>
  <c r="H37" i="9"/>
  <c r="H36" i="9"/>
  <c r="H33" i="9"/>
  <c r="H32" i="9"/>
  <c r="H31" i="9"/>
  <c r="H30" i="9"/>
  <c r="H29" i="9"/>
  <c r="H28" i="9"/>
  <c r="H27" i="9"/>
  <c r="H26" i="9"/>
  <c r="H21" i="9"/>
  <c r="H20" i="9"/>
  <c r="H17" i="9"/>
  <c r="H16" i="9"/>
  <c r="H15" i="9"/>
  <c r="H13" i="9"/>
  <c r="H7" i="9"/>
  <c r="H12" i="9"/>
  <c r="H25" i="9"/>
  <c r="H24" i="9"/>
  <c r="H23" i="9"/>
  <c r="H22" i="9"/>
  <c r="H10" i="9"/>
  <c r="H42" i="9"/>
  <c r="H41" i="9"/>
  <c r="H6" i="9"/>
  <c r="H40" i="9"/>
  <c r="H9" i="9"/>
  <c r="H46" i="9"/>
  <c r="D37" i="9"/>
  <c r="D36" i="9"/>
  <c r="N322" i="7"/>
  <c r="G25" i="9" a="1"/>
  <c r="G22" i="9" a="1"/>
  <c r="G8" i="9" a="1"/>
  <c r="G20" i="9" a="1"/>
  <c r="G41" i="9" a="1"/>
  <c r="G29" i="9" a="1"/>
  <c r="G40" i="9" a="1"/>
  <c r="G28" i="9" a="1"/>
  <c r="G30" i="9" a="1"/>
  <c r="G24" i="9" a="1"/>
  <c r="G27" i="9" a="1"/>
  <c r="G43" i="9" a="1"/>
  <c r="G39" i="9" a="1"/>
  <c r="G2" i="9" a="1"/>
  <c r="G18" i="9" a="1"/>
  <c r="G12" i="9" a="1"/>
  <c r="G37" i="9" a="1"/>
  <c r="G31" i="9" a="1"/>
  <c r="G23" i="9" a="1"/>
  <c r="G16" i="9" a="1"/>
  <c r="G32" i="9" a="1"/>
  <c r="G17" i="9" a="1"/>
  <c r="G13" i="9" a="1"/>
  <c r="G15" i="9" a="1"/>
  <c r="G10" i="9" a="1"/>
  <c r="G38" i="9" a="1"/>
  <c r="G33" i="9" a="1"/>
  <c r="G26" i="9" a="1"/>
  <c r="G21" i="9" a="1"/>
  <c r="F494" i="7" l="1"/>
  <c r="E493" i="7"/>
  <c r="F460" i="7"/>
  <c r="E459" i="7"/>
  <c r="F400" i="7"/>
  <c r="E399" i="7"/>
  <c r="H45" i="9"/>
  <c r="D18" i="9"/>
  <c r="F18" i="9" s="1"/>
  <c r="D19" i="9"/>
  <c r="F19" i="9" s="1"/>
  <c r="D20" i="9"/>
  <c r="D21" i="9"/>
  <c r="D22" i="9"/>
  <c r="D23" i="9"/>
  <c r="D28" i="9"/>
  <c r="D29" i="9"/>
  <c r="D35" i="9"/>
  <c r="D33" i="9"/>
  <c r="D34" i="9"/>
  <c r="D32" i="9"/>
  <c r="D24" i="9"/>
  <c r="D25" i="9"/>
  <c r="D26" i="9"/>
  <c r="D27" i="9"/>
  <c r="H43" i="9" s="1"/>
  <c r="H18" i="9" s="1"/>
  <c r="H38" i="9" s="1"/>
  <c r="H8" i="9" s="1"/>
  <c r="H2" i="9" s="1"/>
  <c r="F39" i="9"/>
  <c r="H39" i="9" s="1"/>
  <c r="I46" i="9"/>
  <c r="I9" i="9"/>
  <c r="H11" i="9"/>
  <c r="H44" i="9"/>
  <c r="F46" i="9"/>
  <c r="F9" i="9"/>
  <c r="F401" i="7" l="1"/>
  <c r="E400" i="7"/>
  <c r="F461" i="7"/>
  <c r="E460" i="7"/>
  <c r="F495" i="7"/>
  <c r="E494" i="7"/>
  <c r="I55" i="9"/>
  <c r="I56" i="9" s="1"/>
  <c r="H55" i="9"/>
  <c r="H56" i="9" s="1"/>
  <c r="F496" i="7" l="1"/>
  <c r="E495" i="7"/>
  <c r="F462" i="7"/>
  <c r="E461" i="7"/>
  <c r="F402" i="7"/>
  <c r="E401" i="7"/>
  <c r="N533" i="7"/>
  <c r="N531" i="7" s="1"/>
  <c r="F45" i="9"/>
  <c r="B578" i="7"/>
  <c r="F44" i="9"/>
  <c r="B572" i="7"/>
  <c r="K173" i="7"/>
  <c r="N173" i="7" s="1"/>
  <c r="F544" i="7"/>
  <c r="K543" i="7"/>
  <c r="N543" i="7" s="1"/>
  <c r="B542" i="7"/>
  <c r="F537" i="7"/>
  <c r="E37" i="7"/>
  <c r="E147" i="7"/>
  <c r="E250" i="7"/>
  <c r="E265" i="7"/>
  <c r="E270" i="7"/>
  <c r="E272" i="7"/>
  <c r="E284" i="7"/>
  <c r="E288" i="7"/>
  <c r="E304" i="7"/>
  <c r="E323" i="7"/>
  <c r="E334" i="7"/>
  <c r="E345" i="7"/>
  <c r="E374" i="7"/>
  <c r="E388" i="7"/>
  <c r="E390" i="7"/>
  <c r="F545" i="7" l="1"/>
  <c r="E544" i="7"/>
  <c r="F403" i="7"/>
  <c r="E402" i="7"/>
  <c r="F463" i="7"/>
  <c r="E462" i="7"/>
  <c r="F497" i="7"/>
  <c r="E496" i="7"/>
  <c r="N542" i="7"/>
  <c r="D43" i="9" s="1"/>
  <c r="F43" i="9" s="1"/>
  <c r="D3" i="9"/>
  <c r="F3" i="9" s="1"/>
  <c r="K529" i="7"/>
  <c r="N529" i="7" s="1"/>
  <c r="F529" i="7"/>
  <c r="F498" i="7" l="1"/>
  <c r="E497" i="7"/>
  <c r="F404" i="7"/>
  <c r="E403" i="7"/>
  <c r="F464" i="7"/>
  <c r="E463" i="7"/>
  <c r="F546" i="7"/>
  <c r="E545" i="7"/>
  <c r="N528" i="7"/>
  <c r="D42" i="9" s="1"/>
  <c r="B488" i="7"/>
  <c r="B455" i="7"/>
  <c r="B531" i="7"/>
  <c r="N536" i="7"/>
  <c r="N535" i="7" s="1"/>
  <c r="B535" i="7"/>
  <c r="F534" i="7"/>
  <c r="B237" i="7"/>
  <c r="B234" i="7"/>
  <c r="B146" i="7"/>
  <c r="B144" i="7"/>
  <c r="B142" i="7"/>
  <c r="B140" i="7"/>
  <c r="B2" i="7"/>
  <c r="F533" i="7"/>
  <c r="F547" i="7" l="1"/>
  <c r="E546" i="7"/>
  <c r="E404" i="7"/>
  <c r="F405" i="7"/>
  <c r="F465" i="7"/>
  <c r="E464" i="7"/>
  <c r="F499" i="7"/>
  <c r="E498" i="7"/>
  <c r="K120" i="7"/>
  <c r="N120" i="7" s="1"/>
  <c r="K119" i="7"/>
  <c r="N119" i="7" s="1"/>
  <c r="F500" i="7" l="1"/>
  <c r="E499" i="7"/>
  <c r="F466" i="7"/>
  <c r="E465" i="7"/>
  <c r="E405" i="7"/>
  <c r="F406" i="7"/>
  <c r="E547" i="7"/>
  <c r="F548" i="7"/>
  <c r="D4" i="9"/>
  <c r="F4" i="9" s="1"/>
  <c r="K114" i="7"/>
  <c r="N114" i="7" s="1"/>
  <c r="K113" i="7"/>
  <c r="N113" i="7" s="1"/>
  <c r="K112" i="7"/>
  <c r="N112" i="7" s="1"/>
  <c r="K111" i="7"/>
  <c r="N111" i="7" s="1"/>
  <c r="K118" i="7"/>
  <c r="N118" i="7" s="1"/>
  <c r="K116" i="7"/>
  <c r="N116" i="7" s="1"/>
  <c r="K115" i="7"/>
  <c r="N115" i="7" s="1"/>
  <c r="K117" i="7"/>
  <c r="N117" i="7" s="1"/>
  <c r="F467" i="7" l="1"/>
  <c r="E466" i="7"/>
  <c r="E548" i="7"/>
  <c r="F549" i="7"/>
  <c r="E406" i="7"/>
  <c r="F407" i="7"/>
  <c r="F501" i="7"/>
  <c r="E500" i="7"/>
  <c r="N474" i="7"/>
  <c r="N473" i="7"/>
  <c r="K523" i="7"/>
  <c r="N523" i="7" s="1"/>
  <c r="K526" i="7"/>
  <c r="N526" i="7" s="1"/>
  <c r="F526" i="7"/>
  <c r="K525" i="7"/>
  <c r="N525" i="7" s="1"/>
  <c r="F523" i="7"/>
  <c r="K522" i="7"/>
  <c r="N522" i="7" s="1"/>
  <c r="F502" i="7" l="1"/>
  <c r="E501" i="7"/>
  <c r="E407" i="7"/>
  <c r="F408" i="7"/>
  <c r="E549" i="7"/>
  <c r="F550" i="7"/>
  <c r="F468" i="7"/>
  <c r="E467" i="7"/>
  <c r="N524" i="7"/>
  <c r="D41" i="9" s="1"/>
  <c r="N455" i="7"/>
  <c r="N521" i="7"/>
  <c r="D40" i="9"/>
  <c r="K110" i="7"/>
  <c r="N110" i="7" s="1"/>
  <c r="K107" i="7"/>
  <c r="N107" i="7" s="1"/>
  <c r="K108" i="7"/>
  <c r="N108" i="7" s="1"/>
  <c r="K109" i="7"/>
  <c r="N109" i="7" s="1"/>
  <c r="K106" i="7"/>
  <c r="N106" i="7" s="1"/>
  <c r="F469" i="7" l="1"/>
  <c r="E468" i="7"/>
  <c r="E550" i="7"/>
  <c r="F551" i="7"/>
  <c r="F409" i="7"/>
  <c r="E408" i="7"/>
  <c r="F503" i="7"/>
  <c r="E502" i="7"/>
  <c r="D38" i="9"/>
  <c r="F38" i="9" s="1"/>
  <c r="F504" i="7" l="1"/>
  <c r="E503" i="7"/>
  <c r="E409" i="7"/>
  <c r="F410" i="7"/>
  <c r="E551" i="7"/>
  <c r="F552" i="7"/>
  <c r="F470" i="7"/>
  <c r="E469" i="7"/>
  <c r="F471" i="7" l="1"/>
  <c r="E470" i="7"/>
  <c r="E552" i="7"/>
  <c r="F553" i="7"/>
  <c r="F411" i="7"/>
  <c r="E410" i="7"/>
  <c r="F505" i="7"/>
  <c r="E504" i="7"/>
  <c r="F506" i="7" l="1"/>
  <c r="E505" i="7"/>
  <c r="E553" i="7"/>
  <c r="F554" i="7"/>
  <c r="F412" i="7"/>
  <c r="E411" i="7"/>
  <c r="F472" i="7"/>
  <c r="E471" i="7"/>
  <c r="F473" i="7" l="1"/>
  <c r="E472" i="7"/>
  <c r="E554" i="7"/>
  <c r="F555" i="7"/>
  <c r="F413" i="7"/>
  <c r="E412" i="7"/>
  <c r="F507" i="7"/>
  <c r="E506" i="7"/>
  <c r="F508" i="7" l="1"/>
  <c r="E507" i="7"/>
  <c r="E413" i="7"/>
  <c r="F414" i="7"/>
  <c r="E555" i="7"/>
  <c r="F556" i="7"/>
  <c r="F474" i="7"/>
  <c r="E473" i="7"/>
  <c r="F475" i="7" l="1"/>
  <c r="E474" i="7"/>
  <c r="E556" i="7"/>
  <c r="F557" i="7"/>
  <c r="E414" i="7"/>
  <c r="F415" i="7"/>
  <c r="F509" i="7"/>
  <c r="E508" i="7"/>
  <c r="F510" i="7" l="1"/>
  <c r="E509" i="7"/>
  <c r="E557" i="7"/>
  <c r="F558" i="7"/>
  <c r="E415" i="7"/>
  <c r="F416" i="7"/>
  <c r="E475" i="7"/>
  <c r="F476" i="7"/>
  <c r="E558" i="7" l="1"/>
  <c r="F559" i="7"/>
  <c r="E476" i="7"/>
  <c r="F477" i="7"/>
  <c r="F417" i="7"/>
  <c r="E416" i="7"/>
  <c r="F511" i="7"/>
  <c r="E510" i="7"/>
  <c r="E477" i="7" l="1"/>
  <c r="F478" i="7"/>
  <c r="E559" i="7"/>
  <c r="F560" i="7"/>
  <c r="F512" i="7"/>
  <c r="E511" i="7"/>
  <c r="F418" i="7"/>
  <c r="E417" i="7"/>
  <c r="F513" i="7" l="1"/>
  <c r="E512" i="7"/>
  <c r="E560" i="7"/>
  <c r="F561" i="7"/>
  <c r="F479" i="7"/>
  <c r="E478" i="7"/>
  <c r="F419" i="7"/>
  <c r="E418" i="7"/>
  <c r="E479" i="7" l="1"/>
  <c r="F480" i="7"/>
  <c r="E561" i="7"/>
  <c r="F562" i="7"/>
  <c r="E419" i="7"/>
  <c r="F420" i="7"/>
  <c r="F514" i="7"/>
  <c r="E513" i="7"/>
  <c r="E420" i="7" l="1"/>
  <c r="F421" i="7"/>
  <c r="E562" i="7"/>
  <c r="F563" i="7"/>
  <c r="E480" i="7"/>
  <c r="F481" i="7"/>
  <c r="F515" i="7"/>
  <c r="E514" i="7"/>
  <c r="E481" i="7" l="1"/>
  <c r="F482" i="7"/>
  <c r="E563" i="7"/>
  <c r="F564" i="7"/>
  <c r="F422" i="7"/>
  <c r="E421" i="7"/>
  <c r="F516" i="7"/>
  <c r="E515" i="7"/>
  <c r="E564" i="7" l="1"/>
  <c r="F565" i="7"/>
  <c r="E482" i="7"/>
  <c r="F483" i="7"/>
  <c r="F517" i="7"/>
  <c r="E516" i="7"/>
  <c r="F423" i="7"/>
  <c r="E422" i="7"/>
  <c r="E483" i="7" l="1"/>
  <c r="F484" i="7"/>
  <c r="E565" i="7"/>
  <c r="F566" i="7"/>
  <c r="F424" i="7"/>
  <c r="E423" i="7"/>
  <c r="F518" i="7"/>
  <c r="E517" i="7"/>
  <c r="E518" i="7" l="1"/>
  <c r="F519" i="7"/>
  <c r="F425" i="7"/>
  <c r="E424" i="7"/>
  <c r="E566" i="7"/>
  <c r="F567" i="7"/>
  <c r="E484" i="7"/>
  <c r="F485" i="7"/>
  <c r="E485" i="7" l="1"/>
  <c r="F486" i="7"/>
  <c r="E425" i="7"/>
  <c r="F426" i="7"/>
  <c r="E567" i="7"/>
  <c r="F568" i="7"/>
  <c r="E519" i="7"/>
  <c r="F520" i="7"/>
  <c r="E520" i="7" s="1"/>
  <c r="K10" i="7"/>
  <c r="N10" i="7" s="1"/>
  <c r="E568" i="7" l="1"/>
  <c r="F569" i="7"/>
  <c r="E486" i="7"/>
  <c r="F487" i="7"/>
  <c r="E487" i="7" s="1"/>
  <c r="F427" i="7"/>
  <c r="E426" i="7"/>
  <c r="N102" i="7"/>
  <c r="F444" i="7"/>
  <c r="E444" i="7" s="1"/>
  <c r="F431" i="7"/>
  <c r="E431" i="7" s="1"/>
  <c r="E427" i="7" l="1"/>
  <c r="F428" i="7"/>
  <c r="E428" i="7" s="1"/>
  <c r="E569" i="7"/>
  <c r="F570" i="7"/>
  <c r="F445" i="7"/>
  <c r="E445" i="7" s="1"/>
  <c r="F432" i="7"/>
  <c r="E432" i="7" s="1"/>
  <c r="F571" i="7" l="1"/>
  <c r="E570" i="7"/>
  <c r="F446" i="7"/>
  <c r="E446" i="7" s="1"/>
  <c r="F433" i="7"/>
  <c r="E433" i="7" s="1"/>
  <c r="F447" i="7" l="1"/>
  <c r="E447" i="7" s="1"/>
  <c r="F434" i="7"/>
  <c r="E434" i="7" s="1"/>
  <c r="F448" i="7" l="1"/>
  <c r="E448" i="7" s="1"/>
  <c r="F435" i="7"/>
  <c r="E435" i="7" s="1"/>
  <c r="F449" i="7" l="1"/>
  <c r="E449" i="7" s="1"/>
  <c r="F436" i="7"/>
  <c r="E436" i="7" s="1"/>
  <c r="F450" i="7" l="1"/>
  <c r="E450" i="7" s="1"/>
  <c r="F437" i="7"/>
  <c r="E437" i="7" s="1"/>
  <c r="F289" i="7"/>
  <c r="E289" i="7" s="1"/>
  <c r="F451" i="7" l="1"/>
  <c r="E451" i="7" s="1"/>
  <c r="F290" i="7"/>
  <c r="E290" i="7" s="1"/>
  <c r="F438" i="7"/>
  <c r="E438" i="7" s="1"/>
  <c r="F452" i="7" l="1"/>
  <c r="E452" i="7" s="1"/>
  <c r="F291" i="7"/>
  <c r="E291" i="7" s="1"/>
  <c r="F439" i="7"/>
  <c r="E439" i="7" s="1"/>
  <c r="F453" i="7" l="1"/>
  <c r="E453" i="7" s="1"/>
  <c r="F292" i="7"/>
  <c r="E292" i="7" s="1"/>
  <c r="F440" i="7"/>
  <c r="E440" i="7" s="1"/>
  <c r="F454" i="7" l="1"/>
  <c r="E454" i="7" s="1"/>
  <c r="F293" i="7"/>
  <c r="E293" i="7" s="1"/>
  <c r="F441" i="7"/>
  <c r="E441" i="7" s="1"/>
  <c r="F294" i="7" l="1"/>
  <c r="E294" i="7" s="1"/>
  <c r="F295" i="7" l="1"/>
  <c r="E295" i="7" s="1"/>
  <c r="F296" i="7" l="1"/>
  <c r="E296" i="7" s="1"/>
  <c r="F297" i="7" l="1"/>
  <c r="E297" i="7" s="1"/>
  <c r="F298" i="7" l="1"/>
  <c r="E298" i="7" l="1"/>
  <c r="F299" i="7"/>
  <c r="F375" i="7"/>
  <c r="E375" i="7" s="1"/>
  <c r="F346" i="7"/>
  <c r="E346" i="7" s="1"/>
  <c r="F335" i="7"/>
  <c r="E335" i="7" s="1"/>
  <c r="F324" i="7"/>
  <c r="E324" i="7" s="1"/>
  <c r="F305" i="7"/>
  <c r="E305" i="7" s="1"/>
  <c r="K286" i="7"/>
  <c r="N286" i="7" s="1"/>
  <c r="K285" i="7"/>
  <c r="N285" i="7" s="1"/>
  <c r="F285" i="7"/>
  <c r="E285" i="7" s="1"/>
  <c r="N284" i="7"/>
  <c r="K282" i="7"/>
  <c r="N282" i="7" s="1"/>
  <c r="K281" i="7"/>
  <c r="N281" i="7" s="1"/>
  <c r="K280" i="7"/>
  <c r="N280" i="7" s="1"/>
  <c r="K279" i="7"/>
  <c r="N279" i="7" s="1"/>
  <c r="K278" i="7"/>
  <c r="N278" i="7" s="1"/>
  <c r="K277" i="7"/>
  <c r="N277" i="7" s="1"/>
  <c r="K276" i="7"/>
  <c r="N276" i="7" s="1"/>
  <c r="K275" i="7"/>
  <c r="N275" i="7" s="1"/>
  <c r="K274" i="7"/>
  <c r="N274" i="7" s="1"/>
  <c r="K273" i="7"/>
  <c r="N273" i="7" s="1"/>
  <c r="F273" i="7"/>
  <c r="E273" i="7" s="1"/>
  <c r="K272" i="7"/>
  <c r="N272" i="7" s="1"/>
  <c r="K270" i="7"/>
  <c r="N270" i="7" s="1"/>
  <c r="N269" i="7" s="1"/>
  <c r="D15" i="9" s="1"/>
  <c r="N267" i="7"/>
  <c r="N266" i="7"/>
  <c r="F266" i="7"/>
  <c r="E266" i="7" s="1"/>
  <c r="K265" i="7"/>
  <c r="N265" i="7" s="1"/>
  <c r="K261" i="7"/>
  <c r="N261" i="7" s="1"/>
  <c r="K260" i="7"/>
  <c r="N260" i="7" s="1"/>
  <c r="K259" i="7"/>
  <c r="N259" i="7" s="1"/>
  <c r="K258" i="7"/>
  <c r="N258" i="7" s="1"/>
  <c r="K257" i="7"/>
  <c r="N257" i="7" s="1"/>
  <c r="K256" i="7"/>
  <c r="N256" i="7" s="1"/>
  <c r="K255" i="7"/>
  <c r="N255" i="7" s="1"/>
  <c r="K254" i="7"/>
  <c r="N254" i="7" s="1"/>
  <c r="K253" i="7"/>
  <c r="N253" i="7" s="1"/>
  <c r="K251" i="7"/>
  <c r="N251" i="7" s="1"/>
  <c r="F251" i="7"/>
  <c r="F252" i="7" s="1"/>
  <c r="E252" i="7" s="1"/>
  <c r="K250" i="7"/>
  <c r="N250" i="7" s="1"/>
  <c r="K240" i="7"/>
  <c r="N240" i="7" s="1"/>
  <c r="K238" i="7"/>
  <c r="F239" i="7"/>
  <c r="F240" i="7" s="1"/>
  <c r="E240" i="7" s="1"/>
  <c r="N207" i="7"/>
  <c r="K206" i="7"/>
  <c r="N206" i="7" s="1"/>
  <c r="K205" i="7"/>
  <c r="N205" i="7" s="1"/>
  <c r="K204" i="7"/>
  <c r="N204" i="7" s="1"/>
  <c r="K203" i="7"/>
  <c r="N203" i="7" s="1"/>
  <c r="K202" i="7"/>
  <c r="N202" i="7" s="1"/>
  <c r="K201" i="7"/>
  <c r="N201" i="7" s="1"/>
  <c r="K200" i="7"/>
  <c r="N200" i="7" s="1"/>
  <c r="K199" i="7"/>
  <c r="N199" i="7" s="1"/>
  <c r="K198" i="7"/>
  <c r="N198" i="7" s="1"/>
  <c r="K197" i="7"/>
  <c r="N197" i="7" s="1"/>
  <c r="K195" i="7"/>
  <c r="N195" i="7" s="1"/>
  <c r="K194" i="7"/>
  <c r="N194" i="7" s="1"/>
  <c r="K193" i="7"/>
  <c r="N193" i="7" s="1"/>
  <c r="K191" i="7"/>
  <c r="N191" i="7" s="1"/>
  <c r="K190" i="7"/>
  <c r="N190" i="7" s="1"/>
  <c r="K189" i="7"/>
  <c r="N189" i="7" s="1"/>
  <c r="K187" i="7"/>
  <c r="N187" i="7" s="1"/>
  <c r="K186" i="7"/>
  <c r="N186" i="7" s="1"/>
  <c r="K185" i="7"/>
  <c r="N185" i="7" s="1"/>
  <c r="K184" i="7"/>
  <c r="N184" i="7" s="1"/>
  <c r="K183" i="7"/>
  <c r="N183" i="7" s="1"/>
  <c r="K182" i="7"/>
  <c r="N182" i="7" s="1"/>
  <c r="K181" i="7"/>
  <c r="N181" i="7" s="1"/>
  <c r="K180" i="7"/>
  <c r="N180" i="7" s="1"/>
  <c r="K179" i="7"/>
  <c r="N179" i="7" s="1"/>
  <c r="K178" i="7"/>
  <c r="N178" i="7" s="1"/>
  <c r="K177" i="7"/>
  <c r="N177" i="7" s="1"/>
  <c r="K176" i="7"/>
  <c r="N176" i="7" s="1"/>
  <c r="K175" i="7"/>
  <c r="N175" i="7" s="1"/>
  <c r="K174" i="7"/>
  <c r="N174" i="7" s="1"/>
  <c r="K172" i="7"/>
  <c r="N172" i="7" s="1"/>
  <c r="K171" i="7"/>
  <c r="N171" i="7" s="1"/>
  <c r="K170" i="7"/>
  <c r="N170" i="7" s="1"/>
  <c r="K165" i="7"/>
  <c r="N165" i="7" s="1"/>
  <c r="K164" i="7"/>
  <c r="N164" i="7" s="1"/>
  <c r="K163" i="7"/>
  <c r="N163" i="7" s="1"/>
  <c r="K162" i="7"/>
  <c r="N162" i="7" s="1"/>
  <c r="K161" i="7"/>
  <c r="N161" i="7" s="1"/>
  <c r="K160" i="7"/>
  <c r="N160" i="7" s="1"/>
  <c r="K159" i="7"/>
  <c r="N159" i="7" s="1"/>
  <c r="K158" i="7"/>
  <c r="N158" i="7" s="1"/>
  <c r="K157" i="7"/>
  <c r="N157" i="7" s="1"/>
  <c r="K156" i="7"/>
  <c r="N156" i="7" s="1"/>
  <c r="K155" i="7"/>
  <c r="N155" i="7" s="1"/>
  <c r="K154" i="7"/>
  <c r="N154" i="7" s="1"/>
  <c r="K153" i="7"/>
  <c r="N153" i="7" s="1"/>
  <c r="K152" i="7"/>
  <c r="N152" i="7" s="1"/>
  <c r="K150" i="7"/>
  <c r="N150" i="7" s="1"/>
  <c r="K149" i="7"/>
  <c r="N149" i="7" s="1"/>
  <c r="K148" i="7"/>
  <c r="N148" i="7" s="1"/>
  <c r="F148" i="7"/>
  <c r="E148" i="7" s="1"/>
  <c r="K147" i="7"/>
  <c r="N147" i="7" s="1"/>
  <c r="K143" i="7"/>
  <c r="N143" i="7" s="1"/>
  <c r="N142" i="7" s="1"/>
  <c r="D6" i="9" s="1"/>
  <c r="N141" i="7"/>
  <c r="N140" i="7" s="1"/>
  <c r="K97" i="7"/>
  <c r="N97" i="7" s="1"/>
  <c r="K96" i="7"/>
  <c r="N96" i="7" s="1"/>
  <c r="K95" i="7"/>
  <c r="N95" i="7" s="1"/>
  <c r="K94" i="7"/>
  <c r="N94" i="7" s="1"/>
  <c r="K93" i="7"/>
  <c r="N93" i="7" s="1"/>
  <c r="K91" i="7"/>
  <c r="N91" i="7" s="1"/>
  <c r="K90" i="7"/>
  <c r="N90" i="7" s="1"/>
  <c r="K89" i="7"/>
  <c r="N89" i="7" s="1"/>
  <c r="K88" i="7"/>
  <c r="N88" i="7" s="1"/>
  <c r="K87" i="7"/>
  <c r="N87" i="7" s="1"/>
  <c r="K86" i="7"/>
  <c r="N86" i="7" s="1"/>
  <c r="K85" i="7"/>
  <c r="N85" i="7" s="1"/>
  <c r="K84" i="7"/>
  <c r="N84" i="7" s="1"/>
  <c r="K83" i="7"/>
  <c r="N83" i="7" s="1"/>
  <c r="K82" i="7"/>
  <c r="N82" i="7" s="1"/>
  <c r="K81" i="7"/>
  <c r="N81" i="7" s="1"/>
  <c r="K80" i="7"/>
  <c r="N80" i="7" s="1"/>
  <c r="K79" i="7"/>
  <c r="N79" i="7" s="1"/>
  <c r="K78" i="7"/>
  <c r="N78" i="7" s="1"/>
  <c r="K77" i="7"/>
  <c r="N77" i="7" s="1"/>
  <c r="K76" i="7"/>
  <c r="N76" i="7" s="1"/>
  <c r="K75" i="7"/>
  <c r="N75" i="7" s="1"/>
  <c r="K74" i="7"/>
  <c r="K73" i="7"/>
  <c r="K72" i="7"/>
  <c r="N72" i="7" s="1"/>
  <c r="K71" i="7"/>
  <c r="N71" i="7" s="1"/>
  <c r="K70" i="7"/>
  <c r="N70" i="7" s="1"/>
  <c r="K69" i="7"/>
  <c r="N69" i="7" s="1"/>
  <c r="K68" i="7"/>
  <c r="N68" i="7" s="1"/>
  <c r="K67" i="7"/>
  <c r="N67" i="7" s="1"/>
  <c r="N65" i="7"/>
  <c r="N64" i="7"/>
  <c r="K63" i="7"/>
  <c r="N63" i="7" s="1"/>
  <c r="K62" i="7"/>
  <c r="N62" i="7" s="1"/>
  <c r="N61" i="7"/>
  <c r="K60" i="7"/>
  <c r="N60" i="7" s="1"/>
  <c r="N59" i="7"/>
  <c r="N58" i="7"/>
  <c r="N56" i="7"/>
  <c r="N54" i="7"/>
  <c r="N53" i="7"/>
  <c r="N52" i="7"/>
  <c r="N51" i="7"/>
  <c r="N50" i="7"/>
  <c r="N49" i="7"/>
  <c r="N48" i="7"/>
  <c r="K47" i="7"/>
  <c r="N47" i="7" s="1"/>
  <c r="K46" i="7"/>
  <c r="N46" i="7" s="1"/>
  <c r="K45" i="7"/>
  <c r="N45" i="7" s="1"/>
  <c r="K44" i="7"/>
  <c r="N44" i="7" s="1"/>
  <c r="K43" i="7"/>
  <c r="N43" i="7" s="1"/>
  <c r="K42" i="7"/>
  <c r="N42" i="7" s="1"/>
  <c r="K41" i="7"/>
  <c r="N41" i="7" s="1"/>
  <c r="K40" i="7"/>
  <c r="N40" i="7" s="1"/>
  <c r="K39" i="7"/>
  <c r="N39" i="7" s="1"/>
  <c r="K38" i="7"/>
  <c r="N38" i="7" s="1"/>
  <c r="K37" i="7"/>
  <c r="N37" i="7" s="1"/>
  <c r="K29" i="7"/>
  <c r="N29" i="7" s="1"/>
  <c r="K28" i="7"/>
  <c r="N28" i="7" s="1"/>
  <c r="K27" i="7"/>
  <c r="N27" i="7" s="1"/>
  <c r="N26" i="7"/>
  <c r="K25" i="7"/>
  <c r="N25" i="7" s="1"/>
  <c r="K24" i="7"/>
  <c r="N24" i="7" s="1"/>
  <c r="K23" i="7"/>
  <c r="N23" i="7" s="1"/>
  <c r="K22" i="7"/>
  <c r="N22" i="7" s="1"/>
  <c r="K21" i="7"/>
  <c r="N21" i="7" s="1"/>
  <c r="K20" i="7"/>
  <c r="N20" i="7" s="1"/>
  <c r="K16" i="7"/>
  <c r="N16" i="7" s="1"/>
  <c r="K15" i="7"/>
  <c r="N15" i="7" s="1"/>
  <c r="K11" i="7"/>
  <c r="N11" i="7" s="1"/>
  <c r="K9" i="7"/>
  <c r="N9" i="7" s="1"/>
  <c r="K8" i="7"/>
  <c r="N8" i="7" s="1"/>
  <c r="K7" i="7"/>
  <c r="N7" i="7" s="1"/>
  <c r="K6" i="7"/>
  <c r="N6" i="7" s="1"/>
  <c r="K5" i="7"/>
  <c r="N5" i="7" s="1"/>
  <c r="K4" i="7"/>
  <c r="N4" i="7" s="1"/>
  <c r="F4" i="7"/>
  <c r="F5" i="7" s="1"/>
  <c r="K3" i="7"/>
  <c r="N3" i="7" s="1"/>
  <c r="E3" i="7"/>
  <c r="F300" i="7" l="1"/>
  <c r="E299" i="7"/>
  <c r="N271" i="7"/>
  <c r="N237" i="7"/>
  <c r="N264" i="7"/>
  <c r="N2" i="7"/>
  <c r="N283" i="7"/>
  <c r="N249" i="7"/>
  <c r="N146" i="7"/>
  <c r="E239" i="7"/>
  <c r="D5" i="9"/>
  <c r="F5" i="9" s="1"/>
  <c r="E238" i="7"/>
  <c r="D12" i="9"/>
  <c r="E251" i="7"/>
  <c r="D17" i="9"/>
  <c r="D16" i="9"/>
  <c r="F267" i="7"/>
  <c r="F274" i="7"/>
  <c r="E274" i="7" s="1"/>
  <c r="F286" i="7"/>
  <c r="E286" i="7" s="1"/>
  <c r="F347" i="7"/>
  <c r="E347" i="7" s="1"/>
  <c r="F376" i="7"/>
  <c r="E376" i="7" s="1"/>
  <c r="F149" i="7"/>
  <c r="E149" i="7" s="1"/>
  <c r="F325" i="7"/>
  <c r="E325" i="7" s="1"/>
  <c r="F336" i="7"/>
  <c r="E336" i="7" s="1"/>
  <c r="E4" i="7"/>
  <c r="F306" i="7"/>
  <c r="E306" i="7" s="1"/>
  <c r="F6" i="7"/>
  <c r="E5" i="7"/>
  <c r="F301" i="7" l="1"/>
  <c r="E300" i="7"/>
  <c r="D13" i="9"/>
  <c r="D14" i="9"/>
  <c r="D2" i="9"/>
  <c r="F2" i="9" s="1"/>
  <c r="D8" i="9"/>
  <c r="F8" i="9" s="1"/>
  <c r="D10" i="9"/>
  <c r="D11" i="9"/>
  <c r="F11" i="9" s="1"/>
  <c r="E267" i="7"/>
  <c r="F268" i="7"/>
  <c r="E268" i="7" s="1"/>
  <c r="F348" i="7"/>
  <c r="E348" i="7" s="1"/>
  <c r="F326" i="7"/>
  <c r="E326" i="7" s="1"/>
  <c r="F150" i="7"/>
  <c r="F337" i="7"/>
  <c r="E337" i="7" s="1"/>
  <c r="F253" i="7"/>
  <c r="E253" i="7" s="1"/>
  <c r="F275" i="7"/>
  <c r="E275" i="7" s="1"/>
  <c r="F377" i="7"/>
  <c r="E377" i="7" s="1"/>
  <c r="F307" i="7"/>
  <c r="E307" i="7" s="1"/>
  <c r="F7" i="7"/>
  <c r="E6" i="7"/>
  <c r="F302" i="7" l="1"/>
  <c r="E302" i="7" s="1"/>
  <c r="E301" i="7"/>
  <c r="E150" i="7"/>
  <c r="F151" i="7"/>
  <c r="E151" i="7" s="1"/>
  <c r="F55" i="9"/>
  <c r="F56" i="9" s="1"/>
  <c r="F57" i="9" s="1"/>
  <c r="F59" i="9" s="1"/>
  <c r="F349" i="7"/>
  <c r="E349" i="7" s="1"/>
  <c r="F327" i="7"/>
  <c r="E327" i="7" s="1"/>
  <c r="F254" i="7"/>
  <c r="F378" i="7"/>
  <c r="E378" i="7" s="1"/>
  <c r="F338" i="7"/>
  <c r="E338" i="7" s="1"/>
  <c r="F276" i="7"/>
  <c r="E276" i="7" s="1"/>
  <c r="F308" i="7"/>
  <c r="E308" i="7" s="1"/>
  <c r="E7" i="7"/>
  <c r="F8" i="7"/>
  <c r="F241" i="7" l="1"/>
  <c r="E241" i="7" s="1"/>
  <c r="F350" i="7"/>
  <c r="E350" i="7" s="1"/>
  <c r="F328" i="7"/>
  <c r="E328" i="7" s="1"/>
  <c r="F152" i="7"/>
  <c r="E152" i="7" s="1"/>
  <c r="F255" i="7"/>
  <c r="E255" i="7" s="1"/>
  <c r="E254" i="7"/>
  <c r="F379" i="7"/>
  <c r="E379" i="7" s="1"/>
  <c r="F277" i="7"/>
  <c r="E277" i="7" s="1"/>
  <c r="F339" i="7"/>
  <c r="E339" i="7" s="1"/>
  <c r="F309" i="7"/>
  <c r="E309" i="7" s="1"/>
  <c r="F9" i="7"/>
  <c r="E8" i="7"/>
  <c r="F242" i="7" l="1"/>
  <c r="F243" i="7" s="1"/>
  <c r="F329" i="7"/>
  <c r="E329" i="7" s="1"/>
  <c r="F351" i="7"/>
  <c r="E351" i="7" s="1"/>
  <c r="F153" i="7"/>
  <c r="E153" i="7" s="1"/>
  <c r="F256" i="7"/>
  <c r="F340" i="7"/>
  <c r="E340" i="7" s="1"/>
  <c r="F278" i="7"/>
  <c r="E278" i="7" s="1"/>
  <c r="F380" i="7"/>
  <c r="E380" i="7" s="1"/>
  <c r="F310" i="7"/>
  <c r="E310" i="7" s="1"/>
  <c r="F10" i="7"/>
  <c r="E9" i="7"/>
  <c r="E242" i="7" l="1"/>
  <c r="E243" i="7"/>
  <c r="F244" i="7"/>
  <c r="F330" i="7"/>
  <c r="E330" i="7" s="1"/>
  <c r="F352" i="7"/>
  <c r="E352" i="7" s="1"/>
  <c r="F154" i="7"/>
  <c r="E154" i="7" s="1"/>
  <c r="E256" i="7"/>
  <c r="F257" i="7"/>
  <c r="F279" i="7"/>
  <c r="E279" i="7" s="1"/>
  <c r="F341" i="7"/>
  <c r="E341" i="7" s="1"/>
  <c r="F381" i="7"/>
  <c r="E381" i="7" s="1"/>
  <c r="F311" i="7"/>
  <c r="E311" i="7" s="1"/>
  <c r="F11" i="7"/>
  <c r="F12" i="7" s="1"/>
  <c r="F13" i="7" s="1"/>
  <c r="E10" i="7"/>
  <c r="E244" i="7" l="1"/>
  <c r="F245" i="7"/>
  <c r="E13" i="7"/>
  <c r="F14" i="7"/>
  <c r="E12" i="7"/>
  <c r="F331" i="7"/>
  <c r="E331" i="7" s="1"/>
  <c r="F353" i="7"/>
  <c r="E353" i="7" s="1"/>
  <c r="F155" i="7"/>
  <c r="E155" i="7" s="1"/>
  <c r="E257" i="7"/>
  <c r="F258" i="7"/>
  <c r="F342" i="7"/>
  <c r="E342" i="7" s="1"/>
  <c r="F280" i="7"/>
  <c r="E280" i="7" s="1"/>
  <c r="F382" i="7"/>
  <c r="E382" i="7" s="1"/>
  <c r="F312" i="7"/>
  <c r="E312" i="7" s="1"/>
  <c r="E11" i="7"/>
  <c r="E245" i="7" l="1"/>
  <c r="F246" i="7"/>
  <c r="E14" i="7"/>
  <c r="F15" i="7"/>
  <c r="E15" i="7" s="1"/>
  <c r="F354" i="7"/>
  <c r="E354" i="7" s="1"/>
  <c r="F332" i="7"/>
  <c r="E332" i="7" s="1"/>
  <c r="F156" i="7"/>
  <c r="E156" i="7" s="1"/>
  <c r="E258" i="7"/>
  <c r="F259" i="7"/>
  <c r="F383" i="7"/>
  <c r="E383" i="7" s="1"/>
  <c r="F281" i="7"/>
  <c r="E281" i="7" s="1"/>
  <c r="F343" i="7"/>
  <c r="E343" i="7" s="1"/>
  <c r="F313" i="7"/>
  <c r="E313" i="7" s="1"/>
  <c r="E246" i="7" l="1"/>
  <c r="F247" i="7"/>
  <c r="F355" i="7"/>
  <c r="E355" i="7" s="1"/>
  <c r="F157" i="7"/>
  <c r="E157" i="7" s="1"/>
  <c r="E259" i="7"/>
  <c r="F260" i="7"/>
  <c r="F282" i="7"/>
  <c r="E282" i="7" s="1"/>
  <c r="F384" i="7"/>
  <c r="E384" i="7" s="1"/>
  <c r="F314" i="7"/>
  <c r="E314" i="7" s="1"/>
  <c r="E247" i="7" l="1"/>
  <c r="F248" i="7"/>
  <c r="E248" i="7" s="1"/>
  <c r="F356" i="7"/>
  <c r="E356" i="7" s="1"/>
  <c r="F158" i="7"/>
  <c r="E158" i="7" s="1"/>
  <c r="E260" i="7"/>
  <c r="F261" i="7"/>
  <c r="F262" i="7" s="1"/>
  <c r="F385" i="7"/>
  <c r="F315" i="7"/>
  <c r="E315" i="7" s="1"/>
  <c r="E262" i="7" l="1"/>
  <c r="F263" i="7"/>
  <c r="E263" i="7" s="1"/>
  <c r="E261" i="7"/>
  <c r="F357" i="7"/>
  <c r="E357" i="7" s="1"/>
  <c r="E385" i="7"/>
  <c r="F386" i="7"/>
  <c r="E386" i="7" s="1"/>
  <c r="F159" i="7"/>
  <c r="E159" i="7" s="1"/>
  <c r="F316" i="7"/>
  <c r="E316" i="7" s="1"/>
  <c r="F358" i="7" l="1"/>
  <c r="E358" i="7" s="1"/>
  <c r="F160" i="7"/>
  <c r="E160" i="7" s="1"/>
  <c r="F317" i="7"/>
  <c r="E317" i="7" s="1"/>
  <c r="F16" i="7"/>
  <c r="F17" i="7" l="1"/>
  <c r="F359" i="7"/>
  <c r="E359" i="7" s="1"/>
  <c r="F161" i="7"/>
  <c r="E161" i="7" s="1"/>
  <c r="F318" i="7"/>
  <c r="E318" i="7" s="1"/>
  <c r="E17" i="7" l="1"/>
  <c r="F18" i="7"/>
  <c r="E18" i="7" s="1"/>
  <c r="F360" i="7"/>
  <c r="E360" i="7" s="1"/>
  <c r="F162" i="7"/>
  <c r="E162" i="7" s="1"/>
  <c r="F319" i="7"/>
  <c r="E319" i="7" s="1"/>
  <c r="F19" i="7" l="1"/>
  <c r="E19" i="7" s="1"/>
  <c r="F361" i="7"/>
  <c r="E361" i="7" s="1"/>
  <c r="F163" i="7"/>
  <c r="E163" i="7" s="1"/>
  <c r="F320" i="7"/>
  <c r="E320" i="7" s="1"/>
  <c r="F20" i="7" l="1"/>
  <c r="F21" i="7" s="1"/>
  <c r="F362" i="7"/>
  <c r="E362" i="7" s="1"/>
  <c r="F164" i="7"/>
  <c r="E164" i="7" s="1"/>
  <c r="F321" i="7"/>
  <c r="E321" i="7" s="1"/>
  <c r="E16" i="7"/>
  <c r="E20" i="7" l="1"/>
  <c r="F22" i="7"/>
  <c r="E21" i="7"/>
  <c r="F363" i="7"/>
  <c r="E363" i="7" s="1"/>
  <c r="F165" i="7"/>
  <c r="E165" i="7" l="1"/>
  <c r="F166" i="7"/>
  <c r="F23" i="7"/>
  <c r="E22" i="7"/>
  <c r="F364" i="7"/>
  <c r="E364" i="7" s="1"/>
  <c r="F24" i="7" l="1"/>
  <c r="E23" i="7"/>
  <c r="F365" i="7"/>
  <c r="E365" i="7" s="1"/>
  <c r="F167" i="7" l="1"/>
  <c r="E166" i="7"/>
  <c r="F25" i="7"/>
  <c r="E24" i="7"/>
  <c r="F366" i="7"/>
  <c r="E366" i="7" s="1"/>
  <c r="E167" i="7" l="1"/>
  <c r="F168" i="7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E25" i="7"/>
  <c r="F26" i="7"/>
  <c r="F367" i="7"/>
  <c r="E367" i="7" s="1"/>
  <c r="F231" i="7" l="1"/>
  <c r="E230" i="7"/>
  <c r="E169" i="7"/>
  <c r="E168" i="7"/>
  <c r="F27" i="7"/>
  <c r="E26" i="7"/>
  <c r="F368" i="7"/>
  <c r="E368" i="7" s="1"/>
  <c r="F232" i="7" l="1"/>
  <c r="E231" i="7"/>
  <c r="E170" i="7"/>
  <c r="F28" i="7"/>
  <c r="E27" i="7"/>
  <c r="F369" i="7"/>
  <c r="E369" i="7" s="1"/>
  <c r="F233" i="7" l="1"/>
  <c r="E233" i="7" s="1"/>
  <c r="E232" i="7"/>
  <c r="E171" i="7"/>
  <c r="F29" i="7"/>
  <c r="F30" i="7" s="1"/>
  <c r="E28" i="7"/>
  <c r="F370" i="7"/>
  <c r="E370" i="7" s="1"/>
  <c r="F31" i="7" l="1"/>
  <c r="E30" i="7"/>
  <c r="F36" i="7"/>
  <c r="E29" i="7"/>
  <c r="E172" i="7"/>
  <c r="F38" i="7"/>
  <c r="F39" i="7" s="1"/>
  <c r="F371" i="7"/>
  <c r="E371" i="7" s="1"/>
  <c r="E31" i="7" l="1"/>
  <c r="F32" i="7"/>
  <c r="E173" i="7"/>
  <c r="E38" i="7"/>
  <c r="F40" i="7"/>
  <c r="E39" i="7"/>
  <c r="F372" i="7"/>
  <c r="E372" i="7" s="1"/>
  <c r="E32" i="7" l="1"/>
  <c r="F33" i="7"/>
  <c r="E174" i="7"/>
  <c r="E40" i="7"/>
  <c r="F41" i="7"/>
  <c r="F34" i="7" l="1"/>
  <c r="E33" i="7"/>
  <c r="E175" i="7"/>
  <c r="F42" i="7"/>
  <c r="E41" i="7"/>
  <c r="F35" i="7" l="1"/>
  <c r="E35" i="7" s="1"/>
  <c r="E34" i="7"/>
  <c r="E176" i="7"/>
  <c r="E42" i="7"/>
  <c r="F43" i="7"/>
  <c r="E177" i="7" l="1"/>
  <c r="F44" i="7"/>
  <c r="E43" i="7"/>
  <c r="E178" i="7" l="1"/>
  <c r="F45" i="7"/>
  <c r="E44" i="7"/>
  <c r="E179" i="7" l="1"/>
  <c r="F46" i="7"/>
  <c r="E45" i="7"/>
  <c r="E180" i="7" l="1"/>
  <c r="E46" i="7"/>
  <c r="F47" i="7"/>
  <c r="E181" i="7" l="1"/>
  <c r="F48" i="7"/>
  <c r="E47" i="7"/>
  <c r="E182" i="7" l="1"/>
  <c r="E48" i="7"/>
  <c r="F49" i="7"/>
  <c r="E183" i="7" l="1"/>
  <c r="E49" i="7"/>
  <c r="F50" i="7"/>
  <c r="E184" i="7" l="1"/>
  <c r="F51" i="7"/>
  <c r="E50" i="7"/>
  <c r="E185" i="7" l="1"/>
  <c r="F52" i="7"/>
  <c r="E51" i="7"/>
  <c r="E186" i="7" l="1"/>
  <c r="F53" i="7"/>
  <c r="E52" i="7"/>
  <c r="E187" i="7" l="1"/>
  <c r="E53" i="7"/>
  <c r="F54" i="7"/>
  <c r="E188" i="7" l="1"/>
  <c r="F55" i="7"/>
  <c r="E54" i="7"/>
  <c r="E189" i="7" l="1"/>
  <c r="E55" i="7"/>
  <c r="F56" i="7"/>
  <c r="E190" i="7" l="1"/>
  <c r="F57" i="7"/>
  <c r="E56" i="7"/>
  <c r="E191" i="7" l="1"/>
  <c r="E57" i="7"/>
  <c r="F58" i="7"/>
  <c r="E192" i="7" l="1"/>
  <c r="E58" i="7"/>
  <c r="F59" i="7"/>
  <c r="E193" i="7" l="1"/>
  <c r="E59" i="7"/>
  <c r="F60" i="7"/>
  <c r="E194" i="7" l="1"/>
  <c r="E60" i="7"/>
  <c r="F61" i="7"/>
  <c r="E195" i="7" l="1"/>
  <c r="E61" i="7"/>
  <c r="F62" i="7"/>
  <c r="E196" i="7" l="1"/>
  <c r="F63" i="7"/>
  <c r="E62" i="7"/>
  <c r="E197" i="7" l="1"/>
  <c r="F64" i="7"/>
  <c r="E63" i="7"/>
  <c r="E198" i="7" l="1"/>
  <c r="F65" i="7"/>
  <c r="E64" i="7"/>
  <c r="E199" i="7" l="1"/>
  <c r="F66" i="7"/>
  <c r="E65" i="7"/>
  <c r="E200" i="7" l="1"/>
  <c r="E66" i="7"/>
  <c r="F67" i="7"/>
  <c r="E201" i="7" l="1"/>
  <c r="F68" i="7"/>
  <c r="E67" i="7"/>
  <c r="E202" i="7" l="1"/>
  <c r="E68" i="7"/>
  <c r="F69" i="7"/>
  <c r="E203" i="7" l="1"/>
  <c r="F70" i="7"/>
  <c r="E69" i="7"/>
  <c r="E204" i="7" l="1"/>
  <c r="E70" i="7"/>
  <c r="F71" i="7"/>
  <c r="E205" i="7" l="1"/>
  <c r="F72" i="7"/>
  <c r="E71" i="7"/>
  <c r="E206" i="7" l="1"/>
  <c r="E72" i="7"/>
  <c r="F73" i="7"/>
  <c r="E207" i="7" l="1"/>
  <c r="F74" i="7"/>
  <c r="E73" i="7"/>
  <c r="E208" i="7" l="1"/>
  <c r="F75" i="7"/>
  <c r="E74" i="7"/>
  <c r="E209" i="7" l="1"/>
  <c r="E75" i="7"/>
  <c r="F76" i="7"/>
  <c r="E210" i="7" l="1"/>
  <c r="E76" i="7"/>
  <c r="F77" i="7"/>
  <c r="E211" i="7" l="1"/>
  <c r="F78" i="7"/>
  <c r="E77" i="7"/>
  <c r="E212" i="7" l="1"/>
  <c r="F79" i="7"/>
  <c r="E78" i="7"/>
  <c r="E213" i="7" l="1"/>
  <c r="E79" i="7"/>
  <c r="F80" i="7"/>
  <c r="E214" i="7" l="1"/>
  <c r="F81" i="7"/>
  <c r="E80" i="7"/>
  <c r="E215" i="7" l="1"/>
  <c r="F82" i="7"/>
  <c r="E81" i="7"/>
  <c r="E216" i="7" l="1"/>
  <c r="F83" i="7"/>
  <c r="E82" i="7"/>
  <c r="E217" i="7" l="1"/>
  <c r="E83" i="7"/>
  <c r="F84" i="7"/>
  <c r="E218" i="7" l="1"/>
  <c r="F85" i="7"/>
  <c r="E84" i="7"/>
  <c r="E219" i="7" l="1"/>
  <c r="F86" i="7"/>
  <c r="E85" i="7"/>
  <c r="E220" i="7" l="1"/>
  <c r="E86" i="7"/>
  <c r="F87" i="7"/>
  <c r="E221" i="7" l="1"/>
  <c r="E87" i="7"/>
  <c r="F88" i="7"/>
  <c r="E222" i="7" l="1"/>
  <c r="F89" i="7"/>
  <c r="E88" i="7"/>
  <c r="E223" i="7" l="1"/>
  <c r="F90" i="7"/>
  <c r="E89" i="7"/>
  <c r="E224" i="7" l="1"/>
  <c r="F91" i="7"/>
  <c r="E90" i="7"/>
  <c r="E225" i="7" l="1"/>
  <c r="F92" i="7"/>
  <c r="E91" i="7"/>
  <c r="E226" i="7" l="1"/>
  <c r="F93" i="7"/>
  <c r="E92" i="7"/>
  <c r="E227" i="7" l="1"/>
  <c r="F94" i="7"/>
  <c r="E93" i="7"/>
  <c r="E228" i="7" l="1"/>
  <c r="F95" i="7"/>
  <c r="E94" i="7"/>
  <c r="E229" i="7" l="1"/>
  <c r="F96" i="7"/>
  <c r="E95" i="7"/>
  <c r="F97" i="7" l="1"/>
  <c r="E96" i="7"/>
  <c r="F98" i="7" l="1"/>
  <c r="E97" i="7"/>
  <c r="F99" i="7" l="1"/>
  <c r="E98" i="7"/>
  <c r="F100" i="7" l="1"/>
  <c r="E99" i="7"/>
  <c r="F101" i="7" l="1"/>
  <c r="E100" i="7"/>
  <c r="F102" i="7" l="1"/>
  <c r="E101" i="7"/>
  <c r="F103" i="7" l="1"/>
  <c r="E102" i="7"/>
  <c r="E103" i="7" l="1"/>
  <c r="F104" i="7"/>
  <c r="F105" i="7" l="1"/>
  <c r="E104" i="7"/>
  <c r="E105" i="7" l="1"/>
  <c r="F106" i="7"/>
  <c r="F107" i="7" l="1"/>
  <c r="E106" i="7"/>
  <c r="F108" i="7" l="1"/>
  <c r="E107" i="7"/>
  <c r="F109" i="7" l="1"/>
  <c r="E108" i="7"/>
  <c r="F110" i="7" l="1"/>
  <c r="E109" i="7"/>
  <c r="F111" i="7" l="1"/>
  <c r="E110" i="7"/>
  <c r="F112" i="7" l="1"/>
  <c r="E111" i="7"/>
  <c r="F113" i="7" l="1"/>
  <c r="E112" i="7"/>
  <c r="F114" i="7" l="1"/>
  <c r="E113" i="7"/>
  <c r="F115" i="7" l="1"/>
  <c r="E114" i="7"/>
  <c r="F116" i="7" l="1"/>
  <c r="E115" i="7"/>
  <c r="F117" i="7" l="1"/>
  <c r="E116" i="7"/>
  <c r="F118" i="7" l="1"/>
  <c r="E117" i="7"/>
  <c r="F119" i="7" l="1"/>
  <c r="E118" i="7"/>
  <c r="F120" i="7" l="1"/>
  <c r="E119" i="7"/>
  <c r="F121" i="7" l="1"/>
  <c r="E120" i="7"/>
  <c r="E121" i="7" l="1"/>
  <c r="F122" i="7"/>
  <c r="E122" i="7" l="1"/>
  <c r="F123" i="7"/>
  <c r="F124" i="7" l="1"/>
  <c r="E123" i="7"/>
  <c r="F125" i="7" l="1"/>
  <c r="E124" i="7"/>
  <c r="E125" i="7" l="1"/>
  <c r="F126" i="7"/>
  <c r="F127" i="7" l="1"/>
  <c r="E126" i="7"/>
  <c r="E127" i="7" l="1"/>
  <c r="F128" i="7"/>
  <c r="E128" i="7" l="1"/>
  <c r="F129" i="7"/>
  <c r="F130" i="7" l="1"/>
  <c r="E129" i="7"/>
  <c r="F131" i="7" l="1"/>
  <c r="E130" i="7"/>
  <c r="E131" i="7" l="1"/>
  <c r="F132" i="7"/>
  <c r="E132" i="7" l="1"/>
  <c r="F133" i="7"/>
  <c r="F134" i="7" l="1"/>
  <c r="E133" i="7"/>
  <c r="F135" i="7" l="1"/>
  <c r="E134" i="7"/>
  <c r="E135" i="7" l="1"/>
  <c r="F136" i="7"/>
  <c r="E136" i="7" l="1"/>
  <c r="F137" i="7"/>
  <c r="E137" i="7" l="1"/>
  <c r="F138" i="7"/>
  <c r="F139" i="7" l="1"/>
  <c r="E138" i="7"/>
  <c r="E13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tc={A673FCDD-E191-4E34-A626-D35EB367539F}</author>
  </authors>
  <commentList>
    <comment ref="C3" authorId="0" shapeId="0" xr:uid="{00000000-0006-0000-03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@易旺 @万大鹏 三级板需要定义一下端口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<sst xmlns="http://schemas.openxmlformats.org/spreadsheetml/2006/main" count="6427" uniqueCount="2518">
  <si>
    <r>
      <rPr>
        <sz val="10.5"/>
        <color rgb="FF000000"/>
        <rFont val="Calibri"/>
        <family val="2"/>
      </rPr>
      <t xml:space="preserve">
</t>
    </r>
    <r>
      <rPr>
        <sz val="10.5"/>
        <color rgb="FF000000"/>
        <rFont val="Calibri"/>
        <family val="2"/>
      </rPr>
      <t xml:space="preserve">                                                 
</t>
    </r>
    <r>
      <rPr>
        <sz val="10.5"/>
        <color rgb="FF000000"/>
        <rFont val="Calibri"/>
        <family val="2"/>
      </rPr>
      <t xml:space="preserve">               </t>
    </r>
    <r>
      <rPr>
        <sz val="25.5"/>
        <color rgb="FF000000"/>
        <rFont val="Calibri"/>
        <family val="2"/>
      </rPr>
      <t>BMS2.0</t>
    </r>
    <r>
      <rPr>
        <b/>
        <sz val="25.5"/>
        <color rgb="FF000000"/>
        <rFont val="Calibri"/>
        <family val="2"/>
      </rPr>
      <t xml:space="preserve">控制器通信矩阵
</t>
    </r>
    <r>
      <rPr>
        <sz val="10.5"/>
        <color rgb="FF000000"/>
        <rFont val="Calibri"/>
        <family val="2"/>
      </rPr>
      <t xml:space="preserve">   
                </t>
    </r>
    <r>
      <rPr>
        <sz val="18"/>
        <color rgb="FF000000"/>
        <rFont val="Calibri"/>
        <family val="2"/>
      </rPr>
      <t xml:space="preserve">项目名称：
          编    制：                       
          校    对：
          审    核：
          批    准：
</t>
    </r>
    <r>
      <rPr>
        <sz val="10.5"/>
        <color rgb="FF000000"/>
        <rFont val="Calibri"/>
        <family val="2"/>
      </rPr>
      <t xml:space="preserve"> 
</t>
    </r>
    <r>
      <rPr>
        <sz val="15.75"/>
        <color rgb="FF000000"/>
        <rFont val="Calibri"/>
        <family val="2"/>
      </rPr>
      <t xml:space="preserve">                     2024年08月
</t>
    </r>
    <r>
      <rPr>
        <sz val="10.5"/>
        <color rgb="FF000000"/>
        <rFont val="Calibri"/>
        <family val="2"/>
      </rPr>
      <t xml:space="preserve">                                </t>
    </r>
    <r>
      <rPr>
        <sz val="13.5"/>
        <color rgb="FF000000"/>
        <rFont val="Calibri"/>
        <family val="2"/>
      </rPr>
      <t xml:space="preserve">           </t>
    </r>
    <r>
      <rPr>
        <sz val="15.75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     </t>
    </r>
  </si>
  <si>
    <r>
      <rPr>
        <b/>
        <sz val="9.75"/>
        <color rgb="FF000000"/>
        <rFont val="Calibri"/>
        <family val="2"/>
      </rPr>
      <t xml:space="preserve">说明：
</t>
    </r>
    <r>
      <rPr>
        <sz val="9.75"/>
        <color rgb="FF000000"/>
        <rFont val="Calibri"/>
        <family val="2"/>
      </rPr>
      <t>Big Endian 大端：一个数值的最高有效字节存放在最低的内存地址上
LSB (Least Significant Bit): 最低有效位, 最右边的一位, 从右到左发送</t>
    </r>
  </si>
  <si>
    <r>
      <rPr>
        <b/>
        <sz val="9.75"/>
        <color rgb="FF000000"/>
        <rFont val="Calibri"/>
        <family val="2"/>
      </rPr>
      <t xml:space="preserve">Message Periodic Time (ms)
</t>
    </r>
    <r>
      <rPr>
        <b/>
        <sz val="9.75"/>
        <color rgb="FF000000"/>
        <rFont val="Calibri"/>
        <family val="2"/>
      </rPr>
      <t>报文周期时间</t>
    </r>
  </si>
  <si>
    <r>
      <rPr>
        <sz val="9.75"/>
        <color rgb="FF000000"/>
        <rFont val="Calibri"/>
        <family val="2"/>
      </rPr>
      <t>单位：毫秒（</t>
    </r>
    <r>
      <rPr>
        <sz val="9.75"/>
        <color rgb="FF000000"/>
        <rFont val="Calibri"/>
        <family val="2"/>
      </rPr>
      <t>ms</t>
    </r>
    <r>
      <rPr>
        <sz val="9.75"/>
        <color rgb="FF000000"/>
        <rFont val="Calibri"/>
        <family val="2"/>
      </rPr>
      <t>）</t>
    </r>
  </si>
  <si>
    <r>
      <rPr>
        <b/>
        <sz val="9.75"/>
        <color rgb="FF000000"/>
        <rFont val="Calibri"/>
        <family val="2"/>
      </rPr>
      <t xml:space="preserve">Resolution
</t>
    </r>
    <r>
      <rPr>
        <b/>
        <sz val="9.75"/>
        <color rgb="FF000000"/>
        <rFont val="Calibri"/>
        <family val="2"/>
      </rPr>
      <t>精度</t>
    </r>
  </si>
  <si>
    <r>
      <rPr>
        <sz val="9.75"/>
        <color rgb="FF000000"/>
        <rFont val="Calibri"/>
        <family val="2"/>
      </rPr>
      <t xml:space="preserve">Used to Transform the Hex Value to Physical Value or in Reverse Direction.
[Physical Value] = ( [Hex Value] * [Resolution] ) + [Offset]
</t>
    </r>
    <r>
      <rPr>
        <sz val="9.75"/>
        <color rgb="FF000000"/>
        <rFont val="Calibri"/>
        <family val="2"/>
      </rPr>
      <t xml:space="preserve">用于十六进制和物理值间的相互转换。
</t>
    </r>
    <r>
      <rPr>
        <sz val="9.75"/>
        <color rgb="FF000000"/>
        <rFont val="Calibri"/>
        <family val="2"/>
      </rPr>
      <t>[</t>
    </r>
    <r>
      <rPr>
        <sz val="9.75"/>
        <color rgb="FF000000"/>
        <rFont val="Calibri"/>
        <family val="2"/>
      </rPr>
      <t>物理值</t>
    </r>
    <r>
      <rPr>
        <sz val="9.75"/>
        <color rgb="FF000000"/>
        <rFont val="Calibri"/>
        <family val="2"/>
      </rPr>
      <t>] = ( [</t>
    </r>
    <r>
      <rPr>
        <sz val="9.75"/>
        <color rgb="FF000000"/>
        <rFont val="Calibri"/>
        <family val="2"/>
      </rPr>
      <t>十六进制值</t>
    </r>
    <r>
      <rPr>
        <sz val="9.75"/>
        <color rgb="FF000000"/>
        <rFont val="Calibri"/>
        <family val="2"/>
      </rPr>
      <t>] * [</t>
    </r>
    <r>
      <rPr>
        <sz val="9.75"/>
        <color rgb="FF000000"/>
        <rFont val="Calibri"/>
        <family val="2"/>
      </rPr>
      <t>精度</t>
    </r>
    <r>
      <rPr>
        <sz val="9.75"/>
        <color rgb="FF000000"/>
        <rFont val="Calibri"/>
        <family val="2"/>
      </rPr>
      <t>] ) + [</t>
    </r>
    <r>
      <rPr>
        <sz val="9.75"/>
        <color rgb="FF000000"/>
        <rFont val="Calibri"/>
        <family val="2"/>
      </rPr>
      <t>偏移量</t>
    </r>
    <r>
      <rPr>
        <sz val="9.75"/>
        <color rgb="FF000000"/>
        <rFont val="Calibri"/>
        <family val="2"/>
      </rPr>
      <t>]</t>
    </r>
  </si>
  <si>
    <r>
      <rPr>
        <b/>
        <sz val="9.75"/>
        <color rgb="FF000000"/>
        <rFont val="Calibri"/>
        <family val="2"/>
      </rPr>
      <t xml:space="preserve">Unit
</t>
    </r>
    <r>
      <rPr>
        <b/>
        <sz val="9.75"/>
        <color rgb="FF000000"/>
        <rFont val="Calibri"/>
        <family val="2"/>
      </rPr>
      <t>单位</t>
    </r>
  </si>
  <si>
    <r>
      <rPr>
        <sz val="9.75"/>
        <color rgb="FF000000"/>
        <rFont val="Calibri"/>
        <family val="2"/>
      </rPr>
      <t xml:space="preserve">Unit of the signal physical Value
</t>
    </r>
    <r>
      <rPr>
        <sz val="9.75"/>
        <color rgb="FF000000"/>
        <rFont val="Calibri"/>
        <family val="2"/>
      </rPr>
      <t>信号物理值的单位</t>
    </r>
  </si>
  <si>
    <r>
      <rPr>
        <b/>
        <sz val="9.75"/>
        <color rgb="FF000000"/>
        <rFont val="Calibri"/>
        <family val="2"/>
      </rPr>
      <t xml:space="preserve">Bit
</t>
    </r>
    <r>
      <rPr>
        <b/>
        <sz val="9.75"/>
        <color rgb="FF000000"/>
        <rFont val="Calibri"/>
        <family val="2"/>
      </rPr>
      <t>位</t>
    </r>
  </si>
  <si>
    <r>
      <rPr>
        <b/>
        <sz val="9.75"/>
        <color rgb="FF000000"/>
        <rFont val="Calibri"/>
        <family val="2"/>
      </rPr>
      <t xml:space="preserve">Offset
</t>
    </r>
    <r>
      <rPr>
        <b/>
        <sz val="9.75"/>
        <color rgb="FF000000"/>
        <rFont val="Calibri"/>
        <family val="2"/>
      </rPr>
      <t>偏移量</t>
    </r>
  </si>
  <si>
    <r>
      <rPr>
        <sz val="9.75"/>
        <color rgb="FF000000"/>
        <rFont val="Calibri"/>
        <family val="2"/>
      </rPr>
      <t xml:space="preserve">Offset Value of the Signal.
</t>
    </r>
    <r>
      <rPr>
        <sz val="9.75"/>
        <color rgb="FF000000"/>
        <rFont val="Calibri"/>
        <family val="2"/>
      </rPr>
      <t>信号的偏移量。</t>
    </r>
  </si>
  <si>
    <r>
      <rPr>
        <sz val="9.75"/>
        <color rgb="FF000000"/>
        <rFont val="Calibri"/>
        <family val="2"/>
      </rPr>
      <t xml:space="preserve">Predefined Value If no valid signal is Available after Network Startup.
</t>
    </r>
    <r>
      <rPr>
        <sz val="9.75"/>
        <color rgb="FF000000"/>
        <rFont val="Calibri"/>
        <family val="2"/>
      </rPr>
      <t>网络启动后没有可用的有效值而预定义的值</t>
    </r>
  </si>
  <si>
    <r>
      <rPr>
        <sz val="9.75"/>
        <color rgb="FF000000"/>
        <rFont val="Calibri"/>
        <family val="2"/>
      </rPr>
      <t xml:space="preserve">Hex-Physics Representation of the Signal Value
</t>
    </r>
    <r>
      <rPr>
        <sz val="9.75"/>
        <color rgb="FF000000"/>
        <rFont val="Calibri"/>
        <family val="2"/>
      </rPr>
      <t>信号十六进制值所代表的物理值</t>
    </r>
  </si>
  <si>
    <r>
      <rPr>
        <sz val="9.75"/>
        <color rgb="FF000000"/>
        <rFont val="Calibri"/>
        <family val="2"/>
      </rPr>
      <t xml:space="preserve">The Fast Periodic Time of Message if the Send Type is not Periodic.
</t>
    </r>
    <r>
      <rPr>
        <sz val="9.75"/>
        <color rgb="FF000000"/>
        <rFont val="Calibri"/>
        <family val="2"/>
      </rPr>
      <t>若报文非周期发送而定义的快速发送周期。</t>
    </r>
  </si>
  <si>
    <r>
      <rPr>
        <b/>
        <sz val="9.75"/>
        <color rgb="FF000000"/>
        <rFont val="Calibri"/>
        <family val="2"/>
      </rPr>
      <t xml:space="preserve">Property
</t>
    </r>
    <r>
      <rPr>
        <b/>
        <sz val="9.75"/>
        <color rgb="FF000000"/>
        <rFont val="Calibri"/>
        <family val="2"/>
      </rPr>
      <t>属性</t>
    </r>
  </si>
  <si>
    <r>
      <rPr>
        <b/>
        <sz val="9.75"/>
        <color rgb="FF000000"/>
        <rFont val="Calibri"/>
        <family val="2"/>
      </rPr>
      <t xml:space="preserve">Description
</t>
    </r>
    <r>
      <rPr>
        <b/>
        <sz val="9.75"/>
        <color rgb="FF000000"/>
        <rFont val="Calibri"/>
        <family val="2"/>
      </rPr>
      <t>描述</t>
    </r>
  </si>
  <si>
    <r>
      <rPr>
        <sz val="9.75"/>
        <color rgb="FF000000"/>
        <rFont val="Calibri"/>
        <family val="2"/>
      </rPr>
      <t>例：</t>
    </r>
    <r>
      <rPr>
        <sz val="9.75"/>
        <color rgb="FF000000"/>
        <rFont val="Calibri"/>
        <family val="2"/>
      </rPr>
      <t>RBMS_CellV</t>
    </r>
    <r>
      <rPr>
        <sz val="9.75"/>
        <color rgb="FF000000"/>
        <rFont val="Calibri"/>
        <family val="2"/>
      </rPr>
      <t>表示</t>
    </r>
    <r>
      <rPr>
        <sz val="9.75"/>
        <color rgb="FF000000"/>
        <rFont val="Calibri"/>
        <family val="2"/>
      </rPr>
      <t>RBMS</t>
    </r>
    <r>
      <rPr>
        <sz val="9.75"/>
        <color rgb="FF000000"/>
        <rFont val="Calibri"/>
        <family val="2"/>
      </rPr>
      <t>发送的</t>
    </r>
    <r>
      <rPr>
        <sz val="9.75"/>
        <color rgb="FF000000"/>
        <rFont val="Calibri"/>
        <family val="2"/>
      </rPr>
      <t>CellV</t>
    </r>
    <r>
      <rPr>
        <sz val="9.75"/>
        <color rgb="FF000000"/>
        <rFont val="Calibri"/>
        <family val="2"/>
      </rPr>
      <t>报文</t>
    </r>
  </si>
  <si>
    <r>
      <t xml:space="preserve">Byte/Bit Order
</t>
    </r>
    <r>
      <rPr>
        <b/>
        <sz val="9.75"/>
        <color rgb="FF000000"/>
        <rFont val="Calibri"/>
        <family val="2"/>
      </rPr>
      <t>排列格式</t>
    </r>
  </si>
  <si>
    <r>
      <rPr>
        <sz val="9.75"/>
        <color rgb="FF000000"/>
        <rFont val="Calibri"/>
        <family val="2"/>
      </rPr>
      <t>Periodic:</t>
    </r>
    <r>
      <rPr>
        <sz val="9.75"/>
        <color rgb="FF000000"/>
        <rFont val="Calibri"/>
        <family val="2"/>
      </rPr>
      <t>固定周期发送</t>
    </r>
    <r>
      <rPr>
        <sz val="9.75"/>
        <color rgb="FF000000"/>
        <rFont val="Calibri"/>
        <family val="2"/>
      </rPr>
      <t>;
Event:</t>
    </r>
    <r>
      <rPr>
        <sz val="9.75"/>
        <color rgb="FF000000"/>
        <rFont val="Calibri"/>
        <family val="2"/>
      </rPr>
      <t>事件未触发时不发送，事件触发时按快速周期发送</t>
    </r>
    <r>
      <rPr>
        <sz val="9.75"/>
        <color rgb="FF000000"/>
        <rFont val="Calibri"/>
        <family val="2"/>
      </rPr>
      <t>N</t>
    </r>
    <r>
      <rPr>
        <sz val="9.75"/>
        <color rgb="FF000000"/>
        <rFont val="Calibri"/>
        <family val="2"/>
      </rPr>
      <t>次，快速发送周期默认</t>
    </r>
    <r>
      <rPr>
        <sz val="9.75"/>
        <color rgb="FF000000"/>
        <rFont val="Calibri"/>
        <family val="2"/>
      </rPr>
      <t>50ms</t>
    </r>
    <r>
      <rPr>
        <sz val="9.75"/>
        <color rgb="FF000000"/>
        <rFont val="Calibri"/>
        <family val="2"/>
      </rPr>
      <t>，发送次数默认</t>
    </r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次</t>
    </r>
    <r>
      <rPr>
        <sz val="9.75"/>
        <color rgb="FF000000"/>
        <rFont val="Calibri"/>
        <family val="2"/>
      </rPr>
      <t>;
IfActive:1.</t>
    </r>
    <r>
      <rPr>
        <sz val="9.75"/>
        <color rgb="FF000000"/>
        <rFont val="Calibri"/>
        <family val="2"/>
      </rPr>
      <t>未触发时固定周期发送，触发后以较快周期发送；</t>
    </r>
    <r>
      <rPr>
        <sz val="9.75"/>
        <color rgb="FF000000"/>
        <rFont val="Calibri"/>
        <family val="2"/>
      </rPr>
      <t>2.</t>
    </r>
    <r>
      <rPr>
        <sz val="9.75"/>
        <color rgb="FF000000"/>
        <rFont val="Calibri"/>
        <family val="2"/>
      </rPr>
      <t>未触发时不发送，触发后以固定周期发送</t>
    </r>
    <r>
      <rPr>
        <sz val="9.75"/>
        <color rgb="FF000000"/>
        <rFont val="Calibri"/>
        <family val="2"/>
      </rPr>
      <t>;
PE:</t>
    </r>
    <r>
      <rPr>
        <sz val="9.75"/>
        <color rgb="FF000000"/>
        <rFont val="Calibri"/>
        <family val="2"/>
      </rPr>
      <t>事件未触发时按固定周期发送，事件触发时按快速周期发送</t>
    </r>
    <r>
      <rPr>
        <sz val="9.75"/>
        <color rgb="FF000000"/>
        <rFont val="Calibri"/>
        <family val="2"/>
      </rPr>
      <t>N</t>
    </r>
    <r>
      <rPr>
        <sz val="9.75"/>
        <color rgb="FF000000"/>
        <rFont val="Calibri"/>
        <family val="2"/>
      </rPr>
      <t>次，快速发送周期默认</t>
    </r>
    <r>
      <rPr>
        <sz val="9.75"/>
        <color rgb="FF000000"/>
        <rFont val="Calibri"/>
        <family val="2"/>
      </rPr>
      <t>50ms</t>
    </r>
    <r>
      <rPr>
        <sz val="9.75"/>
        <color rgb="FF000000"/>
        <rFont val="Calibri"/>
        <family val="2"/>
      </rPr>
      <t>，发送次数默认</t>
    </r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次</t>
    </r>
    <r>
      <rPr>
        <sz val="9.75"/>
        <color rgb="FF000000"/>
        <rFont val="Calibri"/>
        <family val="2"/>
      </rPr>
      <t>;
On Request:</t>
    </r>
    <r>
      <rPr>
        <sz val="9.75"/>
        <color rgb="FF000000"/>
        <rFont val="Calibri"/>
        <family val="2"/>
      </rPr>
      <t>接收到请求后触发</t>
    </r>
    <r>
      <rPr>
        <sz val="9.75"/>
        <color rgb="FF000000"/>
        <rFont val="Calibri"/>
        <family val="2"/>
      </rPr>
      <t>;</t>
    </r>
  </si>
  <si>
    <r>
      <rPr>
        <sz val="9.75"/>
        <color rgb="FF000000"/>
        <rFont val="Calibri"/>
        <family val="2"/>
      </rPr>
      <t xml:space="preserve">The Repetition Number of Message if  the Send Type is not Periodic
</t>
    </r>
    <r>
      <rPr>
        <sz val="9.75"/>
        <color rgb="FF000000"/>
        <rFont val="Calibri"/>
        <family val="2"/>
      </rPr>
      <t>若报文非周期发送而定义的快速发送次数。</t>
    </r>
  </si>
  <si>
    <r>
      <rPr>
        <b/>
        <sz val="9.75"/>
        <color rgb="FF000000"/>
        <rFont val="Calibri"/>
        <family val="2"/>
      </rPr>
      <t xml:space="preserve">Signal Max. Value(phys)
</t>
    </r>
    <r>
      <rPr>
        <b/>
        <sz val="9.75"/>
        <color rgb="FF000000"/>
        <rFont val="Calibri"/>
        <family val="2"/>
      </rPr>
      <t>物理最大值</t>
    </r>
  </si>
  <si>
    <r>
      <rPr>
        <sz val="9.75"/>
        <color rgb="FF000000"/>
        <rFont val="Calibri"/>
        <family val="2"/>
      </rPr>
      <t xml:space="preserve">Physical maximum Value of the signal in physical Value
</t>
    </r>
    <r>
      <rPr>
        <sz val="9.75"/>
        <color rgb="FF000000"/>
        <rFont val="Calibri"/>
        <family val="2"/>
      </rPr>
      <t>信号的物理最大值</t>
    </r>
  </si>
  <si>
    <r>
      <rPr>
        <sz val="9.75"/>
        <color rgb="FF000000"/>
        <rFont val="Calibri"/>
        <family val="2"/>
      </rPr>
      <t xml:space="preserve">The Min Time between the Same Message if the Send Type is not Periodic
</t>
    </r>
    <r>
      <rPr>
        <sz val="9.75"/>
        <color rgb="FF000000"/>
        <rFont val="Calibri"/>
        <family val="2"/>
      </rPr>
      <t>若报文非周期发送，相同报文间的最小时间间隔。</t>
    </r>
  </si>
  <si>
    <r>
      <rPr>
        <b/>
        <sz val="9.75"/>
        <color rgb="FF000000"/>
        <rFont val="Calibri"/>
        <family val="2"/>
      </rPr>
      <t xml:space="preserve">Byte
</t>
    </r>
    <r>
      <rPr>
        <b/>
        <sz val="9.75"/>
        <color rgb="FF000000"/>
        <rFont val="Calibri"/>
        <family val="2"/>
      </rPr>
      <t>字节</t>
    </r>
  </si>
  <si>
    <r>
      <rPr>
        <b/>
        <sz val="9.75"/>
        <color rgb="FF000000"/>
        <rFont val="Calibri"/>
        <family val="2"/>
      </rPr>
      <t xml:space="preserve">Signal Send Type
</t>
    </r>
    <r>
      <rPr>
        <b/>
        <sz val="9.75"/>
        <color rgb="FF000000"/>
        <rFont val="Calibri"/>
        <family val="2"/>
      </rPr>
      <t>信号发送类型</t>
    </r>
  </si>
  <si>
    <r>
      <rPr>
        <b/>
        <sz val="9.75"/>
        <color rgb="FF000000"/>
        <rFont val="Calibri"/>
        <family val="2"/>
      </rPr>
      <t xml:space="preserve">Signal Min. Value (phys)
</t>
    </r>
    <r>
      <rPr>
        <b/>
        <sz val="9.75"/>
        <color rgb="FF000000"/>
        <rFont val="Calibri"/>
        <family val="2"/>
      </rPr>
      <t>物理最小值</t>
    </r>
  </si>
  <si>
    <r>
      <t xml:space="preserve">Physical Minimum Value of the Signal in Physical Value
</t>
    </r>
    <r>
      <rPr>
        <sz val="9.75"/>
        <color rgb="FF000000"/>
        <rFont val="Calibri"/>
        <family val="2"/>
      </rPr>
      <t>信号的物理最小值</t>
    </r>
  </si>
  <si>
    <r>
      <rPr>
        <b/>
        <sz val="9.75"/>
        <color rgb="FF000000"/>
        <rFont val="Calibri"/>
        <family val="2"/>
      </rPr>
      <t xml:space="preserve">Bit Length (Bit)
</t>
    </r>
    <r>
      <rPr>
        <b/>
        <sz val="9.75"/>
        <color rgb="FF000000"/>
        <rFont val="Calibri"/>
        <family val="2"/>
      </rPr>
      <t>信号长度</t>
    </r>
  </si>
  <si>
    <r>
      <rPr>
        <sz val="9.75"/>
        <color rgb="FF000000"/>
        <rFont val="Calibri"/>
        <family val="2"/>
      </rPr>
      <t xml:space="preserve">Raw maximum Value of the signal in physical Value
</t>
    </r>
    <r>
      <rPr>
        <sz val="9.75"/>
        <color rgb="FF000000"/>
        <rFont val="Calibri"/>
        <family val="2"/>
      </rPr>
      <t>信号的原始最大值</t>
    </r>
  </si>
  <si>
    <r>
      <rPr>
        <b/>
        <sz val="9.75"/>
        <color rgb="FF000000"/>
        <rFont val="Calibri"/>
        <family val="2"/>
      </rPr>
      <t xml:space="preserve">Signal Max. Value(Raw)
</t>
    </r>
    <r>
      <rPr>
        <b/>
        <sz val="9.75"/>
        <color rgb="FF000000"/>
        <rFont val="Calibri"/>
        <family val="2"/>
      </rPr>
      <t>原始最大值</t>
    </r>
  </si>
  <si>
    <r>
      <rPr>
        <b/>
        <sz val="9.75"/>
        <color rgb="FF000000"/>
        <rFont val="Calibri"/>
        <family val="2"/>
      </rPr>
      <t xml:space="preserve">Signal Name
</t>
    </r>
    <r>
      <rPr>
        <b/>
        <sz val="9.75"/>
        <color rgb="FF000000"/>
        <rFont val="Calibri"/>
        <family val="2"/>
      </rPr>
      <t>信号名称</t>
    </r>
  </si>
  <si>
    <r>
      <rPr>
        <sz val="9.75"/>
        <color rgb="FF000000"/>
        <rFont val="Calibri"/>
        <family val="2"/>
      </rPr>
      <t>例：</t>
    </r>
    <r>
      <rPr>
        <sz val="9.75"/>
        <color rgb="FF000000"/>
        <rFont val="Calibri"/>
        <family val="2"/>
      </rPr>
      <t>RBMS_Life</t>
    </r>
    <r>
      <rPr>
        <sz val="9.75"/>
        <color rgb="FF000000"/>
        <rFont val="Calibri"/>
        <family val="2"/>
      </rPr>
      <t>表示</t>
    </r>
    <r>
      <rPr>
        <sz val="9.75"/>
        <color rgb="FF000000"/>
        <rFont val="Calibri"/>
        <family val="2"/>
      </rPr>
      <t>RACK BMS</t>
    </r>
    <r>
      <rPr>
        <sz val="9.75"/>
        <color rgb="FF000000"/>
        <rFont val="Calibri"/>
        <family val="2"/>
      </rPr>
      <t>发送的生命值信号</t>
    </r>
  </si>
  <si>
    <r>
      <rPr>
        <b/>
        <sz val="9.75"/>
        <color rgb="FF000000"/>
        <rFont val="Calibri"/>
        <family val="2"/>
      </rPr>
      <t xml:space="preserve">Signal Description
</t>
    </r>
    <r>
      <rPr>
        <b/>
        <sz val="9.75"/>
        <color rgb="FF000000"/>
        <rFont val="Calibri"/>
        <family val="2"/>
      </rPr>
      <t>信号描述</t>
    </r>
  </si>
  <si>
    <r>
      <rPr>
        <sz val="9.75"/>
        <color rgb="FF000000"/>
        <rFont val="Calibri"/>
        <family val="2"/>
      </rPr>
      <t xml:space="preserve">Rack </t>
    </r>
    <r>
      <rPr>
        <sz val="9.75"/>
        <color rgb="FF000000"/>
        <rFont val="Calibri"/>
        <family val="2"/>
      </rPr>
      <t>概要数据(系统状态、高压状态、接插件温度、消防干接点、TMS、FCU、温湿度、水浸传感器；SOX、持续和瞬时功率、电压温度概要、故障和心跳信号；可充/放容量电量)</t>
    </r>
  </si>
  <si>
    <r>
      <rPr>
        <sz val="9.75"/>
        <color rgb="FF000000"/>
        <rFont val="Calibri"/>
        <family val="2"/>
      </rPr>
      <t xml:space="preserve">Cell Balancing State 
</t>
    </r>
    <r>
      <rPr>
        <sz val="9.75"/>
        <color rgb="FF000000"/>
        <rFont val="Calibri"/>
        <family val="2"/>
      </rPr>
      <t>电芯均衡状态</t>
    </r>
  </si>
  <si>
    <t>V1.0.0</t>
  </si>
  <si>
    <t>2024/8/12</t>
  </si>
  <si>
    <t>yiwang</t>
  </si>
  <si>
    <t>二、三级板数据协议首版</t>
  </si>
  <si>
    <t>V1.0.1</t>
  </si>
  <si>
    <t>2024/8/13</t>
  </si>
  <si>
    <t>xuc01</t>
  </si>
  <si>
    <t>1.combine array, such as CellV/CellT/Fault
2.delete reserved signals
3.delete RBMS_FDUSt1-8/RBMS_FCUSt/RBMS_FireSt
4.signal order change
5.add review comment
6.add formula to caculate Byte/StartBit</t>
  </si>
  <si>
    <t>V1.0.2</t>
  </si>
  <si>
    <t>2024/8/14</t>
  </si>
  <si>
    <t>zl</t>
  </si>
  <si>
    <t>1.change cell and temp send periodic from 5000(ms) to 1000(ms);
2.change cell balancing state send periodic from 10000(ms) to 1000(ms);
3.change cell self-discharge send periodic from 30000(ms) to 1000(ms);</t>
  </si>
  <si>
    <t>V1.0.3</t>
  </si>
  <si>
    <t>2024/9/4</t>
  </si>
  <si>
    <t>Legend
矩阵说明</t>
  </si>
  <si>
    <t>Requset
通信要求</t>
  </si>
  <si>
    <t>Message Name
报文名称</t>
  </si>
  <si>
    <t>Intel Little Endian/LSB</t>
  </si>
  <si>
    <t>Message Send Type
报文发送类型</t>
  </si>
  <si>
    <t>Data Type
数据类型</t>
  </si>
  <si>
    <t>Unsigned integer</t>
  </si>
  <si>
    <t>1-1500Byte</t>
  </si>
  <si>
    <t>8-1Bit</t>
  </si>
  <si>
    <t>Periodic
OnChange 
OnChangeWithRepetition
IfActive</t>
  </si>
  <si>
    <t>Initial Value(Hex)
初始值</t>
  </si>
  <si>
    <t>Signal Value Description
信号值描述</t>
  </si>
  <si>
    <t>Message Periodic Time Fast(ms)
报文的快速发送周期(ms)</t>
  </si>
  <si>
    <t>Message Nr. Of Reption
报文的快速发送次数</t>
  </si>
  <si>
    <t>Message Delay Time(ms)
报文延时时间(ms)</t>
  </si>
  <si>
    <t>BMS No.</t>
  </si>
  <si>
    <t>IP Address</t>
  </si>
  <si>
    <t>Bank BMS</t>
  </si>
  <si>
    <t>Rack BMS #1</t>
  </si>
  <si>
    <t>Rack BMS #2</t>
  </si>
  <si>
    <t>Rack BMS #3</t>
  </si>
  <si>
    <t>Rack BMS #4</t>
  </si>
  <si>
    <t>Rack BMS #5</t>
  </si>
  <si>
    <t>Rack BMS #6</t>
  </si>
  <si>
    <t>Rack BMS #7</t>
  </si>
  <si>
    <t>Rack BMS #8</t>
  </si>
  <si>
    <t>Rack BMS #9</t>
  </si>
  <si>
    <t>Rack BMS #10</t>
  </si>
  <si>
    <t>Rack BMS #11</t>
  </si>
  <si>
    <t>Rack BMS #12</t>
  </si>
  <si>
    <t xml:space="preserve"> cmdGroup</t>
  </si>
  <si>
    <t>cmdid</t>
  </si>
  <si>
    <t>RBMS_SumInfo</t>
  </si>
  <si>
    <t>Periodic</t>
  </si>
  <si>
    <t>0x02</t>
  </si>
  <si>
    <t>0x01</t>
  </si>
  <si>
    <t>/</t>
  </si>
  <si>
    <t>Rx</t>
  </si>
  <si>
    <t>Tx</t>
  </si>
  <si>
    <t>单体电芯自放电率</t>
  </si>
  <si>
    <t>RBMS故障列表</t>
  </si>
  <si>
    <t>BBMS_SumInfo</t>
  </si>
  <si>
    <t>Bank 概要数据</t>
  </si>
  <si>
    <t>BMS故障列表</t>
  </si>
  <si>
    <t>OnChange</t>
  </si>
  <si>
    <t>HMI_RackCaliCtrl</t>
  </si>
  <si>
    <t>Rack标定与控制</t>
  </si>
  <si>
    <t>Start Bit</t>
  </si>
  <si>
    <t>Bit Length (Bit)</t>
  </si>
  <si>
    <t>Resolution</t>
  </si>
  <si>
    <t>offset</t>
  </si>
  <si>
    <t>Signal Min. Value  (Valid)</t>
  </si>
  <si>
    <t>Signal Max. Value (Valid)</t>
  </si>
  <si>
    <t>RBMS_ChaSt</t>
  </si>
  <si>
    <t>模型逻辑不需要更新，仅更新显示</t>
  </si>
  <si>
    <t>Rack Operating Status
Rack运行状态</t>
  </si>
  <si>
    <t>Contactor Status
继电器/干接点状态</t>
  </si>
  <si>
    <t>RBMS_V</t>
  </si>
  <si>
    <t>V</t>
  </si>
  <si>
    <t>RBMS_DCBusV</t>
  </si>
  <si>
    <t>DC Bus Voltage (V)
总线电压 (V)</t>
  </si>
  <si>
    <t>A</t>
  </si>
  <si>
    <t>RBMS_IsoR</t>
  </si>
  <si>
    <t>kOhm</t>
  </si>
  <si>
    <t>℃</t>
  </si>
  <si>
    <t>RBMS_LowPowSply</t>
  </si>
  <si>
    <t>mV</t>
  </si>
  <si>
    <t>RBMS_RlyCtrlSeqStState</t>
  </si>
  <si>
    <t>SeCTSC_RlyCtrlSeqStState</t>
  </si>
  <si>
    <t>Bar</t>
  </si>
  <si>
    <t>kW</t>
  </si>
  <si>
    <t>RBMS_HisSleepTiWrMin</t>
  </si>
  <si>
    <t>Min</t>
  </si>
  <si>
    <t>RBMS_HisRunTiWrMin</t>
  </si>
  <si>
    <t>Rack History Run Time (min)
历史运行时间 (min)</t>
  </si>
  <si>
    <t>RBMS_LstSleepDurTiMin</t>
  </si>
  <si>
    <t>RBMS_IDLearnCodeSt</t>
  </si>
  <si>
    <t>RBMS_IsoRPos</t>
  </si>
  <si>
    <t>RBMS_IsoRNeg</t>
  </si>
  <si>
    <t>RBMS_CmdInhibitFlg</t>
  </si>
  <si>
    <t>RBMS_IslnHvVldNbr</t>
  </si>
  <si>
    <t>统一按照bit 长度设置最大值</t>
  </si>
  <si>
    <t>RBMS_SoC</t>
  </si>
  <si>
    <t>%</t>
  </si>
  <si>
    <t>发送显示SOC</t>
  </si>
  <si>
    <t>RBMS_SoH</t>
  </si>
  <si>
    <t>发送显示SOH</t>
  </si>
  <si>
    <t>RBMS_SoEC</t>
  </si>
  <si>
    <t>kWh</t>
  </si>
  <si>
    <t>RBMS_SoED</t>
  </si>
  <si>
    <t>RBMS_SoFPulseChrgCurr</t>
  </si>
  <si>
    <t>Pulse Charge Curr Limit (A)
脉冲充电电流限制 (A)</t>
  </si>
  <si>
    <t>RBMS_SoFPulseDisChrgCurr</t>
  </si>
  <si>
    <t>Pulse Discharge Curr Limit (A)
脉冲放电电流限制 (A)</t>
  </si>
  <si>
    <t>RBMS_SoFPulseChrgPwr</t>
  </si>
  <si>
    <t>Pulse Charge Power Limit (kW)
脉冲充电功率限制 (kW)</t>
  </si>
  <si>
    <t>RBMS_SoFPulseDisChrgPwr</t>
  </si>
  <si>
    <t>Pulse Discharge Power Limit (kW)
脉冲放电功率限制 (kW)</t>
  </si>
  <si>
    <t>RBMS_SoFContChrgCurr</t>
  </si>
  <si>
    <t>RBMS_SoFContDisChrgCurr</t>
  </si>
  <si>
    <t>RBMS_SoFContChrgPwr</t>
  </si>
  <si>
    <t>RBMS_SoFContDisChrgPwr</t>
  </si>
  <si>
    <t>Max Cell Voltage (mV)
最大电芯电压 (mV)</t>
  </si>
  <si>
    <t>Max Cell Voltage Position
最大电芯电压位置</t>
  </si>
  <si>
    <t>RBMS_CellVMin</t>
  </si>
  <si>
    <t>Min Cell Voltage (mV)
最小电芯电压 (mV)</t>
  </si>
  <si>
    <t>RBMS_CellVMinPstn</t>
  </si>
  <si>
    <t>Min Cell Voltage Position
最小电芯电压位置</t>
  </si>
  <si>
    <t>Min Module Temp Position
最低电芯温度位置</t>
  </si>
  <si>
    <t>RBMS_MaxPoleTIdxNbr</t>
  </si>
  <si>
    <t>RBMS_MinPoleTIdxNbr</t>
  </si>
  <si>
    <t>RBMS_MaxPoleTMdulIdxNbr</t>
  </si>
  <si>
    <t>RBMS_MinPoleTMdulIdxNbr</t>
  </si>
  <si>
    <t>0-65535</t>
  </si>
  <si>
    <t>RBMS_ResChAvlCapAh</t>
  </si>
  <si>
    <t>Ah</t>
  </si>
  <si>
    <t>RBMS_ResDischAvlCapAh</t>
  </si>
  <si>
    <t>RBMS_LstFullChCapAh</t>
  </si>
  <si>
    <t>RBMS_LstFullDischCapAh</t>
  </si>
  <si>
    <t>RBMS_CycNbr</t>
  </si>
  <si>
    <t>RBMS_AFEChipTmpMax</t>
  </si>
  <si>
    <t>RBMS_AFEChipTmpMin</t>
  </si>
  <si>
    <t>RBMS_IslnFinalBatV</t>
  </si>
  <si>
    <t>RBMS_IslnFinalPosV</t>
  </si>
  <si>
    <t>RBMS_IslnFinalNegV</t>
  </si>
  <si>
    <t>RBMS_IslnMeastStState</t>
  </si>
  <si>
    <t>RBMS_LstChEkWh</t>
  </si>
  <si>
    <t>RBMS_LstDchEkWh</t>
  </si>
  <si>
    <t>RBMS_BalBdTmpMax</t>
  </si>
  <si>
    <t>RBMS_BalBdTmpMin</t>
  </si>
  <si>
    <t>RBMS_RmngCellBalTiMax</t>
  </si>
  <si>
    <t>RBMS_RealSysSOHC</t>
  </si>
  <si>
    <t>songx0830：表格已有信号：替换名字为：RBMS_RealCellCapAh</t>
  </si>
  <si>
    <t>songx0830：是否需要考虑与RBMS_SysMinSOHC名称统一？</t>
  </si>
  <si>
    <t>RBMS_SysMaxSOC</t>
  </si>
  <si>
    <t>RBMS_SysMinSOC</t>
  </si>
  <si>
    <t>RBMS_AccuDisChrgAh</t>
  </si>
  <si>
    <t>三级板A核算法需求高精度容量</t>
  </si>
  <si>
    <t>RBMS_AccuDisChrgkWh</t>
  </si>
  <si>
    <t>上位机显示</t>
  </si>
  <si>
    <t>RBMS_AccuChrgAh</t>
  </si>
  <si>
    <t>RBMS_AccuChrgkWh</t>
  </si>
  <si>
    <t>RBMS_BMSMaxFltLevel</t>
  </si>
  <si>
    <t>songx0830：新增SOCA/SOHA算法输入信号</t>
  </si>
  <si>
    <t>RBMS_MaxCellVMdulTVldFlg</t>
  </si>
  <si>
    <t>flg</t>
  </si>
  <si>
    <t>RBMS_MinCellVMdulTVldFlg</t>
  </si>
  <si>
    <t>day</t>
  </si>
  <si>
    <t>1-52</t>
  </si>
  <si>
    <t>xuc 0826：三极板算法需求
Byte/Start Bit 需要根据宏定义的数组维度来确认</t>
  </si>
  <si>
    <t>53-884</t>
  </si>
  <si>
    <t>Byte/Start Bit 需要根据宏定义的数组维度来确认</t>
  </si>
  <si>
    <t>1-416</t>
  </si>
  <si>
    <t>%/month</t>
  </si>
  <si>
    <t>RBMS_Fault[200]</t>
  </si>
  <si>
    <t>RBMS Fault Array
RBMS故障数组</t>
  </si>
  <si>
    <t>1-25</t>
  </si>
  <si>
    <t>参考RBMS故障列表</t>
  </si>
  <si>
    <t>BBMS_ChSt</t>
  </si>
  <si>
    <t>Bank System Operating Status
Bank系统运行状态</t>
  </si>
  <si>
    <t>xuc 0828: EMCT模型逻辑做了，BBMS工程中未mapping，上位机Bank运行模式控制与Bank控制模式应该不能正确显示</t>
  </si>
  <si>
    <t>Bank Contactor Status
Bank接触器状态</t>
  </si>
  <si>
    <t>BBMS_SOC</t>
  </si>
  <si>
    <t>System SOC (%) 
系统SOC (%)</t>
  </si>
  <si>
    <t>BBMS_SOH</t>
  </si>
  <si>
    <t>System SOH (%) 
系统SOH (%)</t>
  </si>
  <si>
    <t>BBMS_MaxChrgE</t>
  </si>
  <si>
    <t>BBMS_MaxDisChrgE</t>
  </si>
  <si>
    <t>BBMS_MaxContChrgPower</t>
  </si>
  <si>
    <t>BBMS_Max60sChrgPower</t>
  </si>
  <si>
    <t>Pulse Charge Power Limit (kW) 
脉冲充电功率限制 (kW)</t>
  </si>
  <si>
    <t>BBMS_MaxContDisChrgPower</t>
  </si>
  <si>
    <t>BBMS_Max60sDisChrgPower</t>
  </si>
  <si>
    <t>Pulse Discharge Power Limit (kW) 
脉冲放电功率限制 (kW)</t>
  </si>
  <si>
    <t>BBMS_MaxContChrgCur</t>
  </si>
  <si>
    <t>BBMS_Max60sChrgCur</t>
  </si>
  <si>
    <t>Pulse Charge Curr Limit (A) 
脉冲充电电流限制 (A)</t>
  </si>
  <si>
    <t>BBMS_MaxContDisChrgCur</t>
  </si>
  <si>
    <t>BBMS_Max60sDisChrgCur</t>
  </si>
  <si>
    <t>Pulse Discharge Curr Limit (A) 
脉冲放电电流限制 (A)</t>
  </si>
  <si>
    <t>BBMS_WtrSt</t>
  </si>
  <si>
    <t>BBMS_StrCtrlHb</t>
  </si>
  <si>
    <t>Bank BMS Heartbeat
Bank BMS心跳信号</t>
  </si>
  <si>
    <t>BBMS_DCBusV</t>
  </si>
  <si>
    <t>DC Bus Voltage (V)
母线电压 (V)</t>
  </si>
  <si>
    <t>DC Bus Current (A)
母线电流 (A)</t>
  </si>
  <si>
    <t>xuc 0826: 最多36簇并联？电流最大多少？ 300*36=10800A？元器件可行性？</t>
  </si>
  <si>
    <t>BBMS_TotalPower</t>
  </si>
  <si>
    <t>Total Power (kW)
总功率 (kW)</t>
  </si>
  <si>
    <t>xuc 0826: 功率需要计算 1rack 1MWh，35Rack 36Mwh</t>
  </si>
  <si>
    <t>BBMS_MaxRackCur</t>
  </si>
  <si>
    <t>Max Rack Current (A)
最大Rack电流 (A)</t>
  </si>
  <si>
    <t>BBMS_MaxCurRackNr</t>
  </si>
  <si>
    <t>Max Current Rack Position
最大电流Rack位置</t>
  </si>
  <si>
    <t>BBMS_MinRackCur</t>
  </si>
  <si>
    <t>Min Rack Current (A)
最小Rack电流 (A)</t>
  </si>
  <si>
    <t>BBMS_MinCurRackNr</t>
  </si>
  <si>
    <t>Min Current Rack Position
最小电流Rack位置</t>
  </si>
  <si>
    <t>BBMS_MaxCellV</t>
  </si>
  <si>
    <t>BBMS_MaxVCellRackNr</t>
  </si>
  <si>
    <t>BBMS_MaxVCellTrayNr</t>
  </si>
  <si>
    <t>BBMS_MaxVCellNr</t>
  </si>
  <si>
    <t>BBMS_MinCellV</t>
  </si>
  <si>
    <t>BBMS_MinVCellRackNr</t>
  </si>
  <si>
    <t>BBMS_MinVCellTrayNr</t>
  </si>
  <si>
    <t>BBMS_MinVCellNr</t>
  </si>
  <si>
    <t>BBMS_AvgCellV</t>
  </si>
  <si>
    <t>Average Cell Voltage (mV)
平均电芯电压 (mV)</t>
  </si>
  <si>
    <t>BBMS_MaxTCellRackNr</t>
  </si>
  <si>
    <t>BBMS_MaxTCellTrayNr</t>
  </si>
  <si>
    <t>BBMS_MaxTCellNr</t>
  </si>
  <si>
    <t>BBMS_MinCellT</t>
  </si>
  <si>
    <t>BBMS_MinTCellRackNr</t>
  </si>
  <si>
    <t>BBMS_MinTCellTrayNr</t>
  </si>
  <si>
    <t>BBMS_MinTCellNr</t>
  </si>
  <si>
    <t>BBMS_AvgCellT</t>
  </si>
  <si>
    <t>BBMS_IDLearnFaiLocationNbr</t>
  </si>
  <si>
    <t>BBMS_IsoRPos</t>
  </si>
  <si>
    <t>BBMS_IsoRNeg</t>
  </si>
  <si>
    <t>BBMS_AccuChrgC</t>
  </si>
  <si>
    <t>BBMS_AccuChrgE</t>
  </si>
  <si>
    <t>BBMS_AccuDisChrgC</t>
  </si>
  <si>
    <t>BBMS_AccuDisChrgE</t>
  </si>
  <si>
    <t>BBMS_LstChEkWh</t>
  </si>
  <si>
    <t>BBMS_LstDchEkWh</t>
  </si>
  <si>
    <t>BBMS_Fault[200]</t>
  </si>
  <si>
    <t>BBMS Fault Array
BBMS故障数组</t>
  </si>
  <si>
    <t>参考BBMS故障列表</t>
  </si>
  <si>
    <t>BBMS_SetCon</t>
  </si>
  <si>
    <t>Connect/Disconnect String
连接/断开电池串</t>
  </si>
  <si>
    <t>0x0:NO REQ
0x1:NORMAL CONNECT
0x2:MANUAL CONNECT
0x3:DISCONNECT</t>
  </si>
  <si>
    <t>Enable/Disable Insulation Measurement 
使能/禁止绝缘检测</t>
  </si>
  <si>
    <t>0x0:空闲
0x1:使能
0x2:禁止
0x3:无效</t>
  </si>
  <si>
    <t>BBMS_LocRemCtl</t>
  </si>
  <si>
    <t>Bank heartbeat
Bank 心跳</t>
  </si>
  <si>
    <t>0-255</t>
  </si>
  <si>
    <t>HMI Control
HMI 控制指令</t>
  </si>
  <si>
    <t>0x0:空闲
0x1:清除
0x2:置位
0x3:无效</t>
  </si>
  <si>
    <t>HMI_EnaIsoManualCtrl</t>
  </si>
  <si>
    <t>HMI_IDLearnManualCtrl</t>
  </si>
  <si>
    <t>0x1:启动ID编码
Other: 不编码</t>
  </si>
  <si>
    <t>该信号仅BBMS有效，每次启动仅发送2帧后自动退出(模块通过上升沿识别)</t>
  </si>
  <si>
    <t>该信号仅BBMS有效</t>
  </si>
  <si>
    <t>HMI_EPORst</t>
  </si>
  <si>
    <t>EPO Reset
清除所有EPO</t>
  </si>
  <si>
    <t>HMI_AutoHvUpConf</t>
  </si>
  <si>
    <t>Auto Hv up configuration
自动上高压设置</t>
  </si>
  <si>
    <t>0xAA:启动自动上高压设置
Other: 非自动上高压</t>
  </si>
  <si>
    <t>HMI_IDLearnDoCtrl</t>
  </si>
  <si>
    <t>ID Learn DO控制信号，0x55 DO拉高；0xAA DO拉低</t>
  </si>
  <si>
    <t>HMI_LightManCtlNbr</t>
  </si>
  <si>
    <t>bit0: 强控绿灯
bit1: 强控红灯
bit2: 强控黄灯</t>
  </si>
  <si>
    <t>0x0:不走标定
0x1:全开
0x2:奇偶开
0x3:均衡强制关</t>
  </si>
  <si>
    <t>HMI_PCSComDiagConf</t>
  </si>
  <si>
    <t>HMI_TMSManCtrlMode</t>
  </si>
  <si>
    <t>Force Control TMS Operating Mode
强控TMS工作模式</t>
  </si>
  <si>
    <t>HMI_TMSManCtrlTempDegC</t>
  </si>
  <si>
    <t>Force Control TMS Operating Temperature
强控TMS工作温度</t>
  </si>
  <si>
    <t>HMI_TMSManCtrlEnaFlg</t>
  </si>
  <si>
    <t>Force Control TMS Enable Signal
强控TMS使能信号</t>
  </si>
  <si>
    <t>HMI_RSOXHistInfoIndicator</t>
  </si>
  <si>
    <t>0-默认，
1-标定累计充电容量，
2-标定累计充电能量，
3-标定累计放电容量，
4-标定累计放电能量
5-标定历史运行时间，
6-标定历史休眠时间</t>
  </si>
  <si>
    <t>HMI_RSOXHistAccuCaliVal</t>
  </si>
  <si>
    <t>HMI_AllSOCCalIndicator</t>
  </si>
  <si>
    <t>SOC Calibration Indicator
SOC标定指示</t>
  </si>
  <si>
    <t>0x55:开启标定
其他：关闭</t>
  </si>
  <si>
    <t>HMI_AllSOCCalValPct</t>
  </si>
  <si>
    <t>HMI_AllSOHCalIndicator</t>
  </si>
  <si>
    <t>HMI_AllSOHCalValPct</t>
  </si>
  <si>
    <t>HMI_RlyManCtlEnaFlg</t>
  </si>
  <si>
    <t>Relay Force Control Enable
继电器强控使能</t>
  </si>
  <si>
    <t>0：继电器强控未使能，1：继电器强控使能</t>
  </si>
  <si>
    <t>HMI_RlyManCtlIndictrNbr</t>
  </si>
  <si>
    <t>每个bit对应一个继电器：
bit0：预充继电器
bit1：主负继电器
bit2：主正继电器
bit3：加热继电器</t>
  </si>
  <si>
    <t>HMI_RlyManCtlNbr</t>
  </si>
  <si>
    <t>每个bit对应一个继电器：
bit0：预充继电器，0：断开，1：闭合
bit1：主负继电器，0：断开，1：闭合
bit2：主正继电器，0：断开，1：闭合
bit3：加热继电器，0：断开，1：闭合</t>
  </si>
  <si>
    <t>HMI_ClrAllSoxNvMNbr</t>
  </si>
  <si>
    <t>Clear SoX NvM Information
清除SoX NvM信息</t>
  </si>
  <si>
    <t>设置为0x55时清除，保持3s后恢复为默认值0x00</t>
  </si>
  <si>
    <t>HMI_ForceBalCellIdx</t>
  </si>
  <si>
    <t>Forced Balance Cell ID
强制均衡电芯ID</t>
  </si>
  <si>
    <t>HMI_ForceBalTiMin</t>
  </si>
  <si>
    <t>HMI_ForceBalCtrlNbr</t>
  </si>
  <si>
    <t>Single Cell Balance Force Control Command
单电芯均衡强控开启命令</t>
  </si>
  <si>
    <t>0x55:开启，其他：关闭</t>
  </si>
  <si>
    <t>RBMS_ConFail</t>
    <phoneticPr fontId="43" type="noConversion"/>
  </si>
  <si>
    <t>1.Sheet“Legend”更新字节序与位序
2.Sheet“StationID”地址问题
3.Sheet“Comm Matrix”删除列“SPN可疑参数编号”，删除详细数据报文发送周期列
4. start bit/byte 列重新计算
5. Unit列重新核对
6. 数据包整合
7. 信号中英文描述补充完整
8. 信号名称与上位机显示匹配
9. 补充信号值描述
10.补充cmdGroup，cmdid等信息
11.修改RBMS_ConFail的信号值描述  luof03
12.添加RBMS_CellTMUXFaiIDNbr的信号值描述  luof03</t>
    <phoneticPr fontId="43" type="noConversion"/>
  </si>
  <si>
    <t>BBMS_SumInfo</t>
    <phoneticPr fontId="43" type="noConversion"/>
  </si>
  <si>
    <r>
      <t>BBMS_SumInfo中信号</t>
    </r>
    <r>
      <rPr>
        <sz val="9.75"/>
        <color rgb="FF000000"/>
        <rFont val="等线"/>
        <family val="2"/>
        <scheme val="minor"/>
      </rPr>
      <t>startbit修正</t>
    </r>
    <phoneticPr fontId="43" type="noConversion"/>
  </si>
  <si>
    <t>V1.0.4</t>
    <phoneticPr fontId="43" type="noConversion"/>
  </si>
  <si>
    <r>
      <t>2024/9/</t>
    </r>
    <r>
      <rPr>
        <sz val="9.75"/>
        <color rgb="FF000000"/>
        <rFont val="等线"/>
        <family val="2"/>
        <scheme val="minor"/>
      </rPr>
      <t>10</t>
    </r>
    <phoneticPr fontId="43" type="noConversion"/>
  </si>
  <si>
    <t>V1.0.5</t>
  </si>
  <si>
    <t>2024/10/14</t>
    <phoneticPr fontId="43" type="noConversion"/>
  </si>
  <si>
    <r>
      <t>删除数据帧：RBMS_VendorVersionInfo</t>
    </r>
    <r>
      <rPr>
        <sz val="9.75"/>
        <color rgb="FF000000"/>
        <rFont val="等线"/>
        <family val="2"/>
        <scheme val="minor"/>
      </rPr>
      <t xml:space="preserve"> 与 BBMS_VendorVersionInfo，这两帧信息在底层输出，不在通讯协议中体现</t>
    </r>
    <phoneticPr fontId="43" type="noConversion"/>
  </si>
  <si>
    <t>V1.0.6</t>
    <phoneticPr fontId="43" type="noConversion"/>
  </si>
  <si>
    <t>2024/11/06</t>
    <phoneticPr fontId="43" type="noConversion"/>
  </si>
  <si>
    <t>ParaThr_CellV</t>
    <phoneticPr fontId="43" type="noConversion"/>
  </si>
  <si>
    <t>ParaThr_RackV</t>
    <phoneticPr fontId="43" type="noConversion"/>
  </si>
  <si>
    <t>ParaThr_ModuleT</t>
    <phoneticPr fontId="43" type="noConversion"/>
  </si>
  <si>
    <t>ParaThr_RackI</t>
    <phoneticPr fontId="43" type="noConversion"/>
  </si>
  <si>
    <t>ParaThr_SOX</t>
    <phoneticPr fontId="43" type="noConversion"/>
  </si>
  <si>
    <t>ParaThr_AUX</t>
    <phoneticPr fontId="43" type="noConversion"/>
  </si>
  <si>
    <t>ParaThr_TMS</t>
    <phoneticPr fontId="43" type="noConversion"/>
  </si>
  <si>
    <t>/</t>
    <phoneticPr fontId="43" type="noConversion"/>
  </si>
  <si>
    <t>Rx</t>
    <phoneticPr fontId="43" type="noConversion"/>
  </si>
  <si>
    <t>mV</t>
    <phoneticPr fontId="43" type="noConversion"/>
  </si>
  <si>
    <t>V</t>
    <phoneticPr fontId="43" type="noConversion"/>
  </si>
  <si>
    <t>A</t>
    <phoneticPr fontId="43" type="noConversion"/>
  </si>
  <si>
    <t>BalFordCmdFlg
均衡禁止命令标定值</t>
    <phoneticPr fontId="43" type="noConversion"/>
  </si>
  <si>
    <t>SOCLowLvl1AssertThd
SOC低一级报警阈值</t>
    <phoneticPr fontId="43" type="noConversion"/>
  </si>
  <si>
    <t>SOCLowLvl1DeassertThd
SOC低一级恢复阈值</t>
    <phoneticPr fontId="43" type="noConversion"/>
  </si>
  <si>
    <t>SOHLowLvl3AssertThd
SOH低三级报警阈值</t>
    <phoneticPr fontId="43" type="noConversion"/>
  </si>
  <si>
    <t>SOCDiffTooBigLvl1AssertThd
SOC差异过大报警阈值</t>
    <phoneticPr fontId="43" type="noConversion"/>
  </si>
  <si>
    <t>SOCDiffTooBigLvl1DeassertThd
SOC差异过大恢复阈值</t>
    <phoneticPr fontId="43" type="noConversion"/>
  </si>
  <si>
    <t>SelfDischrgDiffTooBigLvl1AssertThd
自放电差异过大一级报警阈值</t>
    <phoneticPr fontId="43" type="noConversion"/>
  </si>
  <si>
    <t>SelfDischrgDiffTooBigLvl2AssertThd
自放电差异过大二级报警阈值</t>
    <phoneticPr fontId="43" type="noConversion"/>
  </si>
  <si>
    <t>SelfDischrgDiffTooBigLvl2DeassertThd
自放电差异过大二级恢复阈值</t>
    <phoneticPr fontId="43" type="noConversion"/>
  </si>
  <si>
    <t>SelfDischrgDiffTooBigLvl3AssertThd
自放电差异过大三级报警阈值</t>
    <phoneticPr fontId="43" type="noConversion"/>
  </si>
  <si>
    <t>SelfDischrgDiffTooBigLvl3DeassertThd
自放电差异过大三级恢复阈值</t>
    <phoneticPr fontId="43" type="noConversion"/>
  </si>
  <si>
    <t>OverChgFltEnaThdValPct
过充故障判断阈值</t>
    <phoneticPr fontId="43" type="noConversion"/>
  </si>
  <si>
    <t>MaxCellVOvLvl1FltVmV
单体过压一级报警阈值</t>
    <phoneticPr fontId="43" type="noConversion"/>
  </si>
  <si>
    <t>MinCellVUvLvl1FltVmV
单体欠压一级报警阈值</t>
  </si>
  <si>
    <t>DeltaCellVOLLvl1FltVmV
单体压差过大一级报警阈值</t>
  </si>
  <si>
    <t>BatOVLvl1FltCfmThdV
电池串过压一级报警阈值</t>
  </si>
  <si>
    <t>ChrgOverCurLvl1AssertThd
充电过流一级报警阈值</t>
    <phoneticPr fontId="43" type="noConversion"/>
  </si>
  <si>
    <t>ChrgOverCurLvl2AssertThd
充电过流二级报警阈值</t>
  </si>
  <si>
    <t>ChrgOverCurLvl2DeassertThd
充电过流二级恢复阈值</t>
  </si>
  <si>
    <t>ChrgOverCurLvl3AssertThd
充电过流三级报警阈值</t>
  </si>
  <si>
    <t>ChrgOverCurLvl3DeassertThd
充电过流三级恢复阈值</t>
  </si>
  <si>
    <t>DisChrgOverCurLvl1AssertThd
放电过流一级报警阈值</t>
  </si>
  <si>
    <t>DisChrgOverCurLvl2AssertThd
放电过流二级报警阈值</t>
  </si>
  <si>
    <t>DisChrgOverCurLvl2DeassertThd
放电过流二级恢复阈值</t>
  </si>
  <si>
    <t>DisChrgOverCurLvl3AssertThd
放电过流三级报警阈值</t>
  </si>
  <si>
    <t>DisChrgOverCurLvl3DeassertThd
放电过流三级恢复阈值</t>
  </si>
  <si>
    <t>ChOverTempLvl1AssertThd
充电过温一级报警阈值</t>
  </si>
  <si>
    <t>ChOverTempLvl2AssertThd
充电过温二级报警阈值</t>
  </si>
  <si>
    <t>ChOverTempLvl2DeassertThd
充电过温二级恢复阈值</t>
  </si>
  <si>
    <t>ChOverTempLvl3AssertThd
充电过温三级报警阈值</t>
  </si>
  <si>
    <t>ChOverTempLvl3DeassertThd
充电过温三级恢复阈值</t>
  </si>
  <si>
    <t>ChUnderTempLvl1AssertThd
充电低温一级报警阈值</t>
  </si>
  <si>
    <t>ChUnderTempLvl2AssertThd
充电低温二级报警阈值</t>
  </si>
  <si>
    <t>ChUnderTempLvl2DeassertThd
充电低温二级恢复阈值</t>
  </si>
  <si>
    <t>ChUnderTempLvl3AssertThd
充电低温三级报警阈值</t>
  </si>
  <si>
    <t>ChUnderTempLvl3DeassertThd
充电低温三级恢复阈值</t>
  </si>
  <si>
    <t>ChUnderTempLvl0AssertThd
充电极限过温阈值</t>
  </si>
  <si>
    <t>DischOverTempLvl1AssertThd
放电过温一级报警阈值</t>
  </si>
  <si>
    <t>DischOverTempLvl2AssertThd
放电过温二级报警阈值</t>
  </si>
  <si>
    <t>DischOverTempLvl2DeassertThd
放电过温二级恢复阈值</t>
  </si>
  <si>
    <t>DischOverTempLvl3AssertThd
放电过温三级报警阈值</t>
  </si>
  <si>
    <t>DischOverTempLvl3DeassertThd
放电过温三级恢复阈值</t>
  </si>
  <si>
    <t>DischOverTempLvl0AssertThd
放电极限过温阈值</t>
  </si>
  <si>
    <t>CellTempRiseChangeRate
温升过快极限故障阈值</t>
  </si>
  <si>
    <t>DischUnderTempLvl1AssertThd
放电低温一级报警阈值</t>
  </si>
  <si>
    <t>DischUnderTempLvl2AssertThd
放电低温二级报警阈值</t>
  </si>
  <si>
    <t>DischUnderTempLvl2DeassertThd
放电低温二级恢复阈值</t>
  </si>
  <si>
    <t>DischUnderTempLvl3AssertThd
放电低温三级报警阈值</t>
  </si>
  <si>
    <t>DischUnderTempLvl3DeassertThd
放电低温三级恢复阈值</t>
  </si>
  <si>
    <t>TempDiffTooBigLvl1AssertThd
温差过大报警一级阈值</t>
  </si>
  <si>
    <t>TempDiffTooBigLvl2AssertThd
温差过大报警二级阈值</t>
  </si>
  <si>
    <t>TempDiffTooBigLvl2DeassertThd
温差过大报警二级恢复阈值</t>
  </si>
  <si>
    <t>TempDiffTooBigLvl3AssertThd
温差过大报警三级阈值</t>
  </si>
  <si>
    <t>TempDiffTooBigLvl3DeassertThd
温差过大报警三级恢复阈值</t>
  </si>
  <si>
    <t>CcCLVH_MaxCellVOvLvl1FltVmV</t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</si>
  <si>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MaxCellVOvLvl2FltRcvryVmV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</si>
  <si>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MaxCellVOvLvl3FltVmV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</si>
  <si>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MaxCellVOvLvl3FltRcvryVmV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</si>
  <si>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MaxCellVOvLvl4FltVmV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</si>
  <si>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MinCellVUvLvl1FltVmV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</si>
  <si>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MinCellVUvLvl2FltRcvryVmV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</si>
  <si>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MinCellVUvLvl3FltVmV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</si>
  <si>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MinCellVUvLvl3FltRcvryVmV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</si>
  <si>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DeltaCellVOLLvl1FltVmV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</si>
  <si>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DeltaCellVOLLvl2FltVmV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</si>
  <si>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DeltaCellVOLLvl2FltRcvryVmV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</si>
  <si>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DeltaCellVOLLvl3FltVmV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</si>
  <si>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DeltaCellVOLLvl3FltRcvryVmV</t>
    </r>
    <phoneticPr fontId="43" type="noConversion"/>
  </si>
  <si>
    <t>CcHVSH_BatOVLvl1FltCfmThdV</t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</si>
  <si>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BatOVLvl2FltCfmThdV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</si>
  <si>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BatOVLvl2FltRcvrThdV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</si>
  <si>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BatOVLvl3FltCfmThdV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</si>
  <si>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BatOVLvl3FltRcvrThdV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</si>
  <si>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BatUVLvl1FltCfmThdV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</si>
  <si>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BatUVLvl2FltCfmThdV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</si>
  <si>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BatUVLvl2FltRcvrThdV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</si>
  <si>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BatUVLvl3FltCfmThdV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</si>
  <si>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BatUVLvl3FltRcvrThdV</t>
    </r>
    <phoneticPr fontId="43" type="noConversion"/>
  </si>
  <si>
    <t>CcCLTH_CellTempRiseChangeRate</t>
    <phoneticPr fontId="43" type="noConversion"/>
  </si>
  <si>
    <r>
      <t>a</t>
    </r>
    <r>
      <rPr>
        <sz val="9.75"/>
        <color rgb="FF000000"/>
        <rFont val="等线"/>
        <family val="2"/>
        <scheme val="minor"/>
      </rPr>
      <t>dd:
TMS与参数阈值数据帧</t>
    </r>
    <phoneticPr fontId="43" type="noConversion"/>
  </si>
  <si>
    <t>V1.0.7</t>
    <phoneticPr fontId="43" type="noConversion"/>
  </si>
  <si>
    <r>
      <t>2</t>
    </r>
    <r>
      <rPr>
        <sz val="9.75"/>
        <color rgb="FF000000"/>
        <rFont val="等线"/>
        <family val="2"/>
        <scheme val="minor"/>
      </rPr>
      <t>024/11/12</t>
    </r>
    <phoneticPr fontId="43" type="noConversion"/>
  </si>
  <si>
    <r>
      <t>z</t>
    </r>
    <r>
      <rPr>
        <sz val="9.75"/>
        <color rgb="FF000000"/>
        <rFont val="等线"/>
        <family val="2"/>
        <scheme val="minor"/>
      </rPr>
      <t>hangyf03</t>
    </r>
    <phoneticPr fontId="43" type="noConversion"/>
  </si>
  <si>
    <r>
      <t>0x0</t>
    </r>
    <r>
      <rPr>
        <sz val="9.75"/>
        <color rgb="FF000000"/>
        <rFont val="等线"/>
        <family val="2"/>
        <scheme val="minor"/>
      </rPr>
      <t>3</t>
    </r>
    <phoneticPr fontId="43" type="noConversion"/>
  </si>
  <si>
    <t>struct RBMS_SumInfo</t>
    <phoneticPr fontId="43" type="noConversion"/>
  </si>
  <si>
    <t>struct RBMS_CellBalSt</t>
    <phoneticPr fontId="43" type="noConversion"/>
  </si>
  <si>
    <t>struct RBMS_CellSdr</t>
    <phoneticPr fontId="43" type="noConversion"/>
  </si>
  <si>
    <t>RBMS_Fault</t>
    <phoneticPr fontId="43" type="noConversion"/>
  </si>
  <si>
    <t>0x04</t>
    <phoneticPr fontId="43" type="noConversion"/>
  </si>
  <si>
    <r>
      <t>0x0</t>
    </r>
    <r>
      <rPr>
        <sz val="9.75"/>
        <color rgb="FF000000"/>
        <rFont val="等线"/>
        <family val="2"/>
        <scheme val="minor"/>
      </rPr>
      <t>2</t>
    </r>
    <phoneticPr fontId="43" type="noConversion"/>
  </si>
  <si>
    <t>struct BBMS_SumInfo</t>
    <phoneticPr fontId="43" type="noConversion"/>
  </si>
  <si>
    <r>
      <t>BBMS_Fau</t>
    </r>
    <r>
      <rPr>
        <sz val="9.75"/>
        <color rgb="FF000000"/>
        <rFont val="等线"/>
        <family val="2"/>
        <scheme val="minor"/>
      </rPr>
      <t>l</t>
    </r>
    <r>
      <rPr>
        <sz val="9.75"/>
        <color rgb="FF000000"/>
        <rFont val="等线"/>
        <family val="2"/>
        <scheme val="minor"/>
      </rPr>
      <t>t</t>
    </r>
    <phoneticPr fontId="43" type="noConversion"/>
  </si>
  <si>
    <t>BBMS_CtlWord</t>
    <phoneticPr fontId="43" type="noConversion"/>
  </si>
  <si>
    <t>BBMS Control
BBMS控制指令</t>
    <phoneticPr fontId="43" type="noConversion"/>
  </si>
  <si>
    <t>struct BBMS_CtlWord</t>
    <phoneticPr fontId="43" type="noConversion"/>
  </si>
  <si>
    <t>struct state{
    uint8_t state;
   //00：写入成功，01：写入失败
}</t>
    <phoneticPr fontId="43" type="noConversion"/>
  </si>
  <si>
    <t>0x02</t>
    <phoneticPr fontId="43" type="noConversion"/>
  </si>
  <si>
    <t>HMI_CtlWord</t>
    <phoneticPr fontId="43" type="noConversion"/>
  </si>
  <si>
    <t>HMI Control
HMI 控制指令</t>
    <phoneticPr fontId="43" type="noConversion"/>
  </si>
  <si>
    <r>
      <t>0</t>
    </r>
    <r>
      <rPr>
        <sz val="9.75"/>
        <color rgb="FF000000"/>
        <rFont val="等线"/>
        <family val="2"/>
        <scheme val="minor"/>
      </rPr>
      <t>x04</t>
    </r>
    <phoneticPr fontId="43" type="noConversion"/>
  </si>
  <si>
    <r>
      <t>T</t>
    </r>
    <r>
      <rPr>
        <sz val="9.75"/>
        <color rgb="FF000000"/>
        <rFont val="等线"/>
        <family val="2"/>
        <scheme val="minor"/>
      </rPr>
      <t>x</t>
    </r>
    <phoneticPr fontId="43" type="noConversion"/>
  </si>
  <si>
    <r>
      <t>R</t>
    </r>
    <r>
      <rPr>
        <sz val="9.75"/>
        <color rgb="FF000000"/>
        <rFont val="等线"/>
        <family val="2"/>
        <scheme val="minor"/>
      </rPr>
      <t>x</t>
    </r>
    <phoneticPr fontId="43" type="noConversion"/>
  </si>
  <si>
    <t>HMI_TMSCtrlWord</t>
  </si>
  <si>
    <r>
      <t>0</t>
    </r>
    <r>
      <rPr>
        <sz val="9.75"/>
        <color rgb="FF000000"/>
        <rFont val="等线"/>
        <family val="2"/>
        <scheme val="minor"/>
      </rPr>
      <t>x02</t>
    </r>
    <phoneticPr fontId="43" type="noConversion"/>
  </si>
  <si>
    <t>struct HMI_TMSCtrlWord</t>
    <phoneticPr fontId="43" type="noConversion"/>
  </si>
  <si>
    <t>HMI_BankDOCtrl</t>
  </si>
  <si>
    <t>HMI三级板DO控制指令（灯）</t>
    <phoneticPr fontId="43" type="noConversion"/>
  </si>
  <si>
    <t>struct HMI_BankDOCtrl</t>
    <phoneticPr fontId="43" type="noConversion"/>
  </si>
  <si>
    <t>Rack标定与控制</t>
    <phoneticPr fontId="43" type="noConversion"/>
  </si>
  <si>
    <t>struct HMI_RackCaliCtrl</t>
    <phoneticPr fontId="43" type="noConversion"/>
  </si>
  <si>
    <t>读取-电压阈值参数</t>
    <phoneticPr fontId="43" type="noConversion"/>
  </si>
  <si>
    <t>struct ParaThr_CellV</t>
    <phoneticPr fontId="43" type="noConversion"/>
  </si>
  <si>
    <t>写入-电压阈值参数</t>
    <phoneticPr fontId="43" type="noConversion"/>
  </si>
  <si>
    <t>读取-簇电压阈值参数</t>
    <phoneticPr fontId="43" type="noConversion"/>
  </si>
  <si>
    <t>struct ParaThr_RackV</t>
    <phoneticPr fontId="43" type="noConversion"/>
  </si>
  <si>
    <t>写入-簇电压阈值参数</t>
    <phoneticPr fontId="43" type="noConversion"/>
  </si>
  <si>
    <t>读取-簇电流阈值参数</t>
    <phoneticPr fontId="43" type="noConversion"/>
  </si>
  <si>
    <t>struct ParaThr_RackI</t>
    <phoneticPr fontId="43" type="noConversion"/>
  </si>
  <si>
    <t>写入-簇电流阈值参数</t>
    <phoneticPr fontId="43" type="noConversion"/>
  </si>
  <si>
    <t>读取-温度阈值参数</t>
    <phoneticPr fontId="43" type="noConversion"/>
  </si>
  <si>
    <t>struct ParaThr_ModuleT</t>
    <phoneticPr fontId="43" type="noConversion"/>
  </si>
  <si>
    <t>写入-温度阈值参数</t>
    <phoneticPr fontId="43" type="noConversion"/>
  </si>
  <si>
    <t>读取-SOX阈值参数</t>
    <phoneticPr fontId="43" type="noConversion"/>
  </si>
  <si>
    <t>struct ParaThr_SOX</t>
    <phoneticPr fontId="43" type="noConversion"/>
  </si>
  <si>
    <t>写入-SOX阈值参数</t>
    <phoneticPr fontId="43" type="noConversion"/>
  </si>
  <si>
    <t>读取-AUX阈值参数</t>
    <phoneticPr fontId="43" type="noConversion"/>
  </si>
  <si>
    <t>struct ParaThr_AUX</t>
    <phoneticPr fontId="43" type="noConversion"/>
  </si>
  <si>
    <t>写入-AUX阈值参数</t>
    <phoneticPr fontId="43" type="noConversion"/>
  </si>
  <si>
    <t>struct ParaThr_TMS</t>
    <phoneticPr fontId="43" type="noConversion"/>
  </si>
  <si>
    <t>RBMS_SumInfo</t>
    <phoneticPr fontId="43" type="noConversion"/>
  </si>
  <si>
    <t>ScEMCT_RBMS_St</t>
  </si>
  <si>
    <t>BSWSRackSt</t>
  </si>
  <si>
    <t>BSWSRackChaSt</t>
  </si>
  <si>
    <t>ScEMCT_RBMS_SysOperSt</t>
  </si>
  <si>
    <t>BSWSRackSysOperSt</t>
  </si>
  <si>
    <t>ScEMCT_RBMS_ConSt</t>
  </si>
  <si>
    <t>BSWSRackConSt</t>
  </si>
  <si>
    <t>BSWSRackConFail</t>
  </si>
  <si>
    <t>ScEMCT_RBMS_V</t>
  </si>
  <si>
    <t>BSWSRackV</t>
  </si>
  <si>
    <t>ScEMCT_RBMS_DCBusV</t>
  </si>
  <si>
    <t>BSWSRackDCBusV</t>
  </si>
  <si>
    <t>ScEMCT_RBMS_IsoR</t>
  </si>
  <si>
    <t>BSWSRackIsoR</t>
  </si>
  <si>
    <t>ScEMCT_RBMS_LowPowSply</t>
  </si>
  <si>
    <t>BSWSRackLowPowSply</t>
  </si>
  <si>
    <t>ScEMCT_RBMS_HisSleepTiWrMin</t>
  </si>
  <si>
    <t>BSWSRackHisSleepTiWrMin</t>
  </si>
  <si>
    <t>ScEMCT_RBMS_HisRunTiWrMin</t>
  </si>
  <si>
    <t>BSWSRackHisRunTiWrMin</t>
  </si>
  <si>
    <t>ScSGPC_LstSleepDurTiMin</t>
  </si>
  <si>
    <t>ScEMCT_RBMS_IDLearnCodeSt</t>
  </si>
  <si>
    <t>ScEMCT_RBMS_IsoRPos</t>
  </si>
  <si>
    <t>BSWSRackIsoRPos</t>
  </si>
  <si>
    <t>ScEMCT_RBMS_IsoRNeg</t>
  </si>
  <si>
    <t>BSWSRackIsoRNeg</t>
  </si>
  <si>
    <t>ScEMCT_RBMS_CmdInhibitFlg</t>
  </si>
  <si>
    <t>BSWSRackCmdInhibitFlg</t>
  </si>
  <si>
    <t>ScEMCT_RBMS_IslnHvVldNbr</t>
  </si>
  <si>
    <t>BSWSRackIslnHvVldNbr</t>
  </si>
  <si>
    <t>ScEMCT_RBMS_IslnInhibitNbr</t>
  </si>
  <si>
    <t>BSWSRackIslnInhibitNbr</t>
  </si>
  <si>
    <t>ScEMCT_RBMS_SoC</t>
  </si>
  <si>
    <t>BSWSRackSoC</t>
  </si>
  <si>
    <t>ScEMCT_RBMS_SoH</t>
  </si>
  <si>
    <t>BSWSRackSoH</t>
  </si>
  <si>
    <t>ScEMCT_RBMS_SoEC</t>
  </si>
  <si>
    <t>BSWSRackSoEC</t>
  </si>
  <si>
    <t>ScEMCT_RBMS_SoED</t>
  </si>
  <si>
    <t>BSWSRackSoED</t>
  </si>
  <si>
    <t>ScEMCT_RBMS_SoFPulseChrgCurr</t>
  </si>
  <si>
    <t>BSWSRackSoFPulseChrgCurr</t>
  </si>
  <si>
    <t>ScEMCT_RBMS_SoFPulseDisChrgCurr</t>
  </si>
  <si>
    <t>BSWSRackSoFPulseDisChrgCurr</t>
  </si>
  <si>
    <t>ScEMCT_RBMS_SoFPulseChrgPwr</t>
  </si>
  <si>
    <t>BSWSRackSoFPulseChrgPwr</t>
  </si>
  <si>
    <t>ScEMCT_RBMS_SoFPulseDisChrgPwr</t>
  </si>
  <si>
    <t>BSWSRackSoFPulseDisChrgPwr</t>
  </si>
  <si>
    <t>ScEMCT_RBMS_SoFContChrgCurr</t>
  </si>
  <si>
    <t>BSWSRackSoFContChrgCurr</t>
  </si>
  <si>
    <t>ScEMCT_RBMS_SoFContDisChrgCurr</t>
  </si>
  <si>
    <t>BSWSRackSoFContDisChrgCurr</t>
  </si>
  <si>
    <t>ScEMCT_RBMS_SoFContChrgPwr</t>
  </si>
  <si>
    <t>BSWSRackSoFContChrgPwr</t>
  </si>
  <si>
    <t>ScEMCT_RBMS_SoFContDisChrgPwr</t>
  </si>
  <si>
    <t>BSWSRackSoFContDisChrgPwr</t>
  </si>
  <si>
    <t>BSWSRackCellVMax</t>
  </si>
  <si>
    <t>BSWSRackCellVMaxPstn</t>
  </si>
  <si>
    <t>BSWSRackCellVMin</t>
  </si>
  <si>
    <t>BSWSRackCellVMinPstn</t>
  </si>
  <si>
    <t>BSWSRackCellVAvg</t>
  </si>
  <si>
    <t>BSWSRackModTmpMaxPstn</t>
  </si>
  <si>
    <t>BSWSRackModTmpMinPstn</t>
  </si>
  <si>
    <t>ScEMCT_RBMS_StrCtrlHb</t>
  </si>
  <si>
    <t>ScEMCT_RBMS_ResChAvlCapAh</t>
  </si>
  <si>
    <t>ScEMCT_RBMS_ResDischAvlCapAh</t>
  </si>
  <si>
    <t>BSWSRackResDischAvlCapAh</t>
  </si>
  <si>
    <t>ScEMCT_RBMS_LstFullChCapAh</t>
  </si>
  <si>
    <t>BSWSRackLstFullChCapAh</t>
  </si>
  <si>
    <t>ScEMCT_RBMS_LstFullDischCapAh</t>
  </si>
  <si>
    <t>BSWSRackLstFullDischCapAh</t>
  </si>
  <si>
    <t>ScEMCT_RBMS_CycNbr</t>
  </si>
  <si>
    <t>BSWSRackCycNbr</t>
  </si>
  <si>
    <t>ScEMCT_RBMS_AFEChipTmpMin</t>
  </si>
  <si>
    <t>ScEMCT_RBMS_IslnFinalBatV</t>
  </si>
  <si>
    <t>BSWSRackIslnFinalBatV</t>
  </si>
  <si>
    <t>ScEMCT_RBMS_IslnFinalPosV</t>
  </si>
  <si>
    <t>BSWSRackIslnFinalPosV</t>
  </si>
  <si>
    <t>ScEMCT_RBMS_IslnFinalNegV</t>
  </si>
  <si>
    <t>BSWSRackIslnFinalNegV</t>
  </si>
  <si>
    <t>ScEMCT_RBMS_IslnMeastStState</t>
  </si>
  <si>
    <t>BSWSRackIslnMeastStState</t>
  </si>
  <si>
    <t>ScEMCT_RBMS_LstChEkWh</t>
  </si>
  <si>
    <t>ScEMCT_RBMS_LstDchEkWh</t>
  </si>
  <si>
    <t>ScEMCT_RBMS_RmngCellBalTiMax</t>
  </si>
  <si>
    <t>ScSOHA_RealSysSOHCPct</t>
  </si>
  <si>
    <t>ScEMCT_RBMS_SysMaxSOC</t>
  </si>
  <si>
    <t>ScEMCT_RBMS_SysMinSOC</t>
  </si>
  <si>
    <t>SaSOCA_MaxMinSOCState[0]</t>
  </si>
  <si>
    <t>SaSOCA_MaxMinSOCState[1]</t>
  </si>
  <si>
    <t>ScSOCA_SmthSysSOCPct</t>
  </si>
  <si>
    <t>BSWSRackAccuDisChrgAh</t>
  </si>
  <si>
    <t>BSWSRackAccuDisChrgkWh</t>
  </si>
  <si>
    <t>BSWSRackAccuChrgAh</t>
  </si>
  <si>
    <t>BSWSRackAccuChrgkWh</t>
  </si>
  <si>
    <t>ScEMCT_RBMS_BMSMaxFltLevel</t>
  </si>
  <si>
    <t>BSWSRackBMSMaxFltLevel</t>
  </si>
  <si>
    <t>RBMS_MaxCellVMdulTDegC</t>
    <phoneticPr fontId="43" type="noConversion"/>
  </si>
  <si>
    <t>SbCLTH_MaxCellVMdulTVldFlg</t>
  </si>
  <si>
    <t>SbCLTH_MinCellVMdulTVldFlg</t>
  </si>
  <si>
    <t>ScSOHA_DFCLCapResultAh</t>
  </si>
  <si>
    <t>ScSOHA_DFCLPointSOCPct</t>
  </si>
  <si>
    <t>ScSOHA_DFCLPointStats</t>
  </si>
  <si>
    <t>ScSOHA_DFCLPointCapAh</t>
  </si>
  <si>
    <t>ScSOHA_DFCLPointTimeDay</t>
  </si>
  <si>
    <t>ScSOHA_MFCLCapResultAh</t>
  </si>
  <si>
    <t>ScSOHA_MFCLTargtValue[0]</t>
  </si>
  <si>
    <t>ScSOHA_MFCLTargtValue[1]</t>
  </si>
  <si>
    <t>ScSOHA_DFCLCalSuccFlg</t>
  </si>
  <si>
    <t>ScSOHA_MFCLCalSuccFlg</t>
  </si>
  <si>
    <t>ScSOHA_MFCLPoint1Flg[0]</t>
  </si>
  <si>
    <t>ScSOHA_MFCLPoint1Flg[1]</t>
  </si>
  <si>
    <t>ScSOHA_MFCLPoint2Flg[0]</t>
  </si>
  <si>
    <t>ScSOHA_MFCLPoint2Flg[1]</t>
  </si>
  <si>
    <t>SaFDCH_FltStsFlt||SaFDCH_FltStsSftyFlt</t>
  </si>
  <si>
    <t>ScEMCT_BBMS_BatSt</t>
  </si>
  <si>
    <t>ScEMCT_BBMS_ChSt</t>
  </si>
  <si>
    <t>ScEMCT_BBMS_SysOperSt</t>
  </si>
  <si>
    <t>ScEMCT_BBMS_PmtRkFltNum</t>
  </si>
  <si>
    <t>ScEMCT_BBMS_SOC</t>
  </si>
  <si>
    <t>ScEMCT_BBMS_SOH</t>
  </si>
  <si>
    <t>ScEMCT_BBMS_MaxChrgE</t>
  </si>
  <si>
    <t>ScEMCT_BBMS_MaxDisChrgE</t>
  </si>
  <si>
    <t>ScEMCT_BBMS_MaxContChrgPower</t>
  </si>
  <si>
    <t>ScEMCT_BBMS_Max60sChrgPower</t>
  </si>
  <si>
    <t>ScEMCT_BBMS_MaxContDisChrgPower</t>
  </si>
  <si>
    <t>ScEMCT_BBMS_Max60sDisChrgPower</t>
  </si>
  <si>
    <t>ScEMCT_BBMS_MaxContChrgCur</t>
  </si>
  <si>
    <t>ScEMCT_BBMS_Max60sChrgCur</t>
  </si>
  <si>
    <t>ScEMCT_BBMS_MaxContDisChrgCur</t>
  </si>
  <si>
    <t>ScEMCT_BBMS_Max60sDisChrgCur</t>
  </si>
  <si>
    <t>ScEMCT_BBMS_StrCtrlHb</t>
    <phoneticPr fontId="50" type="noConversion"/>
  </si>
  <si>
    <t>ScEMCT_BBMS_DCBusV</t>
  </si>
  <si>
    <t>ScEMCT_BBMS_TotalDCCur</t>
  </si>
  <si>
    <t>ScEMCT_BBMS_TotalPower</t>
  </si>
  <si>
    <t>ScEMCT_BBMS_MaxRackCur</t>
  </si>
  <si>
    <t>ScEMCT_BBMS_MaxCurRackNr</t>
  </si>
  <si>
    <t>ScEMCT_BBMS_MinRackCur</t>
  </si>
  <si>
    <t>ScEMCT_BBMS_MinCurRackNr</t>
  </si>
  <si>
    <t>ScEMCT_BBMS_MaxCellV</t>
  </si>
  <si>
    <t>ScEMCT_BBMS_MinCellV</t>
  </si>
  <si>
    <t>ScEMCT_BBMS_AvgCellV</t>
  </si>
  <si>
    <t>ScEMCT_BBMS_IsoRPos</t>
  </si>
  <si>
    <t>ScEMCT_BBMS_IsoRNeg</t>
  </si>
  <si>
    <t>BBMS_Fault</t>
    <phoneticPr fontId="43" type="noConversion"/>
  </si>
  <si>
    <t>/</t>
    <phoneticPr fontId="50" type="noConversion"/>
  </si>
  <si>
    <t>ScEMCT_BBMS_Heartbeat</t>
    <phoneticPr fontId="50" type="noConversion"/>
  </si>
  <si>
    <t>EGLGR_AlmRst</t>
    <phoneticPr fontId="50" type="noConversion"/>
  </si>
  <si>
    <t>HMI_AlmRst</t>
    <phoneticPr fontId="50" type="noConversion"/>
  </si>
  <si>
    <t>EGLGR_SetEnaIso</t>
    <phoneticPr fontId="50" type="noConversion"/>
  </si>
  <si>
    <t>HMI_SetEnaIso</t>
    <phoneticPr fontId="50" type="noConversion"/>
  </si>
  <si>
    <t>EGLGR_LocRemCtl</t>
    <phoneticPr fontId="50" type="noConversion"/>
  </si>
  <si>
    <t>HMI_LocRemCtl</t>
    <phoneticPr fontId="50" type="noConversion"/>
  </si>
  <si>
    <t>Enable/Disable String (RBMS)
使能/禁止电池串</t>
    <phoneticPr fontId="43" type="noConversion"/>
  </si>
  <si>
    <t>HMI_SetEna</t>
    <phoneticPr fontId="50" type="noConversion"/>
  </si>
  <si>
    <t>EGLGR_EPORst</t>
    <phoneticPr fontId="50" type="noConversion"/>
  </si>
  <si>
    <t>HMI_EPORst</t>
    <phoneticPr fontId="50" type="noConversion"/>
  </si>
  <si>
    <t>Enable/Disable Insulation Measurement Manual Control (RBMS)
手动控制使能/禁止绝缘检测</t>
    <phoneticPr fontId="43" type="noConversion"/>
  </si>
  <si>
    <t>EGLGR_EnaIsoManualCtrl</t>
    <phoneticPr fontId="50" type="noConversion"/>
  </si>
  <si>
    <t>HMI_EnaIsoManualCtrl</t>
    <phoneticPr fontId="50" type="noConversion"/>
  </si>
  <si>
    <t>Connect/Disconnect String (RBMS)
连接/断开电池串</t>
    <phoneticPr fontId="43" type="noConversion"/>
  </si>
  <si>
    <t>EGLGR_SetCon</t>
    <phoneticPr fontId="50" type="noConversion"/>
  </si>
  <si>
    <t>HMI_SetCon</t>
    <phoneticPr fontId="50" type="noConversion"/>
  </si>
  <si>
    <t>EGLGR_IDLearnManualCtrl</t>
    <phoneticPr fontId="50" type="noConversion"/>
  </si>
  <si>
    <t>EGLGR_AutoHvUpConf</t>
    <phoneticPr fontId="50" type="noConversion"/>
  </si>
  <si>
    <t>HMI_IDLearnDoCtrl</t>
    <phoneticPr fontId="50" type="noConversion"/>
  </si>
  <si>
    <t>EGLGR_PCSComDiagConf</t>
    <phoneticPr fontId="50" type="noConversion"/>
  </si>
  <si>
    <t>HMI TMS控制指令</t>
    <phoneticPr fontId="50" type="noConversion"/>
  </si>
  <si>
    <t>BSWSTMSManCtrlMode</t>
    <phoneticPr fontId="50" type="noConversion"/>
  </si>
  <si>
    <t>BSWSTMSManCtrlTempDegC</t>
    <phoneticPr fontId="50" type="noConversion"/>
  </si>
  <si>
    <t>BSWSTMSManCtrlEnaFlg</t>
    <phoneticPr fontId="50" type="noConversion"/>
  </si>
  <si>
    <t>HMI三级板DO控制指令（灯）</t>
    <phoneticPr fontId="50" type="noConversion"/>
  </si>
  <si>
    <t>EGLGR_LightManCtlNbr</t>
    <phoneticPr fontId="50" type="noConversion"/>
  </si>
  <si>
    <t>BSWSLightManCtlNbr</t>
    <phoneticPr fontId="50" type="noConversion"/>
  </si>
  <si>
    <t>BSWSRSOXHistInfoIndicator</t>
  </si>
  <si>
    <t>BSWSRSOXHistAccuCaliVal</t>
  </si>
  <si>
    <t>BSWSAllSOCCalIndicator</t>
  </si>
  <si>
    <t>BSWSAllSOCCalValPct</t>
  </si>
  <si>
    <t>BSWSAllSOHCalIndicator</t>
  </si>
  <si>
    <t>BSWSAllSOHCalValPct</t>
  </si>
  <si>
    <t>BSWSClearAllSoxNVM</t>
  </si>
  <si>
    <t>BSWSForceBalCellIdx</t>
  </si>
  <si>
    <t>BSWSForceBalTiMin</t>
  </si>
  <si>
    <t>BSWSForceBalCtrlNbr</t>
  </si>
  <si>
    <t>HMI_CellBalForceCtlCmd</t>
    <phoneticPr fontId="43" type="noConversion"/>
  </si>
  <si>
    <t>BSWSRlyManCtlIndictrNbr</t>
  </si>
  <si>
    <t>BSWSRlyManCtlNbr</t>
  </si>
  <si>
    <t>Sheet "Comm Matrix"：
1. 删除：数据帧BBMS_RTCInfo（底层已实现）、风扇控制信号HMI_CtrlBoxFanManualCtrl（MIC预制舱暂无风扇功能），列 Mapping Signal；
2. 新增列（用于自动化mapping）：Tx Mapping Signal(RBMS/BBMS)、Rx Mapping Signal(RBMS)、Rx Mapping Signal(BBMS)；
3. 新增数据帧（从已有数据帧中拆分得到）：HMI_TMSCtrlWord、HMI_BankDOCtrl、HMI_RackDOCtrl；
4. 修改错误名称 Falut -&gt; Fault；
Sheet "Message ID"：
1. 新增列：请求payload、BBMS-A；
2. BBMS_CtrlWord的HMI：Rx -&gt; /；HMI_TMSCtrlWord/HMI_BankDOCtrl的RBMS：Rx -&gt; /；
3. 根据新的BMS2.0协议重定义了cmdGroup、cmdid、请求payload、响应payload信息；</t>
    <phoneticPr fontId="43" type="noConversion"/>
  </si>
  <si>
    <r>
      <rPr>
        <b/>
        <sz val="9.75"/>
        <color rgb="FF000000"/>
        <rFont val="宋体"/>
        <family val="3"/>
        <charset val="134"/>
      </rPr>
      <t xml:space="preserve">命令类型
</t>
    </r>
    <r>
      <rPr>
        <sz val="9.75"/>
        <color rgb="FF000000"/>
        <rFont val="Calibri"/>
        <family val="2"/>
      </rPr>
      <t>0x01:</t>
    </r>
    <r>
      <rPr>
        <sz val="9.75"/>
        <color rgb="FF000000"/>
        <rFont val="宋体"/>
        <family val="3"/>
        <charset val="134"/>
      </rPr>
      <t xml:space="preserve">不需要回应的报文；
</t>
    </r>
    <r>
      <rPr>
        <sz val="9.75"/>
        <color rgb="FF000000"/>
        <rFont val="Calibri"/>
        <family val="2"/>
      </rPr>
      <t>0x02:</t>
    </r>
    <r>
      <rPr>
        <sz val="9.75"/>
        <color rgb="FF000000"/>
        <rFont val="宋体"/>
        <family val="3"/>
        <charset val="134"/>
      </rPr>
      <t>需要回应的报文；</t>
    </r>
    <r>
      <rPr>
        <sz val="9.75"/>
        <color rgb="FF000000"/>
        <rFont val="Calibri"/>
        <family val="2"/>
      </rPr>
      <t xml:space="preserve"> 
0x03:</t>
    </r>
    <r>
      <rPr>
        <sz val="9.75"/>
        <color rgb="FF000000"/>
        <rFont val="宋体"/>
        <family val="3"/>
        <charset val="134"/>
      </rPr>
      <t>回应的报文</t>
    </r>
    <phoneticPr fontId="43" type="noConversion"/>
  </si>
  <si>
    <t>V1.0.8</t>
    <phoneticPr fontId="43" type="noConversion"/>
  </si>
  <si>
    <t>zhangyf03</t>
    <phoneticPr fontId="43" type="noConversion"/>
  </si>
  <si>
    <t>TMS_SumInfo</t>
    <phoneticPr fontId="43" type="noConversion"/>
  </si>
  <si>
    <t>ScTMCR_TMSInWtrPres</t>
  </si>
  <si>
    <t>ScTMCR_TMSOutWtrPres</t>
  </si>
  <si>
    <t>ScTMCR_TMSFltLevelState</t>
  </si>
  <si>
    <t>ScTMCR_TMSFltCodeNbr</t>
  </si>
  <si>
    <t>TMS_InWtrP</t>
    <phoneticPr fontId="43" type="noConversion"/>
  </si>
  <si>
    <t>TMS_OutWtrP</t>
    <phoneticPr fontId="43" type="noConversion"/>
  </si>
  <si>
    <t>ScCLTH_MaxCellTDegC</t>
    <phoneticPr fontId="43" type="noConversion"/>
  </si>
  <si>
    <t>ScCLTH_MinCellTDegC</t>
    <phoneticPr fontId="43" type="noConversion"/>
  </si>
  <si>
    <t>ScCLTH_AvgCellTDegC</t>
    <phoneticPr fontId="43" type="noConversion"/>
  </si>
  <si>
    <t>ScCLTH_MaxPoleTDegC</t>
    <phoneticPr fontId="43" type="noConversion"/>
  </si>
  <si>
    <t>ScCLTH_MinPoleTDegC</t>
    <phoneticPr fontId="43" type="noConversion"/>
  </si>
  <si>
    <t>ScCLTH_AvgPoleTDegC</t>
    <phoneticPr fontId="43" type="noConversion"/>
  </si>
  <si>
    <t>ScCLTH_MaxCellVMdulTDegC</t>
    <phoneticPr fontId="43" type="noConversion"/>
  </si>
  <si>
    <t>ScCLTH_MinCellVMdulTDegC</t>
    <phoneticPr fontId="43" type="noConversion"/>
  </si>
  <si>
    <t>RBMS_MinCellVMdulTDegC</t>
    <phoneticPr fontId="43" type="noConversion"/>
  </si>
  <si>
    <t>Sheet "Comm Matrix":
1. 帧 TMS_Info：重命名为TMS_SumInfo，并与CANFD通信矩阵中TMS_SumInfo信号保持一致；补充mapping name；
2. 帧 ParaThr_TMS：修改信号 CcTHMC_EntCoolMaxTemUpLimtC 名称；修改数据类型为 fixdt(0, 16, 2^-6, -40)；删除目前未实现信号的mapping name；
3. 信号 RBMS_SumInfo/RBMS_DFCLPointTimeDay 的增益：0-&gt;1；
4. 分辨率修改：
RBMS_LstChEkWh、RBMS_LstDchEkWh：0.0078125-&gt;0.1；
BBMS_LstChEkWh、BBMS_LstDchEkWh：0.25-&gt;1；
RBMS_IsoR、RBMS_IsoRPos、RBMS_IsoRNeg、BBMS_IsoRPos、BBMS_IsoRNeg：2-&gt;1；
5. mapping信号以及数据类型信号修改：
RBMS_A: ScEMCT_RBMS_A -&gt; ScSGPC_BatIA_dbug (fixdt(0, 32, 0.001, -2000));
RBMS_ModTmpMax: ScEMCT_RBMS_ModTmpMax -&gt; ScCLTH_MaxCellTDegC (fixdt(0, 16, 2^-6, -40));
RBMS_ModTmpMin: ScEMCT_RBMS_ModTmpMin -&gt; ScCLTH_MinCellTDegC (fixdt(0, 16, 2^-6, -40));
RBMS_ModTmpAvg: ScEMCT_RBMS_ModTmpAvg -&gt; ScCLTH_AvgCellTDegC (fixdt(0, 16, 2^-6, -40));
RBMS_MaxPoleTDegC: ScEMCT_MaxPoleTDegC -&gt; ScCLTH_MaxPoleTDegC (fixdt(0, 16, 2^-6, -40));
RBMS_MinPoleTDegC: ScEMCT_MinPoleTDegC -&gt; ScCLTH_MinPoleTDegC (fixdt(0, 16, 2^-6, -40));
RBMS_AvgPoleTDegC: ScEMCT_AvgPoleTDegC -&gt; ScCLTH_AvgPoleTDegC (fixdt(0, 16, 2^-6, -40));
RBMS_ModTmp: SaEMCT_RBMS_ModTmp -&gt; SaCLTS_CellTDegC (fixdt(0, 16, 2^-6, -40));
RBMS_PoleTDegC: SaCLTS_CellTDegC (fixdt(0, 16, 2^-6, -40));
RBMS_MaxCellVMdulTDegC: ScCLTH_MaxCellVMdulTDegC (fixdt(0, 16, 2^-6, -40));
RBMS_MinCellVMdulTDegC: ScCLTH_MinCellVMdulTDegC (fixdt(0, 16, 2^-6, -40));
6. 删除帧 BBMS_Forward，在底层实现；
Sheet "Message ID"：TMS_Info -&gt; TMS_SumInfo; 删除帧 BBMS_Forward；</t>
    <phoneticPr fontId="43" type="noConversion"/>
  </si>
  <si>
    <t>2024/12/24</t>
    <phoneticPr fontId="43" type="noConversion"/>
  </si>
  <si>
    <t>CcBTCD_DchILimLvl1ThdA</t>
    <phoneticPr fontId="43" type="noConversion"/>
  </si>
  <si>
    <t>CcBTCD_DchILimLvl2ThdA</t>
    <phoneticPr fontId="43" type="noConversion"/>
  </si>
  <si>
    <t>CcBTCD_DchILimLvl3ThdA</t>
    <phoneticPr fontId="43" type="noConversion"/>
  </si>
  <si>
    <t>CcBTCD_DchIClrLimLvl2ThdA</t>
    <phoneticPr fontId="43" type="noConversion"/>
  </si>
  <si>
    <t>CcBTCD_DchIClrLimLvl3ThdA</t>
    <phoneticPr fontId="43" type="noConversion"/>
  </si>
  <si>
    <t>CcCLTH_ChOvtempLvl1LimDegC</t>
    <phoneticPr fontId="43" type="noConversion"/>
  </si>
  <si>
    <t>CcCLTH_ChOvtempLvl2LimDegC</t>
    <phoneticPr fontId="43" type="noConversion"/>
  </si>
  <si>
    <t>CcCLTH_ChOvtempLvl2RcvryLimDegC</t>
    <phoneticPr fontId="43" type="noConversion"/>
  </si>
  <si>
    <t>CcCLTH_ChOvtempLvl3LimDegC</t>
    <phoneticPr fontId="43" type="noConversion"/>
  </si>
  <si>
    <t>CcCLTH_ChOvtempLvl3RcvryLimDegC</t>
    <phoneticPr fontId="43" type="noConversion"/>
  </si>
  <si>
    <t>CcCLTH_ChUnderTLvl1LimDegC</t>
    <phoneticPr fontId="43" type="noConversion"/>
  </si>
  <si>
    <t>CcCLTH_ChUnderTLvl2LimDegC</t>
    <phoneticPr fontId="43" type="noConversion"/>
  </si>
  <si>
    <t>CcCLTH_ChUnderTLvl2RcvryLimDegC</t>
    <phoneticPr fontId="43" type="noConversion"/>
  </si>
  <si>
    <t>CcCLTH_ChUnderTLvl3LimDegC</t>
    <phoneticPr fontId="43" type="noConversion"/>
  </si>
  <si>
    <t>CcCLTH_ChUnderTLvl3RcvryLimDegC</t>
    <phoneticPr fontId="43" type="noConversion"/>
  </si>
  <si>
    <t>CcCLTH_ChOvtempLvl0LimDegC</t>
    <phoneticPr fontId="43" type="noConversion"/>
  </si>
  <si>
    <t>CcCLTH_DischOvtempLvl1LimDegC</t>
    <phoneticPr fontId="43" type="noConversion"/>
  </si>
  <si>
    <t>CcCLTH_DischOvtempLvl2LimDegC</t>
    <phoneticPr fontId="43" type="noConversion"/>
  </si>
  <si>
    <t>CcCLTH_DischOvtempLvl2RcvryLimDegC</t>
    <phoneticPr fontId="43" type="noConversion"/>
  </si>
  <si>
    <t>CcCLTH_DischOvtempLvl3LimDegC</t>
  </si>
  <si>
    <t>CcCLTH_DischOvtempLvl3RcvryLimDegC</t>
  </si>
  <si>
    <t>CcCLTH_DischOvtempLvl0LimDegC</t>
    <phoneticPr fontId="43" type="noConversion"/>
  </si>
  <si>
    <t>CcCLTH_DischUnderTLvl1LimDegC</t>
    <phoneticPr fontId="43" type="noConversion"/>
  </si>
  <si>
    <t>CcCLTH_DischUnderTLvl2LimDegC</t>
    <phoneticPr fontId="43" type="noConversion"/>
  </si>
  <si>
    <t>CcCLTH_DischUnderTLvl2RcvryLimDegC</t>
  </si>
  <si>
    <t>CcCLTH_DischUnderTLvl3LimDegC</t>
  </si>
  <si>
    <t>CcCLTH_DischUnderTLvl3RcvryLimDegC</t>
  </si>
  <si>
    <t>CcCLTH_TempDiffLvl1LimDegC</t>
    <phoneticPr fontId="43" type="noConversion"/>
  </si>
  <si>
    <t>CcCLTH_TempDiffLvl2LimDegC</t>
  </si>
  <si>
    <t>CcCLTH_TempDiffLvl2RcvryLimDegC</t>
  </si>
  <si>
    <t>CcCLTH_TempDiffLvl3LimDegC</t>
  </si>
  <si>
    <t>CcCLTH_TempDiffLvl3RcvryLimDegC</t>
  </si>
  <si>
    <t>CcSOCA_SOCOverLowLvl1EnaThdValPct</t>
    <phoneticPr fontId="43" type="noConversion"/>
  </si>
  <si>
    <t>CcSOCA_SOCOverLowLvl1RecThdValPct</t>
    <phoneticPr fontId="43" type="noConversion"/>
  </si>
  <si>
    <t>CcSOCA_SOCDiffOverHighEnaThdValPct</t>
    <phoneticPr fontId="43" type="noConversion"/>
  </si>
  <si>
    <t>CcSOCA_SOCDiffOverHighRecThdValPct</t>
    <phoneticPr fontId="43" type="noConversion"/>
  </si>
  <si>
    <t>CcSOHA_SOHCOverLowLvl3EnaThdValPct</t>
  </si>
  <si>
    <t>CcCBCC_CellSelfDischOverHighLvl1EnaThdValPct</t>
    <phoneticPr fontId="43" type="noConversion"/>
  </si>
  <si>
    <t>CcCBCC_CellSelfDischOverHighLvl2EnaThdValPct</t>
  </si>
  <si>
    <t>CcCBCC_CellSelfDischOverHighLvl3EnaThdValPct</t>
  </si>
  <si>
    <t>CcCBCC_CellSelfDischOverHighLvl3RecThdValPct</t>
  </si>
  <si>
    <t>V1.0.9</t>
    <phoneticPr fontId="43" type="noConversion"/>
  </si>
  <si>
    <t>/</t>
    <phoneticPr fontId="43" type="noConversion"/>
  </si>
  <si>
    <t>Rx</t>
    <phoneticPr fontId="43" type="noConversion"/>
  </si>
  <si>
    <t>BBMS_A</t>
    <phoneticPr fontId="43" type="noConversion"/>
  </si>
  <si>
    <t>BBMS_M</t>
    <phoneticPr fontId="43" type="noConversion"/>
  </si>
  <si>
    <t>℃</t>
    <phoneticPr fontId="43" type="noConversion"/>
  </si>
  <si>
    <t>Tx</t>
    <phoneticPr fontId="43" type="noConversion"/>
  </si>
  <si>
    <t>0x01</t>
    <phoneticPr fontId="43" type="noConversion"/>
  </si>
  <si>
    <t>0x03</t>
    <phoneticPr fontId="43" type="noConversion"/>
  </si>
  <si>
    <t>CcBTCD_RchaCurLvl1LimThdA</t>
    <phoneticPr fontId="43" type="noConversion"/>
  </si>
  <si>
    <t>CcBTCD_RchaCurLvl2LimThdA</t>
    <phoneticPr fontId="43" type="noConversion"/>
  </si>
  <si>
    <t>CcBTCD_RchaCurLvl3LimThdA</t>
    <phoneticPr fontId="43" type="noConversion"/>
  </si>
  <si>
    <t>CcBTCD_RchaCurClrLvl2LimThdA</t>
    <phoneticPr fontId="43" type="noConversion"/>
  </si>
  <si>
    <t>CcBTCD_RchaCurClrLvl3LimThdA</t>
    <phoneticPr fontId="43" type="noConversion"/>
  </si>
  <si>
    <t>CcCLVH_MinCellVUvLvl4FltV1mV</t>
    <phoneticPr fontId="43" type="noConversion"/>
  </si>
  <si>
    <t>CcCLVH_MinCellVUvLvl4FltV2mV</t>
    <phoneticPr fontId="43" type="noConversion"/>
  </si>
  <si>
    <r>
      <t>192.168.1.1</t>
    </r>
    <r>
      <rPr>
        <sz val="10.5"/>
        <color rgb="FF000000"/>
        <rFont val="等线"/>
        <family val="2"/>
        <scheme val="minor"/>
      </rPr>
      <t>36</t>
    </r>
    <phoneticPr fontId="43" type="noConversion"/>
  </si>
  <si>
    <r>
      <t>192.168.1.137</t>
    </r>
    <r>
      <rPr>
        <sz val="10.5"/>
        <color rgb="FF000000"/>
        <rFont val="等线"/>
        <family val="2"/>
        <scheme val="minor"/>
      </rPr>
      <t/>
    </r>
  </si>
  <si>
    <r>
      <t>192.168.1.138</t>
    </r>
    <r>
      <rPr>
        <sz val="10.5"/>
        <color rgb="FF000000"/>
        <rFont val="等线"/>
        <family val="2"/>
        <scheme val="minor"/>
      </rPr>
      <t/>
    </r>
  </si>
  <si>
    <r>
      <t>192.168.1.139</t>
    </r>
    <r>
      <rPr>
        <sz val="10.5"/>
        <color rgb="FF000000"/>
        <rFont val="等线"/>
        <family val="2"/>
        <scheme val="minor"/>
      </rPr>
      <t/>
    </r>
  </si>
  <si>
    <r>
      <t>192.168.1.140</t>
    </r>
    <r>
      <rPr>
        <sz val="10.5"/>
        <color rgb="FF000000"/>
        <rFont val="等线"/>
        <family val="2"/>
        <scheme val="minor"/>
      </rPr>
      <t/>
    </r>
  </si>
  <si>
    <r>
      <t>192.168.1.141</t>
    </r>
    <r>
      <rPr>
        <sz val="10.5"/>
        <color rgb="FF000000"/>
        <rFont val="等线"/>
        <family val="2"/>
        <scheme val="minor"/>
      </rPr>
      <t/>
    </r>
  </si>
  <si>
    <r>
      <t>192.168.1.142</t>
    </r>
    <r>
      <rPr>
        <sz val="10.5"/>
        <color rgb="FF000000"/>
        <rFont val="等线"/>
        <family val="2"/>
        <scheme val="minor"/>
      </rPr>
      <t/>
    </r>
  </si>
  <si>
    <r>
      <t>192.168.1.143</t>
    </r>
    <r>
      <rPr>
        <sz val="10.5"/>
        <color rgb="FF000000"/>
        <rFont val="等线"/>
        <family val="2"/>
        <scheme val="minor"/>
      </rPr>
      <t/>
    </r>
  </si>
  <si>
    <r>
      <t>192.168.1.144</t>
    </r>
    <r>
      <rPr>
        <sz val="10.5"/>
        <color rgb="FF000000"/>
        <rFont val="等线"/>
        <family val="2"/>
        <scheme val="minor"/>
      </rPr>
      <t/>
    </r>
  </si>
  <si>
    <r>
      <t>192.168.1.145</t>
    </r>
    <r>
      <rPr>
        <sz val="10.5"/>
        <color rgb="FF000000"/>
        <rFont val="等线"/>
        <family val="2"/>
        <scheme val="minor"/>
      </rPr>
      <t/>
    </r>
  </si>
  <si>
    <r>
      <t>192.168.1.146</t>
    </r>
    <r>
      <rPr>
        <sz val="10.5"/>
        <color rgb="FF000000"/>
        <rFont val="等线"/>
        <family val="2"/>
        <scheme val="minor"/>
      </rPr>
      <t/>
    </r>
  </si>
  <si>
    <r>
      <t>192.168.1.147</t>
    </r>
    <r>
      <rPr>
        <sz val="10.5"/>
        <color rgb="FF000000"/>
        <rFont val="等线"/>
        <family val="2"/>
        <scheme val="minor"/>
      </rPr>
      <t/>
    </r>
  </si>
  <si>
    <r>
      <t>192.168.1.148</t>
    </r>
    <r>
      <rPr>
        <sz val="10.5"/>
        <color rgb="FF000000"/>
        <rFont val="等线"/>
        <family val="2"/>
        <scheme val="minor"/>
      </rPr>
      <t/>
    </r>
  </si>
  <si>
    <r>
      <t>192.168.1.149</t>
    </r>
    <r>
      <rPr>
        <sz val="10.5"/>
        <color rgb="FF000000"/>
        <rFont val="等线"/>
        <family val="2"/>
        <scheme val="minor"/>
      </rPr>
      <t/>
    </r>
  </si>
  <si>
    <r>
      <t>H</t>
    </r>
    <r>
      <rPr>
        <sz val="10.5"/>
        <color rgb="FF000000"/>
        <rFont val="等线"/>
        <family val="2"/>
        <scheme val="minor"/>
      </rPr>
      <t>MI</t>
    </r>
    <phoneticPr fontId="43" type="noConversion"/>
  </si>
  <si>
    <t>2024/12/27</t>
    <phoneticPr fontId="43" type="noConversion"/>
  </si>
  <si>
    <t>V1.0.10</t>
    <phoneticPr fontId="43" type="noConversion"/>
  </si>
  <si>
    <t>Sheet "Comm Matrix"：帧 ParaThr_CellV、ParaThr_RackI、ParaThr_ModuleT、ParaThr_SOX、ParaThr_AUX更新mapping信号名，并更新信号名与mapping信号名一致；；
Sheet "Message ID"：更新各数据帧的接收/发送方；
Sheet "Station ID"：修改IP Address；</t>
    <phoneticPr fontId="43" type="noConversion"/>
  </si>
  <si>
    <r>
      <t>2</t>
    </r>
    <r>
      <rPr>
        <sz val="9.75"/>
        <color rgb="FF000000"/>
        <rFont val="等线"/>
        <family val="2"/>
        <scheme val="minor"/>
      </rPr>
      <t>025/01/06</t>
    </r>
    <phoneticPr fontId="43" type="noConversion"/>
  </si>
  <si>
    <t>Sheet "Comm Matrix" &amp; Sheet "Message ID"：
1. 新增帧 RBMS_PCBBdTemp，增加PCB板温及有效性数据；
2. 删除帧 ParaThd_TMS 中以 B/C 结尾的信号；
3. 帧 RBMS_Fault 只发给 BBMS_A，不再发给 BBMS_M；</t>
    <phoneticPr fontId="43" type="noConversion"/>
  </si>
  <si>
    <t>V1.0.11</t>
    <phoneticPr fontId="43" type="noConversion"/>
  </si>
  <si>
    <t>HMI_LocRemCtl</t>
    <phoneticPr fontId="43" type="noConversion"/>
  </si>
  <si>
    <t>HMI_SetEna</t>
    <phoneticPr fontId="43" type="noConversion"/>
  </si>
  <si>
    <t>HMI_SetCon</t>
    <phoneticPr fontId="43" type="noConversion"/>
  </si>
  <si>
    <t>HMI_AlmRst</t>
    <phoneticPr fontId="43" type="noConversion"/>
  </si>
  <si>
    <t>HMI_SetEnaIso</t>
    <phoneticPr fontId="43" type="noConversion"/>
  </si>
  <si>
    <t>HMI_RBMSDOCtrl</t>
  </si>
  <si>
    <t>HMI_RBMSDOCtrl</t>
    <phoneticPr fontId="43" type="noConversion"/>
  </si>
  <si>
    <t>HMI二级板DO控制命令</t>
    <phoneticPr fontId="43" type="noConversion"/>
  </si>
  <si>
    <t>/</t>
    <phoneticPr fontId="43" type="noConversion"/>
  </si>
  <si>
    <t>0x03</t>
    <phoneticPr fontId="43" type="noConversion"/>
  </si>
  <si>
    <t>struct HMI_RBMSDOCtrl</t>
    <phoneticPr fontId="43" type="noConversion"/>
  </si>
  <si>
    <t>Tx</t>
    <phoneticPr fontId="43" type="noConversion"/>
  </si>
  <si>
    <t>Rx</t>
    <phoneticPr fontId="43" type="noConversion"/>
  </si>
  <si>
    <t>HMI_BBMSDOCtrl</t>
    <phoneticPr fontId="43" type="noConversion"/>
  </si>
  <si>
    <t>HMI三级板DO控制命令</t>
    <phoneticPr fontId="43" type="noConversion"/>
  </si>
  <si>
    <t>struct HMI_BBMSDOCtrl</t>
    <phoneticPr fontId="43" type="noConversion"/>
  </si>
  <si>
    <t>2025/01/13</t>
    <phoneticPr fontId="43" type="noConversion"/>
  </si>
  <si>
    <t>HMI_RBMSRlyCtrl</t>
    <phoneticPr fontId="43" type="noConversion"/>
  </si>
  <si>
    <t>HMI二级板继电器强控指令</t>
    <phoneticPr fontId="43" type="noConversion"/>
  </si>
  <si>
    <t>struct HMI_RBMSRlyCtrl</t>
    <phoneticPr fontId="43" type="noConversion"/>
  </si>
  <si>
    <t>HMI_RBMSDO1HCtrlFlg</t>
  </si>
  <si>
    <t>HMI_RBMSDO1LCtrlFlg</t>
  </si>
  <si>
    <t>HMI_RBMSDO2HCtrlFlg</t>
  </si>
  <si>
    <t>HMI_RBMSDO2LCtrlFlg</t>
  </si>
  <si>
    <t>HMI_RBMSDO3HCtrlFlg</t>
  </si>
  <si>
    <t>HMI_RBMSDO3LCtrlFlg</t>
  </si>
  <si>
    <t>HMI_RBMSDO4HCtrlFlg</t>
  </si>
  <si>
    <t>HMI_RBMSDO4LCtrlFlg</t>
  </si>
  <si>
    <t>HMI_RBMSDO5LCtrlFlg</t>
  </si>
  <si>
    <t>HMI_RBMSDO6LCtrlFlg</t>
  </si>
  <si>
    <t>HMI_BBMSDO0CtrlFlg</t>
  </si>
  <si>
    <t>HMI_BBMSDO1CtrlFlg</t>
  </si>
  <si>
    <t>HMI_BBMSDO2CtrlFlg</t>
  </si>
  <si>
    <t>HMI_BBMSDO3CtrlFlg</t>
  </si>
  <si>
    <t>HMI_BBMSDO4CtrlFlg</t>
  </si>
  <si>
    <t>HMI_BBMSDO5CtrlFlg</t>
  </si>
  <si>
    <t>HMI_BBMSDO6CtrlFlg</t>
  </si>
  <si>
    <t>HMI_BBMSDO7CtrlFlg</t>
  </si>
  <si>
    <t>HMI_BBMSDO8CtrlFlg</t>
  </si>
  <si>
    <t>HMI_BBMSDO9CtrlFlg</t>
  </si>
  <si>
    <t>HMI_BBMSDO10CtrlFlg</t>
  </si>
  <si>
    <t>HMI_RBMSDO7CtrlFlg</t>
    <phoneticPr fontId="43" type="noConversion"/>
  </si>
  <si>
    <t>HMI_RBMSDO8CtrlFlg</t>
    <phoneticPr fontId="43" type="noConversion"/>
  </si>
  <si>
    <t>禁止：断开对外输出；使能：连接对外输出（仅本地模式生效）</t>
    <phoneticPr fontId="43" type="noConversion"/>
  </si>
  <si>
    <t>Sheet "Comm Matrix" &amp; Sheet "Message ID"：
1. 帧 ParaThr_TMS：修改数据类型为 fixdt(0, 16, 2^-6, -40) -&gt; fixdt(0, 8, 1, -40)；
2. 帧 RBMS_PCBBdTemp：接收方增加 HMI（但暂时无需HMI显示），便于与 BBMS_A 组播；
3. 帧 RBMS_SumInfo 中信号 RBMS_AccuDischrgAh、RBMS_AccuChrgAh：修改数据类型为 fixdt(0, 64, 0.001, 0) -&gt; fixdt(0, 32, 1, 0)；
4. 上位机 DIDO 控制需求：
    a）本地/远程控制、使能控制、连接控制、故障清除、使能绝缘检测 已在原 HMI_CtlWord 帧实现；RBMS继电器强控 已在原 HMI_RackDOCtrl 中等效实现，重命名为 HMI_RBMSRlyCtrl；
    b）新增帧 HMI_RBMSDOCtrl、HMI_BBMSDOCtrl；
    c）DIDO状态显示已在底层实现；</t>
    <phoneticPr fontId="43" type="noConversion"/>
  </si>
  <si>
    <t>V1.0.12</t>
    <phoneticPr fontId="43" type="noConversion"/>
  </si>
  <si>
    <t>zhangyf03</t>
  </si>
  <si>
    <t>songx0830：簇电流是否可以直接用single?
xuc 0904: 已提高分辨率</t>
    <phoneticPr fontId="43" type="noConversion"/>
  </si>
  <si>
    <t>RBMS_A</t>
    <phoneticPr fontId="43" type="noConversion"/>
  </si>
  <si>
    <t>RBMS_A2</t>
    <phoneticPr fontId="43" type="noConversion"/>
  </si>
  <si>
    <t>RBMS_ModTmpMax</t>
    <phoneticPr fontId="43" type="noConversion"/>
  </si>
  <si>
    <t>RBMS_MaxPoleTDegC</t>
    <phoneticPr fontId="43" type="noConversion"/>
  </si>
  <si>
    <t>ScEMCT_RBMS_A</t>
    <phoneticPr fontId="43" type="noConversion"/>
  </si>
  <si>
    <t>BSWSRackA</t>
    <phoneticPr fontId="43" type="noConversion"/>
  </si>
  <si>
    <t>BSWSRackModTmpMax</t>
    <phoneticPr fontId="43" type="noConversion"/>
  </si>
  <si>
    <t>BSWSRackModTmpMin</t>
    <phoneticPr fontId="43" type="noConversion"/>
  </si>
  <si>
    <t>BSWSRackModTmpAvg</t>
    <phoneticPr fontId="43" type="noConversion"/>
  </si>
  <si>
    <t>2025/01/23</t>
    <phoneticPr fontId="43" type="noConversion"/>
  </si>
  <si>
    <t>HMI_BBMSDO11CtrlFlg</t>
    <phoneticPr fontId="43" type="noConversion"/>
  </si>
  <si>
    <t>Sheet "Comm Matrix":
1. 新增列 "Rx Mapping Signal(BBMS_A)"（由列"Rx Mapping Signal(BBMS_M)"复制得到），重命名列 "Tx Mapping Signal(RBMS/BBMS_M)"-&gt;"Tx Mapping Signal(RBMS/BBMS_M/BBMS_A)"；
2. 帧 RBMS_SumInfo：
    a）新增以下信号与对应 Mapping 信号（低精度信号仅发送给BBMS_M）：
RBMS_A2: ScEMCT_RBMS_A, fixdt(0, 16, 2^-3, -2000);
RBMS_ModTmpMax2:  ScEMCT_RBMS_ModTmpMax, fixdt(0, 16, 1, -40);
RBMS_ModTmpMin2: ScEMCT_RBMS_ModTmpMin, fixdt(0, 16, 1, -40);
RBMS_ModTmpAvg2: ScEMCT_RBMS_ModTmpAvg, fixdt(0, 16, 1, -40);
RBMS_MaxPoleTDegC2:  ScEMCT_MaxPoleTDegC, fixdt(0, 8, 1, -40);
RBMS_MinPoleTDegC2: ScEMCT_MinPoleTDegC, fixdt(0, 8, 1, -40);
RBMS_AvgPoleTDegC2: ScEMCT_AvgPoleTDegC, fixdt(0, 8, 1, -40);
    b）对于与以上信号名称去掉后缀"2"后相同的信号以及信号 RBMS_MaxCellVMdulTDegC/RBMS_MinCellVMdulTDegC：列"Rx Mapping Signal(BBMS_M)"的值修改为"/"（高精度信号仅发送给BBMS_A）；
3. 帧 HMI_BBMSDOCtrl 新增信号 HMI_BBMSDO11CtrlFlg；</t>
    <phoneticPr fontId="43" type="noConversion"/>
  </si>
  <si>
    <t>V1.0.13</t>
    <phoneticPr fontId="43" type="noConversion"/>
  </si>
  <si>
    <t>RBMS_SOXdebugData1</t>
    <phoneticPr fontId="43" type="noConversion"/>
  </si>
  <si>
    <t>RBMS_SOXdebugData2</t>
    <phoneticPr fontId="43" type="noConversion"/>
  </si>
  <si>
    <t>Periodic</t>
    <phoneticPr fontId="43" type="noConversion"/>
  </si>
  <si>
    <t>struct RBMS_SOXdebugData1</t>
    <phoneticPr fontId="43" type="noConversion"/>
  </si>
  <si>
    <t>struct RBMS_SOXdebugData2</t>
    <phoneticPr fontId="43" type="noConversion"/>
  </si>
  <si>
    <t>SOX算法调试的输入数据，包含电流、电压、温度等</t>
    <phoneticPr fontId="43" type="noConversion"/>
  </si>
  <si>
    <t>SOX算法调试的输出数据，包含SOC、SOHC、容量等</t>
    <phoneticPr fontId="43" type="noConversion"/>
  </si>
  <si>
    <t>ScSGPC_MaxCellVmV</t>
  </si>
  <si>
    <t>ScSGPC_MinCellVmV</t>
  </si>
  <si>
    <t>ScSGPC_BatIStNbr</t>
  </si>
  <si>
    <t>ScSGPC_HisSleepTiMin</t>
  </si>
  <si>
    <t>ScSGPC_HisRunTiMin</t>
  </si>
  <si>
    <t>ScHIST_CycNbr</t>
  </si>
  <si>
    <t>SbSGPC_GenlCellVVldFlg</t>
  </si>
  <si>
    <t>ScSOHA_RealSysCapAh_dbug</t>
  </si>
  <si>
    <t>ScSOHA_DispSysSOHCPct</t>
  </si>
  <si>
    <t>ScSOHA_MFCLTargtValueVmax</t>
  </si>
  <si>
    <t>ScSOHA_MFCLTargtValueVmin</t>
  </si>
  <si>
    <t>SaSOCA_MaxMinSOCPct1</t>
  </si>
  <si>
    <t>SaSOCA_MaxMinSOCPct2</t>
  </si>
  <si>
    <t>SaSOCA_MaxMinSOCState1</t>
  </si>
  <si>
    <t>SaSOCA_MaxMinSOCState2</t>
  </si>
  <si>
    <t>SaSOCA_SimCellVmV1</t>
  </si>
  <si>
    <t>SaSOCA_SimCellVmV2</t>
  </si>
  <si>
    <t>ScSOCA_RealSysSOCPct_dbug</t>
  </si>
  <si>
    <t>ScSOCA_DispSysSOCPct</t>
  </si>
  <si>
    <t>ScSOHA_MFCLPoint1FlgVmax</t>
  </si>
  <si>
    <t>ScSOHA_MFCLPoint1FlgVmin</t>
  </si>
  <si>
    <t>ScSOHA_MFCLPoint2FlgVmax</t>
  </si>
  <si>
    <t>ScSOHA_MFCLPoint2FlgVmin</t>
  </si>
  <si>
    <t>ScSOHA_MFCLPoint3FlgVmax</t>
  </si>
  <si>
    <t>ScSOHA_MFCLPoint3FlgVmin</t>
  </si>
  <si>
    <t>Ah</t>
    <phoneticPr fontId="43" type="noConversion"/>
  </si>
  <si>
    <t>Min</t>
    <phoneticPr fontId="43" type="noConversion"/>
  </si>
  <si>
    <t>0：静置；1：充电；2：放电</t>
    <phoneticPr fontId="43" type="noConversion"/>
  </si>
  <si>
    <t>ScSOHA_MFCLPoint3Flg[1]</t>
    <phoneticPr fontId="43" type="noConversion"/>
  </si>
  <si>
    <t>ScSOHA_MFCLPoint3Flg[0]</t>
    <phoneticPr fontId="43" type="noConversion"/>
  </si>
  <si>
    <t>0：无效1：有效</t>
    <phoneticPr fontId="43" type="noConversion"/>
  </si>
  <si>
    <t>SaSOCA_SimCellVmV[0]</t>
    <phoneticPr fontId="43" type="noConversion"/>
  </si>
  <si>
    <t>SaSOCA_SimCellVmV[1]</t>
    <phoneticPr fontId="43" type="noConversion"/>
  </si>
  <si>
    <t>SaSOCA_MaxMinSOCPct[0]</t>
    <phoneticPr fontId="43" type="noConversion"/>
  </si>
  <si>
    <t>SaSOCA_MaxMinSOCPct[1]</t>
    <phoneticPr fontId="43" type="noConversion"/>
  </si>
  <si>
    <t>Sheet "Message ID":
1. 帧 RBMS_SumInfo 的 BBMS_M 列 "Rx"-&gt;"/"；(此帧暂时不发给BBMS_M，等待双网冗余完成后释放)
2. 新增帧 RBMS_SOXdebugData1、RBMS_SOXdebugData2，记录智慧森林算法调试数据；
Sheet "Comm Matrix"：
新增帧 RBMS_SOXdebugData1、RBMS_SOXdebugData2，记录智慧森林算法调试数据；</t>
    <phoneticPr fontId="43" type="noConversion"/>
  </si>
  <si>
    <t>2025/02/18</t>
    <phoneticPr fontId="43" type="noConversion"/>
  </si>
  <si>
    <t>V1.0.14</t>
    <phoneticPr fontId="43" type="noConversion"/>
  </si>
  <si>
    <t>2025/02/19</t>
    <phoneticPr fontId="43" type="noConversion"/>
  </si>
  <si>
    <t>Sheet "Comm Matrix"：
信号 RBMS_TMSFltLevel 的 Tx Mapping Signal：ScTMCR_TMSFltLevel→ScTMCR_TMSFltLevelState</t>
    <phoneticPr fontId="43" type="noConversion"/>
  </si>
  <si>
    <t>V1.0.15</t>
    <phoneticPr fontId="43" type="noConversion"/>
  </si>
  <si>
    <t>Sheet "Comm Matrix"：
帧 ParaThr_AUX 中删除信号 CcSOCA_FullChJudgeCellVmV、CcSOPC_FullDischCutVmV</t>
    <phoneticPr fontId="43" type="noConversion"/>
  </si>
  <si>
    <t>ScEMCT_BBMS_IDLearnStrtNbr</t>
    <phoneticPr fontId="43" type="noConversion"/>
  </si>
  <si>
    <t>ScEMCT_BBMS_IDLearnFaiLocationNbr</t>
    <phoneticPr fontId="43" type="noConversion"/>
  </si>
  <si>
    <t>ScEMCT_BBMS_CntrSt</t>
    <phoneticPr fontId="43" type="noConversion"/>
  </si>
  <si>
    <t>ScEMCT_BBMS_WtrSt</t>
    <phoneticPr fontId="43" type="noConversion"/>
  </si>
  <si>
    <t>BSWSRackMCURstRsnNbr</t>
    <phoneticPr fontId="43" type="noConversion"/>
  </si>
  <si>
    <t>BSWSRackGenlVldFlg</t>
    <phoneticPr fontId="43" type="noConversion"/>
  </si>
  <si>
    <t>V1.0.16</t>
    <phoneticPr fontId="43" type="noConversion"/>
  </si>
  <si>
    <t>RBMS_ModTmpMin</t>
    <phoneticPr fontId="43" type="noConversion"/>
  </si>
  <si>
    <t>RBMS_ModTmpAvg</t>
    <phoneticPr fontId="43" type="noConversion"/>
  </si>
  <si>
    <t>RBMS_MinPoleTDegC</t>
    <phoneticPr fontId="43" type="noConversion"/>
  </si>
  <si>
    <t>RBMS_AvgPoleTDegC</t>
    <phoneticPr fontId="43" type="noConversion"/>
  </si>
  <si>
    <t>RBMS_PreChrgRT</t>
  </si>
  <si>
    <t>BSWSRackPreChrgRT</t>
  </si>
  <si>
    <t>BSWSRackFaultEvt</t>
  </si>
  <si>
    <t>ScEMCT_RBMS_PreChrgRT</t>
    <phoneticPr fontId="43" type="noConversion"/>
  </si>
  <si>
    <t>ScEMCT_RBMS_RlyCtrlCmd</t>
    <phoneticPr fontId="43" type="noConversion"/>
  </si>
  <si>
    <t>RBMS_AttachState</t>
    <phoneticPr fontId="43" type="noConversion"/>
  </si>
  <si>
    <t>Sheet "Message ID":
1. 帧 RBMS_SumInfo 的 BBMS_M 列 "/" -&gt; "Rx"；
2. 新增帧 RBMS_AFEVolt；
Sheet "Comm Matrix"：
1. 根据 CANFD 通讯矩阵添加信号；
2. 新增帧 RBMS_AFEVolt；
3. 帧 RBMS_SumInfo：
    a）补充、修改"Rx Mapping Signal"列信号；
    b）对于涉及不同精度的电流、温度等信号，发给A核的信号名添加后缀"2"，对应的 Mapping 信号名称后添加后缀 "_A"；</t>
    <phoneticPr fontId="43" type="noConversion"/>
  </si>
  <si>
    <t>V1.0.17</t>
    <phoneticPr fontId="43" type="noConversion"/>
  </si>
  <si>
    <t>BBMS_ConFail</t>
    <phoneticPr fontId="43" type="noConversion"/>
  </si>
  <si>
    <t>HMI_RackFaultCali</t>
  </si>
  <si>
    <t>HMI_RackFaultCali</t>
    <phoneticPr fontId="43" type="noConversion"/>
  </si>
  <si>
    <t>HMI_BankFaultCali</t>
  </si>
  <si>
    <t>HMI_BankFaultCali</t>
    <phoneticPr fontId="43" type="noConversion"/>
  </si>
  <si>
    <t>Bank故障累积次数标定</t>
  </si>
  <si>
    <t>HMI_RackFltHistInfoIndicator</t>
    <phoneticPr fontId="43" type="noConversion"/>
  </si>
  <si>
    <t>HMI_BankFltHistInfoIndicator</t>
    <phoneticPr fontId="43" type="noConversion"/>
  </si>
  <si>
    <t>2-401</t>
    <phoneticPr fontId="43" type="noConversion"/>
  </si>
  <si>
    <t>BSWSFltHistInfoIndicator</t>
    <phoneticPr fontId="43" type="noConversion"/>
  </si>
  <si>
    <t>BSWSFltHistInfoIndicator</t>
    <phoneticPr fontId="50" type="noConversion"/>
  </si>
  <si>
    <t>BSWSAllFltHisAccuCaliVal</t>
    <phoneticPr fontId="50" type="noConversion"/>
  </si>
  <si>
    <t>BSWSAllFltHisAccuCaliVal</t>
    <phoneticPr fontId="43" type="noConversion"/>
  </si>
  <si>
    <t>HMI_RackAllFltHistAccuCaliVal[200]</t>
    <phoneticPr fontId="43" type="noConversion"/>
  </si>
  <si>
    <t>HMI_BankAllFltHistAccuCaliVal[200]</t>
    <phoneticPr fontId="43" type="noConversion"/>
  </si>
  <si>
    <t>struct HMI_RackFaultCali</t>
    <phoneticPr fontId="43" type="noConversion"/>
  </si>
  <si>
    <t>struct HMI_BankFaultCali</t>
    <phoneticPr fontId="43" type="noConversion"/>
  </si>
  <si>
    <t>写入-Rack故障累积次数标定</t>
    <phoneticPr fontId="43" type="noConversion"/>
  </si>
  <si>
    <t>写入-Bank故障累积次数标定</t>
    <phoneticPr fontId="43" type="noConversion"/>
  </si>
  <si>
    <t>ScBTCS_RackChrgCapmAh</t>
    <phoneticPr fontId="43" type="noConversion"/>
  </si>
  <si>
    <t>ScBTCS_RackDsChrgCapmAh</t>
    <phoneticPr fontId="43" type="noConversion"/>
  </si>
  <si>
    <t>mAh</t>
    <phoneticPr fontId="43" type="noConversion"/>
  </si>
  <si>
    <t>RBMS_IslnInhibitNbr</t>
    <phoneticPr fontId="43" type="noConversion"/>
  </si>
  <si>
    <t>ScCSPC_FullChEnaNbr</t>
    <phoneticPr fontId="43" type="noConversion"/>
  </si>
  <si>
    <t>ScCSPC_FullDischEnaNbr</t>
    <phoneticPr fontId="43" type="noConversion"/>
  </si>
  <si>
    <t>bit0: 显示SOC修100
bit1: MaxSOC修100</t>
    <phoneticPr fontId="43" type="noConversion"/>
  </si>
  <si>
    <t>bit0: 显示SOC修0
bit1: MinSOC修0</t>
    <phoneticPr fontId="43" type="noConversion"/>
  </si>
  <si>
    <t>FULL_DISCHARGE_CELLV</t>
    <phoneticPr fontId="43" type="noConversion"/>
  </si>
  <si>
    <t>FULL_CHARGE_CELLV</t>
    <phoneticPr fontId="43" type="noConversion"/>
  </si>
  <si>
    <t>Nbr</t>
    <phoneticPr fontId="43" type="noConversion"/>
  </si>
  <si>
    <t>Sheet "Message ID":
1. 新增帧 HMI_RackFaultCali、HMI_BankFaultCali 相关命令，用于NVM批量标定故障次数；
Sheet "Comm Matrix"：
1. 新增帧 HMI_RackFaultCali、HMI_BankFaultCali，用于NVM批量标定故障次数；
2. 帧 BBMS_SumInfo：信号 BBMS_ConFail 修改描述与 CANFD 中一致，删除信号 BBMS_CycleTimes；
3. 帧 RBMS_SumInfo：信号 RBMS_CellTMUXFaiIDNbr 变更，删除信号 RBMS_PoleTAllVldFlg；
4. SOX调试数据帧信号修改；
5. 帧 ParaThr_AUX：修改满充满放电压阈值信号；</t>
    <phoneticPr fontId="43" type="noConversion"/>
  </si>
  <si>
    <t>ScEMCT_RBMS_ChaSt</t>
    <phoneticPr fontId="43" type="noConversion"/>
  </si>
  <si>
    <t>V1.0.18</t>
    <phoneticPr fontId="43" type="noConversion"/>
  </si>
  <si>
    <t>Sheet "Message ID":
1. 删除帧 HMI_RackFaultCali、HMI_BankFaultCali 的读取命令；
Sheet "Comm Matrix"：
1. 帧 RBMS_SumInfo：删除信号 RBMS_CellOvTiNbr、RBMS_CellOvTempTiNbr、RBMS_FltProtnTiNbr；新增信号 RBMS_FltOvTiNbr，用于发送故障数组越限次数；
2. 帧 BBMS_SumInfo：新增信号 BBMS_FltOvTiNbr，用于发送故障数组越限次数；</t>
    <phoneticPr fontId="43" type="noConversion"/>
  </si>
  <si>
    <t>V1.0.19</t>
    <phoneticPr fontId="43" type="noConversion"/>
  </si>
  <si>
    <t>flg</t>
    <phoneticPr fontId="43" type="noConversion"/>
  </si>
  <si>
    <t>Sheet "Message ID": 新增帧 RBMS_PoleTemp；
Sheet "Comm Matrix"：新增帧 RBMS_PoleTemp（从帧 RBMS_CellTemp 中将极柱温度单独拆分成一帧 ）；</t>
    <phoneticPr fontId="43" type="noConversion"/>
  </si>
  <si>
    <t>V1.0.20</t>
    <phoneticPr fontId="43" type="noConversion"/>
  </si>
  <si>
    <t>Sheet "Comm Matrix"：帧 RBMS_PCBBdTemp：修改有效性信号Byte数、温度信号offset为-40；</t>
    <phoneticPr fontId="43" type="noConversion"/>
  </si>
  <si>
    <t>RBMS_CellVMax</t>
    <phoneticPr fontId="43" type="noConversion"/>
  </si>
  <si>
    <t>RBMS_CellVMaxPstn</t>
    <phoneticPr fontId="43" type="noConversion"/>
  </si>
  <si>
    <t>RBMS_CellVAvg</t>
    <phoneticPr fontId="43" type="noConversion"/>
  </si>
  <si>
    <t>V1.0.21</t>
    <phoneticPr fontId="43" type="noConversion"/>
  </si>
  <si>
    <t>RBMS_MaxCellVMdulInnerIdxNbr</t>
    <phoneticPr fontId="43" type="noConversion"/>
  </si>
  <si>
    <t>RBMS_MinCellVMdulInnerIdxNbr</t>
    <phoneticPr fontId="43" type="noConversion"/>
  </si>
  <si>
    <t>Reserved</t>
    <phoneticPr fontId="43" type="noConversion"/>
  </si>
  <si>
    <t>ScCLVH_MaxCellVMdulInnerIdxNbr</t>
    <phoneticPr fontId="43" type="noConversion"/>
  </si>
  <si>
    <t>ScCLVH_MinCellVMdulInnerIdxNbr</t>
    <phoneticPr fontId="43" type="noConversion"/>
  </si>
  <si>
    <t>ScCLVH_MaxCellVIdxMdulNbr</t>
    <phoneticPr fontId="43" type="noConversion"/>
  </si>
  <si>
    <t>ScCLVH_MinCellVIdxMdulNbr</t>
    <phoneticPr fontId="43" type="noConversion"/>
  </si>
  <si>
    <t>ScCLTH_MaxTMdulInnerIdxNbr</t>
    <phoneticPr fontId="43" type="noConversion"/>
  </si>
  <si>
    <t>ScCLTH_MinTMdulInnerIdxNbr</t>
    <phoneticPr fontId="43" type="noConversion"/>
  </si>
  <si>
    <t>ScCLTH_MaxTMdulIdxNbr</t>
    <phoneticPr fontId="43" type="noConversion"/>
  </si>
  <si>
    <t>ScCLTH_MinTMdulIdxNbr</t>
    <phoneticPr fontId="43" type="noConversion"/>
  </si>
  <si>
    <t>BSWSRackCellVMaxMdulPstnNbr</t>
    <phoneticPr fontId="43" type="noConversion"/>
  </si>
  <si>
    <t>BSWSRackCellVMinMdulPstnNbr</t>
    <phoneticPr fontId="43" type="noConversion"/>
  </si>
  <si>
    <t>BSWSRackCellVMaxMdulInnerPstnNbr</t>
    <phoneticPr fontId="43" type="noConversion"/>
  </si>
  <si>
    <t>BSWSRackCellVMinMdulInnerPstnNbr</t>
    <phoneticPr fontId="43" type="noConversion"/>
  </si>
  <si>
    <t>BSWSRackModTmpMaxMdulPstnNbr</t>
    <phoneticPr fontId="43" type="noConversion"/>
  </si>
  <si>
    <t>BSWSRackModTmpMinMdulPstnNbr</t>
    <phoneticPr fontId="43" type="noConversion"/>
  </si>
  <si>
    <t>BSWSRackModTmpMaxMdulInnerPstnNbr</t>
    <phoneticPr fontId="43" type="noConversion"/>
  </si>
  <si>
    <t>BSWSRackModTmpMinMdulInnerPstnNbr</t>
    <phoneticPr fontId="43" type="noConversion"/>
  </si>
  <si>
    <t>RBMS_MaxCellVMdulIdxNbr</t>
    <phoneticPr fontId="43" type="noConversion"/>
  </si>
  <si>
    <t>RBMS_MinCellVMdulIdxNbr</t>
    <phoneticPr fontId="43" type="noConversion"/>
  </si>
  <si>
    <t>RBMS_ConSt</t>
    <phoneticPr fontId="43" type="noConversion"/>
  </si>
  <si>
    <t>Sheet "Comm Matrix"：
1. 帧 RBMS_SumInfo：添加Reserved信号避免解析错位；删除RBMS_CellVIdxMdulNbr、RBMS_TMdulIdxNbr；增加Rack最大、最小电压/温度电芯所在模组以及模组内位置信号；RBMS_ConSt信号bit10改为急停状态；
2. 帧 BBMS_SumInfo：修改Bank最大、最小电压/温度电芯所在Rack、模组、模组内位置Tx mapping信号（将BKPC信号替换原EMCT信号）；
3. 帧 RBMS_AFEVolt：补充Tx mapping信号；</t>
    <phoneticPr fontId="43" type="noConversion"/>
  </si>
  <si>
    <t>CbCBCC_BalFordCmdFlg</t>
    <phoneticPr fontId="43" type="noConversion"/>
  </si>
  <si>
    <t>V1.0.22</t>
    <phoneticPr fontId="43" type="noConversion"/>
  </si>
  <si>
    <t>RBMS_CellBalSt</t>
    <phoneticPr fontId="43" type="noConversion"/>
  </si>
  <si>
    <t>RBMS_CellSdr</t>
    <phoneticPr fontId="43" type="noConversion"/>
  </si>
  <si>
    <t>SaEMCT_RBMS_CellBalSt</t>
    <phoneticPr fontId="43" type="noConversion"/>
  </si>
  <si>
    <t>SaEMCT_RBMS_CellSdr</t>
    <phoneticPr fontId="43" type="noConversion"/>
  </si>
  <si>
    <t>Sheet "Comm Matrix"：
帧 ParaThr_AUX：CbSGPC_BalFordCmdFlg-&gt;CbCBCC_BalFordCmdFlg；</t>
    <phoneticPr fontId="43" type="noConversion"/>
  </si>
  <si>
    <t>V1.0.23</t>
    <phoneticPr fontId="43" type="noConversion"/>
  </si>
  <si>
    <t>BSWSChain1LastNode</t>
    <phoneticPr fontId="43" type="noConversion"/>
  </si>
  <si>
    <t>BSWSChain2LastNode</t>
    <phoneticPr fontId="43" type="noConversion"/>
  </si>
  <si>
    <t>RBMS_DaisyChain1LastNode</t>
    <phoneticPr fontId="43" type="noConversion"/>
  </si>
  <si>
    <t>RBMS_DaisyChain2LastNode</t>
    <phoneticPr fontId="43" type="noConversion"/>
  </si>
  <si>
    <t>Sheet "Message ID": 新增帧 RBMS_PackPosNegConnTemp，Pack正负极连接件温度及其有效性；
Sheet "Comm Matrix"：
1. 新增帧 RBMS_PackPosNegConnTemp；
2. 帧 RBMS_SumInfo：新增AFE菊花链主、副链节点数信号 RBMS_DaisyChain1LastNode、RBMS_DaisyChain2LastNode，；</t>
    <phoneticPr fontId="43" type="noConversion"/>
  </si>
  <si>
    <t>V1.0.24</t>
    <phoneticPr fontId="43" type="noConversion"/>
  </si>
  <si>
    <t>MaxCellVOvLvl2FltVmV
单体过压二级报警阈值</t>
    <phoneticPr fontId="43" type="noConversion"/>
  </si>
  <si>
    <t>MaxCellVOvLvl2FltRcvryVmV
单体过压二级恢复阈值</t>
    <phoneticPr fontId="43" type="noConversion"/>
  </si>
  <si>
    <t>MaxCellVOvLvl3FltVmV
单体过压三级报警阈值</t>
    <phoneticPr fontId="43" type="noConversion"/>
  </si>
  <si>
    <t>MaxCellVOvLvl3FltRcvryVmV
单体过压三级恢复阈值</t>
    <phoneticPr fontId="43" type="noConversion"/>
  </si>
  <si>
    <t>MaxCellVOvLvl4FltVmV
单体过压极限报警阈值</t>
    <phoneticPr fontId="43" type="noConversion"/>
  </si>
  <si>
    <t>MinCellVUvLvl2FltVmV
单体欠压二级报警阈值</t>
    <phoneticPr fontId="43" type="noConversion"/>
  </si>
  <si>
    <t>MinCellVUvLvl2FltRcvryVmV
单体欠压二级恢复阈值</t>
    <phoneticPr fontId="43" type="noConversion"/>
  </si>
  <si>
    <t>MinCellVUvHTLvl4FltVmV
常温单体欠压极限报警阈值</t>
    <phoneticPr fontId="43" type="noConversion"/>
  </si>
  <si>
    <t>MinCellVUvLTLvl4FltVmV
低温单体欠压极限报警阈值</t>
    <phoneticPr fontId="43" type="noConversion"/>
  </si>
  <si>
    <t>MinCellVUvLvl3FltRcvryVmV
单体欠压三级恢复阈值</t>
    <phoneticPr fontId="43" type="noConversion"/>
  </si>
  <si>
    <t>MinCellVUvLvl3FltVmV
单体欠压三级报警阈值</t>
    <phoneticPr fontId="43" type="noConversion"/>
  </si>
  <si>
    <t>DeltaCellVOLLvl2FltVmV
单体压差过大二级报警阈值</t>
    <phoneticPr fontId="43" type="noConversion"/>
  </si>
  <si>
    <t>DeltaCellVOLLvl2FltRcvryVmV
单体压差过大二级恢复阈值</t>
    <phoneticPr fontId="43" type="noConversion"/>
  </si>
  <si>
    <t>DeltaCellVOLLvl3FltVmV
单体压差过大三级报警阈值</t>
    <phoneticPr fontId="43" type="noConversion"/>
  </si>
  <si>
    <t>DeltaCellVOLLvl3FltRcvryVmV
单体压差过大三级恢复阈值</t>
    <phoneticPr fontId="43" type="noConversion"/>
  </si>
  <si>
    <t>BatOVLvl2FltCfmThdV
电池串过压二级报警阈值</t>
    <phoneticPr fontId="43" type="noConversion"/>
  </si>
  <si>
    <t>BatOVLvl2FltRcvrThdV
电池串过压二级恢复阈值</t>
    <phoneticPr fontId="43" type="noConversion"/>
  </si>
  <si>
    <t>BatOVLvl3FltCfmThdV
电池串过压三级报警阈值</t>
    <phoneticPr fontId="43" type="noConversion"/>
  </si>
  <si>
    <t>BatOVLvl3FltRcvrThdV
电池串过压三级恢复阈值</t>
    <phoneticPr fontId="43" type="noConversion"/>
  </si>
  <si>
    <t>BatUVLvl1FltCfmThdV
电池串欠压一级报警阈值</t>
    <phoneticPr fontId="43" type="noConversion"/>
  </si>
  <si>
    <t>BatUVLvl2FltCfmThdV
电池串欠压二级报警阈值</t>
    <phoneticPr fontId="43" type="noConversion"/>
  </si>
  <si>
    <t>BatUVLvl2FltRcvrThdV
电池串欠压二级恢复阈值</t>
    <phoneticPr fontId="43" type="noConversion"/>
  </si>
  <si>
    <t>BatUVLvl3FltCfmThdV
电池串欠压三级报警阈值</t>
    <phoneticPr fontId="43" type="noConversion"/>
  </si>
  <si>
    <t>BatUVLvl3FltRcvrThdV
电池串欠压三级恢复阈值</t>
    <phoneticPr fontId="43" type="noConversion"/>
  </si>
  <si>
    <t>此阈值即为单体满充电压阈值</t>
    <phoneticPr fontId="43" type="noConversion"/>
  </si>
  <si>
    <t>此阈值即为单体满放电压阈值</t>
    <phoneticPr fontId="43" type="noConversion"/>
  </si>
  <si>
    <t>Sheet "Message ID"：删除帧 HMI_BroadcastSig；
Sheet "Comm Matrix"：
1. 删除帧 HMI_BroadcastSig；
2. 帧 ParaThr_AUX：删除4个信号CcCSPC_FullDischSumV、FULL_DISCHARGE_CELLV、CcCSPC_FullChSumV、FULL_CHARGE_CELLV；
3. 帧 ParaThr_CellV：信号CcCLVH_MaxCellVOvLvl2FltVmV-&gt;FULL_CHARGE_CELLV、CcCLVH_MinCellVUvLvl2FltVmV-&gt;FULL_DISCHARGE_CELLV；
4. 修改信号描述：帧 BBMS_SumInfo/信号BBMS_ConFail、帧 ParaThr_CellV、帧 ParaThr_RackV；</t>
    <phoneticPr fontId="43" type="noConversion"/>
  </si>
  <si>
    <t>V1.0.25</t>
    <phoneticPr fontId="43" type="noConversion"/>
  </si>
  <si>
    <t>Sheet "Comm Matrix"：帧 RBMS_SumInfo：修改高压盒温度相关信号名称、描述、Mapping信号；</t>
    <phoneticPr fontId="43" type="noConversion"/>
  </si>
  <si>
    <t>RBMS_CtlBoxT0DegC</t>
    <phoneticPr fontId="43" type="noConversion"/>
  </si>
  <si>
    <t>RBMS_CtlBoxT1DegC</t>
  </si>
  <si>
    <t>RBMS_CtlBoxT2DegC</t>
  </si>
  <si>
    <t>RBMS_CtlBoxT3DegC</t>
  </si>
  <si>
    <t>V1.0.26</t>
    <phoneticPr fontId="43" type="noConversion"/>
  </si>
  <si>
    <t>设备类型</t>
    <phoneticPr fontId="43" type="noConversion"/>
  </si>
  <si>
    <t>主节点号</t>
    <phoneticPr fontId="43" type="noConversion"/>
  </si>
  <si>
    <t>子节点号</t>
    <phoneticPr fontId="43" type="noConversion"/>
  </si>
  <si>
    <t>Broadcast</t>
    <phoneticPr fontId="43" type="noConversion"/>
  </si>
  <si>
    <t>0x00</t>
    <phoneticPr fontId="43" type="noConversion"/>
  </si>
  <si>
    <t>HMI &amp; BBMS_A</t>
    <phoneticPr fontId="43" type="noConversion"/>
  </si>
  <si>
    <t>HMI</t>
    <phoneticPr fontId="43" type="noConversion"/>
  </si>
  <si>
    <t>RBMS</t>
    <phoneticPr fontId="43" type="noConversion"/>
  </si>
  <si>
    <t>N</t>
    <phoneticPr fontId="43" type="noConversion"/>
  </si>
  <si>
    <t>Active_Balance</t>
    <phoneticPr fontId="43" type="noConversion"/>
  </si>
  <si>
    <t>0x05</t>
    <phoneticPr fontId="43" type="noConversion"/>
  </si>
  <si>
    <t>HMI_FltOvTiNbr</t>
    <phoneticPr fontId="43" type="noConversion"/>
  </si>
  <si>
    <t>读取-RBMS/BBMS故障越限次数</t>
    <phoneticPr fontId="43" type="noConversion"/>
  </si>
  <si>
    <t>OnChange</t>
    <phoneticPr fontId="43" type="noConversion"/>
  </si>
  <si>
    <t>struct HMI_FltOvTiNbr</t>
    <phoneticPr fontId="43" type="noConversion"/>
  </si>
  <si>
    <t>Get</t>
    <phoneticPr fontId="43" type="noConversion"/>
  </si>
  <si>
    <t>BBMS_A Store</t>
    <phoneticPr fontId="43" type="noConversion"/>
  </si>
  <si>
    <t>Set</t>
    <phoneticPr fontId="43" type="noConversion"/>
  </si>
  <si>
    <t>ScHIST_HistAccuDischCapAh</t>
    <phoneticPr fontId="43" type="noConversion"/>
  </si>
  <si>
    <t>ScHIST_HistAccuDischEngKwh</t>
    <phoneticPr fontId="43" type="noConversion"/>
  </si>
  <si>
    <t>ScHIST_HistAccuChCapAh</t>
    <phoneticPr fontId="43" type="noConversion"/>
  </si>
  <si>
    <t>ScHIST_HistAccuChEngKwh</t>
    <phoneticPr fontId="43" type="noConversion"/>
  </si>
  <si>
    <t>RBMS_Volt</t>
    <phoneticPr fontId="43" type="noConversion"/>
  </si>
  <si>
    <t>RBMS_Temp</t>
    <phoneticPr fontId="43" type="noConversion"/>
  </si>
  <si>
    <t>电芯电压及其有效性、各AFE总压</t>
    <phoneticPr fontId="43" type="noConversion"/>
  </si>
  <si>
    <t>电芯温度、极柱温度、Pack正负极连接件温度、PCB板温及其有效性</t>
    <phoneticPr fontId="43" type="noConversion"/>
  </si>
  <si>
    <t>struct RBMS_Volt</t>
    <phoneticPr fontId="43" type="noConversion"/>
  </si>
  <si>
    <t>SaCLVS_CellVVldFlg[TOTAL_SERIES_CELL_NUMBER_PER_RACK_BMS]</t>
    <phoneticPr fontId="43" type="noConversion"/>
  </si>
  <si>
    <t>SaCLVS_CellVmV[TOTAL_SERIES_CELL_NUMBER_PER_RACK_BMS]</t>
    <phoneticPr fontId="43" type="noConversion"/>
  </si>
  <si>
    <t>BSWSMdulVRawValmV[RACK_AFE_NUMBER]</t>
    <phoneticPr fontId="43" type="noConversion"/>
  </si>
  <si>
    <t>SaCLTS_CellTDegC[TOTAL_MODULE_TEMPERATURE_SENSOR_NUMBER_PER_RACK_BMS]</t>
    <phoneticPr fontId="43" type="noConversion"/>
  </si>
  <si>
    <t>RBMS_CellVVldFlg[TOTAL_SERIES_CELL_NUMBER_PER_RACK_MAX_REAL]</t>
    <phoneticPr fontId="43" type="noConversion"/>
  </si>
  <si>
    <t>RBMS_CellV[TOTAL_SERIES_CELL_NUMBER_PER_RACK_MAX_REAL]</t>
    <phoneticPr fontId="43" type="noConversion"/>
  </si>
  <si>
    <t>RBMS_AFEV[RACK_AFE_NUMBER_MAX]</t>
    <phoneticPr fontId="43" type="noConversion"/>
  </si>
  <si>
    <t>RBMS_PCBBdTVldFlg[RACK_AFE_NUMBER_MAX]</t>
    <phoneticPr fontId="43" type="noConversion"/>
  </si>
  <si>
    <t>RBMS_PCBBdTDegC[RACK_AFE_NUMBER_MAX]</t>
    <phoneticPr fontId="43" type="noConversion"/>
  </si>
  <si>
    <t>SaCLTS_PackPosNegConnTDegC[RACK_MODULE_NUMBER*2]</t>
    <phoneticPr fontId="43" type="noConversion"/>
  </si>
  <si>
    <t>RBMS/BBMS故障越限次数</t>
    <phoneticPr fontId="43" type="noConversion"/>
  </si>
  <si>
    <t>每两小时且故障次数发生变化就存储一次</t>
    <phoneticPr fontId="43" type="noConversion"/>
  </si>
  <si>
    <t>SaFRLM_HistAccuAllFltTiNbr</t>
    <phoneticPr fontId="43" type="noConversion"/>
  </si>
  <si>
    <t>FltOvTiNbr[200]</t>
    <phoneticPr fontId="43" type="noConversion"/>
  </si>
  <si>
    <t>Sheet "Message ID"：
1. 增加帧 HMI_FltOvTiNbr，用于标定RBMS/BBMS_M故障越限次数；
2. 增加列 Rx_cmdType，以区分接收命令类型；
3. 增加列 BBMS_A Store，以识别A核需要保存的数据；
4. 合并电压、温度数据帧：
    a. 帧 RBMS_CellV、RBMS_AFEVolt 合并至同一帧 RBMS_Volt；
    b. 帧 RBMS_CellTemp、RBMS_PoleTemp、RBMS_PackPosNegConnTemp、RBMS_PCBBdTemp 合并至同一帧 RBMS_Temp；
Sheet "Comm Matrix"：
1. 帧 RBMS_SumInfo/RBMS_FltOvTiNbr[200] 与 帧BBMS_SumInfo/BBMS_FltOvTiNbr[200] 移至帧 HMI_FltOvTiNbr；
2. 将5s/10s/30s发送的EMCT模型输出更新为前置模块的输出变量；
3. 帧 RBMS_SumInfo 中删除部分无逻辑信号，与CAN保持一致；
4. 涉及维度信号优化：
    a. 删除有效性信号 RBMS_ModTmpVldFlg、RBMS_PoleTVldFlg、RBMS_PackPosNegConnTVldFlg（温度为-40时即为无效）；
    b. 电压、温度合并后数据帧 RBMS_Volt、RBMS_Temp：固定结构体维度，可变维度定义在Map信号中；
新增 Sheet "Device ID"：记录设备类型以及节点号；</t>
    <phoneticPr fontId="43" type="noConversion"/>
  </si>
  <si>
    <t>RBMS_ModTmp[TOTAL_SERIES_CELL_NUMBER_PER_RACK_MAX_REAL]</t>
    <phoneticPr fontId="43" type="noConversion"/>
  </si>
  <si>
    <t>1-832</t>
    <phoneticPr fontId="43" type="noConversion"/>
  </si>
  <si>
    <t>V1.0.27</t>
    <phoneticPr fontId="43" type="noConversion"/>
  </si>
  <si>
    <r>
      <rPr>
        <sz val="9.75"/>
        <rFont val="Calibri"/>
        <family val="2"/>
      </rPr>
      <t>xuc 0827：基于实际NTC维度发送，不做416个电芯的mapping
Byte/Start Bit 需要根据宏定义的数组维度来确认</t>
    </r>
  </si>
  <si>
    <t>BBMS_Heartbeat</t>
    <phoneticPr fontId="43" type="noConversion"/>
  </si>
  <si>
    <t>struct BBMS_CtlWordAllRack</t>
    <phoneticPr fontId="43" type="noConversion"/>
  </si>
  <si>
    <t>请求payload</t>
    <phoneticPr fontId="43" type="noConversion"/>
  </si>
  <si>
    <t>响应payload</t>
    <phoneticPr fontId="43" type="noConversion"/>
  </si>
  <si>
    <t>RBMS_PackPosNegConnTDegC[RACK_AFE_NUMBER_MAX/2]</t>
    <phoneticPr fontId="43" type="noConversion"/>
  </si>
  <si>
    <t>struct TMS_SumInfo</t>
    <phoneticPr fontId="43" type="noConversion"/>
  </si>
  <si>
    <t>HMI_TMSCtrlWord</t>
    <phoneticPr fontId="43" type="noConversion"/>
  </si>
  <si>
    <t>HMI_BankDOCtrl</t>
    <phoneticPr fontId="43" type="noConversion"/>
  </si>
  <si>
    <t>电压阈值参数</t>
    <phoneticPr fontId="50" type="noConversion"/>
  </si>
  <si>
    <t>簇电压阈值参数</t>
    <phoneticPr fontId="50" type="noConversion"/>
  </si>
  <si>
    <t>簇电流阈值参数</t>
    <phoneticPr fontId="50" type="noConversion"/>
  </si>
  <si>
    <t>温度阈值参数</t>
    <phoneticPr fontId="50" type="noConversion"/>
  </si>
  <si>
    <t>SOX阈值参数</t>
    <phoneticPr fontId="50" type="noConversion"/>
  </si>
  <si>
    <t>AUX阈值参数</t>
    <phoneticPr fontId="50" type="noConversion"/>
  </si>
  <si>
    <t>TMS阈值参数</t>
    <phoneticPr fontId="50" type="noConversion"/>
  </si>
  <si>
    <t>HMI二级板DO控制命令</t>
    <phoneticPr fontId="50" type="noConversion"/>
  </si>
  <si>
    <t>HMI三级板DO控制命令</t>
    <phoneticPr fontId="50" type="noConversion"/>
  </si>
  <si>
    <t>RBMS_CellBalStatus[TOTAL_SERIES_CELL_NUMBER_PER_RACK_BMS]</t>
    <phoneticPr fontId="43" type="noConversion"/>
  </si>
  <si>
    <t>RBMS_CellSdrate[TOTAL_SERIES_CELL_NUMBER_PER_RACK_BMS]</t>
    <phoneticPr fontId="50" type="noConversion"/>
  </si>
  <si>
    <t>存储所有Rack的BBMS控制命令</t>
    <phoneticPr fontId="43" type="noConversion"/>
  </si>
  <si>
    <t>struct HMI_CtlWord</t>
    <phoneticPr fontId="43" type="noConversion"/>
  </si>
  <si>
    <t>BBMS_Heartbeat</t>
    <phoneticPr fontId="50" type="noConversion"/>
  </si>
  <si>
    <t>HMI Store</t>
    <phoneticPr fontId="43" type="noConversion"/>
  </si>
  <si>
    <t>Rack故障累积次数标定</t>
    <phoneticPr fontId="43" type="noConversion"/>
  </si>
  <si>
    <t>RBMS_Debug</t>
    <phoneticPr fontId="43" type="noConversion"/>
  </si>
  <si>
    <t>模型调试信息</t>
    <phoneticPr fontId="43" type="noConversion"/>
  </si>
  <si>
    <t>struct RBMS_Debug</t>
    <phoneticPr fontId="43" type="noConversion"/>
  </si>
  <si>
    <t>Sheet "Message ID"：
1. 报文 BBMS_CtlWord 增加命令，以存储所有簇的BBMS控制命令；
2. A核SSD存储信息增加报文帧：RBMS_CellBalSt、BBMS_CtrlWord、TMS_SumInfo、RBMS_SOXdebugData；
3. 报文发送周期变更：RBMS_CellBalSt 由 1s-&gt;10s，RBMS_CellSdr 由 1s-&gt;30s；
4. 新增报文 RBMS_Debug 发送命令、列 HMI Store；
Sheet "Comm Matrix"：
1. 帧 RBMS_SumInfo 删除与SOXDebug帧中重复的信号，帧 TMS_SumInfo 删除信号 TMS_Reserve；
2. fixdt(16, 0.015625, -40) 高精度温度数据类型均改为 fixdt(16, 0.1, -40)；
3. 帧 RBMS_Temp/RBMS_PackPosNegConnTDegC 维度变更：RACK_MODULE_NUMBER_MAX*2 -&gt; (RACK_AFE_NUMBER_MAX/4)*2；
4. 修改信号名称，与所属报文名称区分：RBMS_CellBalSt-&gt;RBMS_CellBalStatus、RBMS_CellSdr-&gt;RBMS_CellSdrate；
5. 新增报文 RBMS_Debug，模型调试信息；</t>
    <phoneticPr fontId="43" type="noConversion"/>
  </si>
  <si>
    <t>SbCTSC_AllwPrechFlg</t>
  </si>
  <si>
    <t>ScCTSC_HvPowupCmdNbr</t>
  </si>
  <si>
    <t>ScCTSC_CtrlModeState</t>
  </si>
  <si>
    <t>flg</t>
    <phoneticPr fontId="50" type="noConversion"/>
  </si>
  <si>
    <t>V1.0.28</t>
    <phoneticPr fontId="43" type="noConversion"/>
  </si>
  <si>
    <t>BBMS_TotalDCCur</t>
    <phoneticPr fontId="50" type="noConversion"/>
  </si>
  <si>
    <t>Sheet "Comm Matrix"
帧 BBMS_SumInfo/BBMS_TotalDCCur 数据类型修改 fixdt(0,32,0.125,-20000) -&gt; fixdt(0,16,0.125,-4000)；</t>
    <phoneticPr fontId="43" type="noConversion"/>
  </si>
  <si>
    <t>Y</t>
    <phoneticPr fontId="50" type="noConversion"/>
  </si>
  <si>
    <t>Enum
0X0: Initial;
0X1: ClsMainNeg;
0X2: ClsPrech;
0X3: ClsMainPos;
0X4: Online;
0X5: WaitForCurrDwn;
0X6: OpenMainPos;
0X7: OpenMainNeg;
0X8: DlyForNxtPowup;
0X9: Service;
0XA: SftyOpenMainPos;
0XB: SftyOpenMainNeg;
0XC: SftyDlyForNxtPowup;</t>
    <phoneticPr fontId="50" type="noConversion"/>
  </si>
  <si>
    <t>Enum
0X0: Initial;
0X1: Addressing;
0X2: Present RBMS Finished;
0X3: All RBMS Finished;
0X4: Failed;</t>
    <phoneticPr fontId="50" type="noConversion"/>
  </si>
  <si>
    <t>Enum
0x0: Normal;
0x1: Level 1 Fault;
0x2: Level 2 Fault;
0x3: Level 3 Fault;</t>
    <phoneticPr fontId="50" type="noConversion"/>
  </si>
  <si>
    <t>Enum
0X0: Shutdown;
0X1: Cooling;
0X2: Heating;
0X3: Self Circulating;</t>
    <phoneticPr fontId="50" type="noConversion"/>
  </si>
  <si>
    <t>BBMS_CntrSt</t>
    <phoneticPr fontId="50" type="noConversion"/>
  </si>
  <si>
    <t>Insulation Disable Flag
绝缘禁止标志位</t>
    <phoneticPr fontId="50" type="noConversion"/>
  </si>
  <si>
    <t>ScEMCT_RBMS_MCURstRsnNbr</t>
    <phoneticPr fontId="50" type="noConversion"/>
  </si>
  <si>
    <t>ScEMCT_RBMS_FaultEvt</t>
    <phoneticPr fontId="50" type="noConversion"/>
  </si>
  <si>
    <t>Enum
0X0: Invalid;
0X1: Valid;</t>
    <phoneticPr fontId="50" type="noConversion"/>
  </si>
  <si>
    <t>ScEMCT_RBMS_ConFail</t>
    <phoneticPr fontId="50" type="noConversion"/>
  </si>
  <si>
    <t>V1.0.29</t>
  </si>
  <si>
    <t>lijy06</t>
    <phoneticPr fontId="43" type="noConversion"/>
  </si>
  <si>
    <t>Description</t>
    <phoneticPr fontId="43" type="noConversion"/>
  </si>
  <si>
    <t>Send Type</t>
    <phoneticPr fontId="43" type="noConversion"/>
  </si>
  <si>
    <t>Periodic Time (ms)</t>
    <phoneticPr fontId="43" type="noConversion"/>
  </si>
  <si>
    <t>Description</t>
    <phoneticPr fontId="50" type="noConversion"/>
  </si>
  <si>
    <t>Signal Name</t>
    <phoneticPr fontId="50" type="noConversion"/>
  </si>
  <si>
    <t>Signal Description</t>
    <phoneticPr fontId="50" type="noConversion"/>
  </si>
  <si>
    <t xml:space="preserve">Initial Value </t>
    <phoneticPr fontId="50" type="noConversion"/>
  </si>
  <si>
    <t>Unit</t>
    <phoneticPr fontId="50" type="noConversion"/>
  </si>
  <si>
    <t>Signal Value Description</t>
    <phoneticPr fontId="50" type="noConversion"/>
  </si>
  <si>
    <t>remark</t>
    <phoneticPr fontId="50" type="noConversion"/>
  </si>
  <si>
    <t>Message Name</t>
    <phoneticPr fontId="50" type="noConversion"/>
  </si>
  <si>
    <t>Message Name</t>
    <phoneticPr fontId="43" type="noConversion"/>
  </si>
  <si>
    <t>Upper Computer Display</t>
    <phoneticPr fontId="50" type="noConversion"/>
  </si>
  <si>
    <t>Insulation High Voltage Validity Status
绝缘高压有效性状态</t>
    <phoneticPr fontId="50" type="noConversion"/>
  </si>
  <si>
    <t>Enum
0X1: Level 1 Fault;
0X2: Level 2 Fault;
0X3: Level 3 Fault;
0X7: No Fault;</t>
    <phoneticPr fontId="50" type="noConversion"/>
  </si>
  <si>
    <t>Bit0[0]: Hv Battery Validity;高压有效性
Signal;
0X0-Invalid;
0X1-Valid;
Bit1[0]: Postive Voltage Validity;正极电压有效性
Signal;
0X0-Invalid;
0X1-Valid;
Bit2[0]: Negetive Voltage Validity;负极电压有效性
Signal;
0X0-Invalid;
0X1-Valid;</t>
    <phoneticPr fontId="50" type="noConversion"/>
  </si>
  <si>
    <t>Enum
0X0: Initial;
0X1: Pending;
0X2: Finished;
0X3: Inhibit;</t>
    <phoneticPr fontId="50" type="noConversion"/>
  </si>
  <si>
    <t>Enum
0X1: Not Connected;
0X2: Starting;
0X3: Connected;
0X4: Reserved;
0X5: SOC Protection;
0X63: Fault;</t>
    <phoneticPr fontId="50" type="noConversion"/>
  </si>
  <si>
    <t>Bit0[0]：Cell Over Voltage Level 1;单体电压高一级故障
Signal;
0X0-Nomal;
0X1-Fault;
Bit1[0]: Cell Under Voltage Level 1;单体电压低一级故障
Signal;
0X0-Nomal;
0X1-Fault;
Bit2[0]: String Over Voltage Level 1;电池串过压一级故障
Signal;
0X0-Nomal;
0X1-Fault;
Bit3[0]: String Under Voltage Level 1;电池串欠压一级故障
Signal;
0X0-Nomal;
0X1-Fault;
Bit4[0]: Cell Over Voltage Level 2;单体电压高二级故障
Signal;
0X0-Nomal;
0X1-Fault;
Bit5[0]: Cell Under Voltage Level 2;单体电压低二级故障
Signal;
0X0-Nomal;
0X1-Fault;
Bit6[0]: String Over Voltage Level 2;电池串过压二故障
Signal;
0X0-Nomal;
0X1-Fault;
Bit7[0]: String Under Voltage Level 2;电池串欠压二级故障
Signal;
0X0-Nomal;
0X1-Fault;
Bit8[0]: Battery Over Temperature Level 1;过温一级故障
Signal;
0X0-Nomal;
0X1-Fault;
Bit9[0]: Battery Under Temperature Level 1;欠温一级故障
Signal;
0X0-Nomal;
0X1-Fault;
Bit10[0]: Cell Thermal Runaway Fault;电芯热失控故障
Signal;
0X0-Nomal;
0X1-Fault;
Bit11[0]; Cell Extreme Over Voltage; 极限过压故障
Signal;
0X0-Nomal;
0X1-Fault;
Bit12[0]: Cell Extreme Under Voltage ;极限欠压故障
Signal;
0X0-Nomal;
0X1-Fault;
Bit13[0]: Cell Extreme Over Temperature;极限过温故障
Signal;
0X0-Nomal;
0X1-Fault;
Bit14[0]: Cell Temperature Rise too Fast;温升过快故障
Signal;
0X0-Nomal;
0X1-Fault;</t>
    <phoneticPr fontId="43" type="noConversion"/>
  </si>
  <si>
    <t>Bit0[0]: EStop Status;急停状态
Signal;
0X0-Closed;
0X1-Open;
Bit1[0]: Reserved;保留
Signal;
0X0-Closed;
0X1-Open;
Bit2[0]: Reserved;保留
Signal;
0X0-Closed;
0X1-Open;
Bit3[0]: Fan Status;风机状态
Signal;
0X0-Open;
0X1-Closed;
Bit4[0]: EPOtoPCS 标志;EPOtoPCS Flg
Signal;
0X0-Default;
0X1-Control;</t>
    <phoneticPr fontId="43" type="noConversion"/>
  </si>
  <si>
    <t>Enum
0X1: Not Connected;
0X2: Full Discharge;
0X3: Discharge;
0X4: Charge;
0X5: Full Charge;
0X6: Standing;</t>
    <phoneticPr fontId="50" type="noConversion"/>
  </si>
  <si>
    <t>Enum
0X0: Enable
0X1: Disable</t>
    <phoneticPr fontId="50" type="noConversion"/>
  </si>
  <si>
    <t>RBMS_FaultEvt</t>
    <phoneticPr fontId="50" type="noConversion"/>
  </si>
  <si>
    <t>RBMS_RlyCtrlCmd</t>
    <phoneticPr fontId="50" type="noConversion"/>
  </si>
  <si>
    <t>CcSOCA_OverChgFltEnaThdValPct</t>
    <phoneticPr fontId="43" type="noConversion"/>
  </si>
  <si>
    <t>Sheet "Message ID"：
1. 修改列名：去掉中文以及换行符；
Sheet "Comm Matrix"：
1. 修改信号值描述和增加上位机是否显示列'Upper Computer Display'，目的是为了上位机的UI_Layout直接从通讯矩阵读取；
2. 修改列名：去掉中文以及换行符；</t>
    <phoneticPr fontId="43" type="noConversion"/>
  </si>
  <si>
    <t>BBMS_A_SOCInfo</t>
    <phoneticPr fontId="43" type="noConversion"/>
  </si>
  <si>
    <t>BBMS_A_SOHInfo</t>
    <phoneticPr fontId="43" type="noConversion"/>
  </si>
  <si>
    <t>V1.0.30</t>
    <phoneticPr fontId="43" type="noConversion"/>
  </si>
  <si>
    <t>BBMS_A_Fault</t>
    <phoneticPr fontId="43" type="noConversion"/>
  </si>
  <si>
    <t>单芯计算的SOC以及各簇SOC结果</t>
    <phoneticPr fontId="43" type="noConversion"/>
  </si>
  <si>
    <t>单芯计算的SOH以及各簇SOH结果</t>
    <phoneticPr fontId="43" type="noConversion"/>
  </si>
  <si>
    <t>BBMS_A核的故障列表</t>
    <phoneticPr fontId="43" type="noConversion"/>
  </si>
  <si>
    <t>struct BBMS_A_SOCInfo</t>
    <phoneticPr fontId="43" type="noConversion"/>
  </si>
  <si>
    <t>struct BBMS_A_SOHInfo</t>
    <phoneticPr fontId="43" type="noConversion"/>
  </si>
  <si>
    <t>BBMS_A_Fault[200]</t>
    <phoneticPr fontId="50" type="noConversion"/>
  </si>
  <si>
    <t>BBMS A Core Fault Array
BBMS A核故障数组</t>
    <phoneticPr fontId="50" type="noConversion"/>
  </si>
  <si>
    <t>BSWSRackCellV[RACK_NUMBER_FOR_EVERY_BANK*TOTAL_SERIES_CELL_NUMBER_PER_RACK_BMS]</t>
    <phoneticPr fontId="50" type="noConversion"/>
  </si>
  <si>
    <t>BSWSRackCellVVldFlg[RACK_NUMBER_FOR_EVERY_BANK*TOTAL_SERIES_CELL_NUMBER_PER_RACK_BMS]</t>
    <phoneticPr fontId="50" type="noConversion"/>
  </si>
  <si>
    <t>BSWSRackAccuChrgAh</t>
    <phoneticPr fontId="50" type="noConversion"/>
  </si>
  <si>
    <t>BSWSRackAccuDisChrgAh</t>
    <phoneticPr fontId="50" type="noConversion"/>
  </si>
  <si>
    <t>BSWSRackChrgCapmAh</t>
    <phoneticPr fontId="50" type="noConversion"/>
  </si>
  <si>
    <t>BSWSRackDsChrgCapmAh</t>
    <phoneticPr fontId="50" type="noConversion"/>
  </si>
  <si>
    <t>BSWSRackAllSOCCalIndicator</t>
    <phoneticPr fontId="50" type="noConversion"/>
  </si>
  <si>
    <t>BSWSRackAllSOCCalValPct</t>
    <phoneticPr fontId="50" type="noConversion"/>
  </si>
  <si>
    <t>BSWSRackBatIStNbr</t>
    <phoneticPr fontId="50" type="noConversion"/>
  </si>
  <si>
    <t>BSWSRackAVldFlg</t>
    <phoneticPr fontId="50" type="noConversion"/>
  </si>
  <si>
    <t>BSWSRackLstSleepDurTiMin</t>
    <phoneticPr fontId="50" type="noConversion"/>
  </si>
  <si>
    <t>BSWSRackFullChEnaNbr</t>
    <phoneticPr fontId="50" type="noConversion"/>
  </si>
  <si>
    <t>BSWSRackFullDischEnaNbr</t>
    <phoneticPr fontId="50" type="noConversion"/>
  </si>
  <si>
    <t>BSWSRackHisSleepTiWrMin</t>
    <phoneticPr fontId="50" type="noConversion"/>
  </si>
  <si>
    <t>BSWSRackHisRunTiWrMin</t>
    <phoneticPr fontId="50" type="noConversion"/>
  </si>
  <si>
    <t>BSWSRackCycNbr</t>
    <phoneticPr fontId="50" type="noConversion"/>
  </si>
  <si>
    <t>BSWSRackAllSOHCalIndicator</t>
    <phoneticPr fontId="50" type="noConversion"/>
  </si>
  <si>
    <t>BSWSRackAllSOHCalValPct</t>
    <phoneticPr fontId="50" type="noConversion"/>
  </si>
  <si>
    <t>BSWSRackA_A</t>
    <phoneticPr fontId="50" type="noConversion"/>
  </si>
  <si>
    <t>CSV Store Length(Byte)</t>
    <phoneticPr fontId="50" type="noConversion"/>
  </si>
  <si>
    <t>CSV Store Length(Byte)</t>
    <phoneticPr fontId="43" type="noConversion"/>
  </si>
  <si>
    <t>Rack Nbr</t>
    <phoneticPr fontId="43" type="noConversion"/>
  </si>
  <si>
    <t>Rack Nbr Max</t>
    <phoneticPr fontId="43" type="noConversion"/>
  </si>
  <si>
    <t>Comma Nbr</t>
    <phoneticPr fontId="43" type="noConversion"/>
  </si>
  <si>
    <t>Total KB/Day</t>
    <phoneticPr fontId="43" type="noConversion"/>
  </si>
  <si>
    <t>Total GB/Day</t>
    <phoneticPr fontId="43" type="noConversion"/>
  </si>
  <si>
    <t>GB/Day</t>
    <phoneticPr fontId="43" type="noConversion"/>
  </si>
  <si>
    <t>Total Days</t>
    <phoneticPr fontId="43" type="noConversion"/>
  </si>
  <si>
    <t>SSD RAM GB</t>
    <phoneticPr fontId="43" type="noConversion"/>
  </si>
  <si>
    <t>Data RAM KB/Day</t>
    <phoneticPr fontId="43" type="noConversion"/>
  </si>
  <si>
    <t>Comma RAM KB/Day</t>
    <phoneticPr fontId="43" type="noConversion"/>
  </si>
  <si>
    <t>LogTime RAM KB/Day</t>
    <phoneticPr fontId="43" type="noConversion"/>
  </si>
  <si>
    <t>Byte</t>
    <phoneticPr fontId="50" type="noConversion"/>
  </si>
  <si>
    <t>49-72</t>
    <phoneticPr fontId="43" type="noConversion"/>
  </si>
  <si>
    <t>73-96</t>
    <phoneticPr fontId="43" type="noConversion"/>
  </si>
  <si>
    <t>97-120</t>
    <phoneticPr fontId="43" type="noConversion"/>
  </si>
  <si>
    <t>SaSOHB_RackRealCapAh[RACK_NUMBER_FOR_EVERY_BANK]</t>
    <phoneticPr fontId="43" type="noConversion"/>
  </si>
  <si>
    <t>SaSOHB_RackMaxCapAh[RACK_NUMBER_FOR_EVERY_BANK]</t>
    <phoneticPr fontId="43" type="noConversion"/>
  </si>
  <si>
    <t>SaSOHB_RackMinCapAh[RACK_NUMBER_FOR_EVERY_BANK]</t>
    <phoneticPr fontId="43" type="noConversion"/>
  </si>
  <si>
    <t>121-144</t>
    <phoneticPr fontId="43" type="noConversion"/>
  </si>
  <si>
    <t>145-168</t>
    <phoneticPr fontId="43" type="noConversion"/>
  </si>
  <si>
    <t>SaSOCB_RackRealSOCPct[RACK_NUMBER_FOR_EVERY_BANK]</t>
    <phoneticPr fontId="43" type="noConversion"/>
  </si>
  <si>
    <t>SaSOCB_RackMaxSOCPct[RACK_NUMBER_FOR_EVERY_BANK]</t>
    <phoneticPr fontId="43" type="noConversion"/>
  </si>
  <si>
    <t>SaSOCB_RackMinSOCPct[RACK_NUMBER_FOR_EVERY_BANK]</t>
    <phoneticPr fontId="43" type="noConversion"/>
  </si>
  <si>
    <t>1-400</t>
    <phoneticPr fontId="43" type="noConversion"/>
  </si>
  <si>
    <t>Reserved1</t>
    <phoneticPr fontId="43" type="noConversion"/>
  </si>
  <si>
    <t>ScEMCT_BBMS_ConFail</t>
    <phoneticPr fontId="43" type="noConversion"/>
  </si>
  <si>
    <t>SaSOHB_RackRealCapAh[RACK_NUMBER_FOR_EVERY_BANK_MAX]</t>
    <phoneticPr fontId="43" type="noConversion"/>
  </si>
  <si>
    <t>SaSOHB_RackMaxCapAh[RACK_NUMBER_FOR_EVERY_BANK_MAX]</t>
    <phoneticPr fontId="43" type="noConversion"/>
  </si>
  <si>
    <t>SaSOHB_RackMinCapAh[RACK_NUMBER_FOR_EVERY_BANK_MAX]</t>
    <phoneticPr fontId="43" type="noConversion"/>
  </si>
  <si>
    <t>SaSOCB_RackRealSOCPct[RACK_NUMBER_FOR_EVERY_BANK_MAX]</t>
    <phoneticPr fontId="43" type="noConversion"/>
  </si>
  <si>
    <t>SaSOCB_RackMaxSOCPct[RACK_NUMBER_FOR_EVERY_BANK_MAX]</t>
    <phoneticPr fontId="43" type="noConversion"/>
  </si>
  <si>
    <t>SaSOCB_RackMinSOCPct[RACK_NUMBER_FOR_EVERY_BANK_MAX]</t>
    <phoneticPr fontId="43" type="noConversion"/>
  </si>
  <si>
    <t>ScCLVH_MaxCellVmV</t>
    <phoneticPr fontId="50" type="noConversion"/>
  </si>
  <si>
    <t>ScCLVH_MaxCellVIdxNbr</t>
    <phoneticPr fontId="50" type="noConversion"/>
  </si>
  <si>
    <t>ScCLVH_MinCellVmV</t>
    <phoneticPr fontId="50" type="noConversion"/>
  </si>
  <si>
    <t>ScCLVH_MinCellVIdxNbr</t>
    <phoneticPr fontId="50" type="noConversion"/>
  </si>
  <si>
    <t>ScCLVH_AvgCellVmV</t>
    <phoneticPr fontId="50" type="noConversion"/>
  </si>
  <si>
    <t>ScCLTH_MaxCellTIdxNbr</t>
    <phoneticPr fontId="43" type="noConversion"/>
  </si>
  <si>
    <t>ScCLTH_MinCellTIdxNbr</t>
    <phoneticPr fontId="43" type="noConversion"/>
  </si>
  <si>
    <t>1-32</t>
    <phoneticPr fontId="43" type="noConversion"/>
  </si>
  <si>
    <t>33-48</t>
    <phoneticPr fontId="43" type="noConversion"/>
  </si>
  <si>
    <t>33-64</t>
    <phoneticPr fontId="43" type="noConversion"/>
  </si>
  <si>
    <t>65-96</t>
    <phoneticPr fontId="43" type="noConversion"/>
  </si>
  <si>
    <t>SaSOCB_BankCellSOCPctxT[16]</t>
    <phoneticPr fontId="43" type="noConversion"/>
  </si>
  <si>
    <t>SaSOCB_BankCellSOCStatexT[16]</t>
    <phoneticPr fontId="43" type="noConversion"/>
  </si>
  <si>
    <t>SaSOHB_BankCellCapAhxT[16]</t>
    <phoneticPr fontId="43" type="noConversion"/>
  </si>
  <si>
    <t>SaSOHB_DFCLCapResultAhxT[16]</t>
    <phoneticPr fontId="43" type="noConversion"/>
  </si>
  <si>
    <t>SaSOHB_MFCLCapResultAhxT[16]</t>
    <phoneticPr fontId="43" type="noConversion"/>
  </si>
  <si>
    <t>Rx_cmdType (RBMS/BBMS_M/BBMS_A)</t>
    <phoneticPr fontId="43" type="noConversion"/>
  </si>
  <si>
    <t>SaSGPC_CellVmVxT[10]</t>
    <phoneticPr fontId="43" type="noConversion"/>
  </si>
  <si>
    <t>ScBSOX_HistAccuChCapAh</t>
    <phoneticPr fontId="43" type="noConversion"/>
  </si>
  <si>
    <t>ScBSOX_HistAccuDischCapAh</t>
    <phoneticPr fontId="43" type="noConversion"/>
  </si>
  <si>
    <t>ScBSOX_HistAccuChEngkWh</t>
    <phoneticPr fontId="43" type="noConversion"/>
  </si>
  <si>
    <t>ScBSOX_HistAccuDischEngkWh</t>
    <phoneticPr fontId="43" type="noConversion"/>
  </si>
  <si>
    <t>1-20</t>
    <phoneticPr fontId="43" type="noConversion"/>
  </si>
  <si>
    <t>ScSOCA_DispSOCState</t>
    <phoneticPr fontId="43" type="noConversion"/>
  </si>
  <si>
    <t>0：GF（常规跟随）
1：CHFCCF（充电满充追随）
2：CHVF（充电末端电压追随）
3：DCHFDCF（放电满放追随）
4：DCHVF（放电末端电压追随）
5：CaliF（标定追随）</t>
    <phoneticPr fontId="43" type="noConversion"/>
  </si>
  <si>
    <t>ScBSOX_LstChEngKwh</t>
    <phoneticPr fontId="43" type="noConversion"/>
  </si>
  <si>
    <t>ScBSOX_LstDischEngKwh</t>
    <phoneticPr fontId="43" type="noConversion"/>
  </si>
  <si>
    <t>BSWSRackCellTDegC[RACK_NUMBER_FOR_EVERY_BANK*TOTAL_MODULE_TEMPERATURE_SENSOR_NUMBER_PER_RACK_BMS]</t>
    <phoneticPr fontId="43" type="noConversion"/>
  </si>
  <si>
    <t>新增 Sheet "SSD Store Calculation"，理论计算SSD存储数据为CSV格式所需内存；
Sheet "Message ID"：
1. 新增BBMS_A核的SOC、SOH输出结果帧：BBMS_A_SOCInfo、BBMS_A_SOHInfo，以及故障信息帧：BBMS_A_Fault；
2. BBMS_CtlWordAllRack 命令需要发给HMI，进行存储；
Sheet "Comm Matrix"：
1. A核单芯算法集成：
    a. 新增BBMS_A核的SOC、SOH输出结果帧 BBMS_A_SOCInfo、BBMS_A_SOHInfo；
    b. 优化 RBMS_SOXdebugData1、SOXdebugData2中信号；
    c. 核对列 'Rx Mapping Signal(BBMS_A)'信号；
2. 新增A核故障信息帧：BBMS_A_Fault；
3. 新增列 "CSV Store Length(Byte)"，记录信号存储为字符串所需字符数，用于计算SSD内存；
4. LAN优化：
    a. RBMS_ConFail、BBMS_ConFail：修改信号描述；
    b. RBMS_SumInfo：电压Max/Min/Avg的Mapping信号改为CLVH输出信号；新增CLTH输出的最大/小温度电芯位置；删除冗余信号“菊花链断线位置” RBMS_IsoSPIDcnctPstn-&gt;Reserved1；
    c. BBMS_SumInfo：累积/上一次充放电容量/能量的Mapping信号改为BSOX输出信号；新增Rack使能、在线数量；</t>
    <phoneticPr fontId="43" type="noConversion"/>
  </si>
  <si>
    <t>BBMS_RackEnaNbr</t>
    <phoneticPr fontId="43" type="noConversion"/>
  </si>
  <si>
    <t>BBMS_RackOnlineNbr</t>
    <phoneticPr fontId="43" type="noConversion"/>
  </si>
  <si>
    <t>Rack Enable Number
Rack使能数量</t>
    <phoneticPr fontId="43" type="noConversion"/>
  </si>
  <si>
    <t>Rack Online Number
Rack在线数量</t>
    <phoneticPr fontId="43" type="noConversion"/>
  </si>
  <si>
    <t>ScBKPC_RackOnlineNbr</t>
    <phoneticPr fontId="43" type="noConversion"/>
  </si>
  <si>
    <t>ScBKPC_RackEnaNbr</t>
    <phoneticPr fontId="43" type="noConversion"/>
  </si>
  <si>
    <t>ScEMCT_RBMS_AFEChipTmpMax</t>
    <phoneticPr fontId="43" type="noConversion"/>
  </si>
  <si>
    <t>V1.0.31</t>
    <phoneticPr fontId="43" type="noConversion"/>
  </si>
  <si>
    <t>BSWSRackStrCtrlHb</t>
    <phoneticPr fontId="43" type="noConversion"/>
  </si>
  <si>
    <t>BSWSRackStrCtrlHb</t>
    <phoneticPr fontId="50" type="noConversion"/>
  </si>
  <si>
    <t>RBMS_StrCtrlHb</t>
    <phoneticPr fontId="43" type="noConversion"/>
  </si>
  <si>
    <t>HMI_FltEna</t>
    <phoneticPr fontId="43" type="noConversion"/>
  </si>
  <si>
    <t>读取-故障使能数组</t>
    <phoneticPr fontId="43" type="noConversion"/>
  </si>
  <si>
    <t>写入-故障使能数组</t>
    <phoneticPr fontId="43" type="noConversion"/>
  </si>
  <si>
    <t>故障使能数组</t>
    <phoneticPr fontId="43" type="noConversion"/>
  </si>
  <si>
    <t>RBMS/BBMS_M/BBMS_A Fault Enable Array
RBMS/BBMS_M/BBMS_A 故障使能数组</t>
    <phoneticPr fontId="50" type="noConversion"/>
  </si>
  <si>
    <t>885-1012</t>
    <phoneticPr fontId="43" type="noConversion"/>
  </si>
  <si>
    <t>RBMS Sampling Validity Flag
RBMS采样有效性标志</t>
    <phoneticPr fontId="43" type="noConversion"/>
  </si>
  <si>
    <r>
      <t xml:space="preserve">Enums
</t>
    </r>
    <r>
      <rPr>
        <sz val="9.75"/>
        <rFont val="Calibri"/>
        <family val="2"/>
      </rPr>
      <t>Bit0: Rack1
Bit1: Rack2
Bit2: Rack3
Bit3: Rack4
Bit4: Rack5
Bit5: Rack6
Bit6: Rack7
Bit7: Rack8
Bit8: Rack9
Bit9: Rack10
Bit10: Rack11
Bit11: Rack12
Bit12: Rack13
Bit13: Rack14
Bit14: Rack15
Bit15: Rack16</t>
    </r>
    <phoneticPr fontId="50" type="noConversion"/>
  </si>
  <si>
    <t>ScEMCT_BBMS_RackFltLvl1Nbr</t>
    <phoneticPr fontId="43" type="noConversion"/>
  </si>
  <si>
    <t>BBMS_RackFltLvl1Nbr</t>
    <phoneticPr fontId="43" type="noConversion"/>
  </si>
  <si>
    <t>ScSGPC_BatIA</t>
    <phoneticPr fontId="43" type="noConversion"/>
  </si>
  <si>
    <t>ScSGPC_MaxCellTDegC</t>
    <phoneticPr fontId="43" type="noConversion"/>
  </si>
  <si>
    <t>ScSGPC_MinCellTDegC</t>
    <phoneticPr fontId="43" type="noConversion"/>
  </si>
  <si>
    <t>ScSGPC_AvgCellTDegC</t>
    <phoneticPr fontId="43" type="noConversion"/>
  </si>
  <si>
    <t>SbSGPC_BatIVldFlg</t>
    <phoneticPr fontId="43" type="noConversion"/>
  </si>
  <si>
    <t>SbSGPC_GenlCellTVldFlg</t>
    <phoneticPr fontId="43" type="noConversion"/>
  </si>
  <si>
    <t>SbSGPC_MaxCellVMdulTVldFlg</t>
    <phoneticPr fontId="43" type="noConversion"/>
  </si>
  <si>
    <t>SbSGPC_MinCellVMdulTVldFlg</t>
    <phoneticPr fontId="43" type="noConversion"/>
  </si>
  <si>
    <t>BSWSRSOXHistInfoIndicator</t>
    <phoneticPr fontId="43" type="noConversion"/>
  </si>
  <si>
    <t>ScSGPC_MaxCellVMdulTDegC</t>
    <phoneticPr fontId="43" type="noConversion"/>
  </si>
  <si>
    <t>ScSGPC_MinCellVMdulTDegC</t>
    <phoneticPr fontId="43" type="noConversion"/>
  </si>
  <si>
    <t>Reserved2</t>
    <phoneticPr fontId="43" type="noConversion"/>
  </si>
  <si>
    <t>DC Bus Current (A)
总线电流 (A)</t>
    <phoneticPr fontId="43" type="noConversion"/>
  </si>
  <si>
    <r>
      <rPr>
        <sz val="9.75"/>
        <color rgb="FF000000"/>
        <rFont val="Calibri"/>
        <family val="2"/>
      </rPr>
      <t xml:space="preserve">Battery String Status
</t>
    </r>
    <r>
      <rPr>
        <sz val="9.75"/>
        <color rgb="FF000000"/>
        <rFont val="微软雅黑"/>
        <family val="2"/>
        <charset val="134"/>
      </rPr>
      <t>电池串工作状态</t>
    </r>
    <phoneticPr fontId="43" type="noConversion"/>
  </si>
  <si>
    <t>Battery String Voltage (V)
电池串电压 (V)</t>
    <phoneticPr fontId="43" type="noConversion"/>
  </si>
  <si>
    <t>Insulation Resistance (kOhm)
绝缘阻值 (kOhm)</t>
    <phoneticPr fontId="43" type="noConversion"/>
  </si>
  <si>
    <t>Reserved
预留占位</t>
    <phoneticPr fontId="43" type="noConversion"/>
  </si>
  <si>
    <t>Last Power-down Sleep Time (min)
上次下电休眠时间</t>
    <phoneticPr fontId="43" type="noConversion"/>
  </si>
  <si>
    <t>Insulation Prohibition Reason
绝缘禁止原因</t>
    <phoneticPr fontId="43" type="noConversion"/>
  </si>
  <si>
    <r>
      <rPr>
        <sz val="9.75"/>
        <color rgb="FF000000"/>
        <rFont val="Calibri"/>
        <family val="2"/>
      </rPr>
      <t>Rack Charging Status
Rack</t>
    </r>
    <r>
      <rPr>
        <sz val="9.75"/>
        <color rgb="FF000000"/>
        <rFont val="微软雅黑"/>
        <family val="2"/>
        <charset val="134"/>
      </rPr>
      <t>充放电状态</t>
    </r>
    <phoneticPr fontId="43" type="noConversion"/>
  </si>
  <si>
    <t>Low Power Supply Voltage (mV)
低压供电电压 (mV)</t>
    <phoneticPr fontId="43" type="noConversion"/>
  </si>
  <si>
    <t>Relay Control Status
继电器控制状态</t>
    <phoneticPr fontId="43" type="noConversion"/>
  </si>
  <si>
    <t>Min Cell Voltage (mV)
最小电芯电压 (mV)</t>
    <phoneticPr fontId="43" type="noConversion"/>
  </si>
  <si>
    <t>Average Cell Voltage (mV)
平均电芯电压 (mV)</t>
    <phoneticPr fontId="43" type="noConversion"/>
  </si>
  <si>
    <t>Max Pole Temp Position
最高极柱温度位置</t>
    <phoneticPr fontId="43" type="noConversion"/>
  </si>
  <si>
    <t>Min Pole Temp Position
最低极柱温度位置</t>
    <phoneticPr fontId="43" type="noConversion"/>
  </si>
  <si>
    <t>Accumulated Cycle Number
累计循环次数</t>
    <phoneticPr fontId="43" type="noConversion"/>
  </si>
  <si>
    <t>Total Insulation Voltage (V)
绝缘总压 (V)</t>
    <phoneticPr fontId="43" type="noConversion"/>
  </si>
  <si>
    <t>Insulation Positive to GND Voltage (V)
绝缘正对地电压 (V)</t>
    <phoneticPr fontId="43" type="noConversion"/>
  </si>
  <si>
    <t>Insulation Negative to GND Voltage (V)
绝缘负对地电压 (V)</t>
    <phoneticPr fontId="43" type="noConversion"/>
  </si>
  <si>
    <t>Max Balancing Remain Time (min)
最大剩余均衡时间 (min)</t>
    <phoneticPr fontId="50" type="noConversion"/>
  </si>
  <si>
    <t>Rack Real SOH (%)
Rack真实SOH (%)</t>
    <phoneticPr fontId="43" type="noConversion"/>
  </si>
  <si>
    <t>Min Cell Real Capacity (Ah)
最小电芯真实容量 (Ah)</t>
    <phoneticPr fontId="43" type="noConversion"/>
  </si>
  <si>
    <t>RBMS Max SOC (%)
RBMS最大SOC (%)</t>
    <phoneticPr fontId="43" type="noConversion"/>
  </si>
  <si>
    <t>RBMS Min SOC (%)
RBMS最小SOC (%)</t>
    <phoneticPr fontId="43" type="noConversion"/>
  </si>
  <si>
    <t>Rack Real SOC (%)
Rack真实SOC (%)</t>
    <phoneticPr fontId="43" type="noConversion"/>
  </si>
  <si>
    <t>Accumulated Discharge Capacity (Ah)
累计放电容量 (Ah)</t>
    <phoneticPr fontId="43" type="noConversion"/>
  </si>
  <si>
    <t>Accumulated Charge Capacity (Ah)
累计充电容量 (Ah)</t>
    <phoneticPr fontId="43" type="noConversion"/>
  </si>
  <si>
    <t>Max Voltage Cell Temp (℃)
最大电压电芯对应温度 (℃)</t>
    <phoneticPr fontId="43" type="noConversion"/>
  </si>
  <si>
    <t>Min Voltage Cell Temp (℃)
最小电压电芯对应温度 (℃)</t>
    <phoneticPr fontId="43" type="noConversion"/>
  </si>
  <si>
    <t>Max Voltage Cell Temp Validity
最大电压电芯温度有效性</t>
    <phoneticPr fontId="43" type="noConversion"/>
  </si>
  <si>
    <t>Min Voltage Cell Temp Validity
最小电压电芯温度有效性</t>
    <phoneticPr fontId="43" type="noConversion"/>
  </si>
  <si>
    <t>Precharge Resistor Temp (℃)
预充电阻温度 (℃)</t>
    <phoneticPr fontId="43" type="noConversion"/>
  </si>
  <si>
    <t>Fault Event
故障信息</t>
    <phoneticPr fontId="43" type="noConversion"/>
  </si>
  <si>
    <t>Attachment Status
附件状态</t>
    <phoneticPr fontId="50" type="noConversion"/>
  </si>
  <si>
    <t>Max Cell Temp Position
最高电芯温度位置</t>
    <phoneticPr fontId="43" type="noConversion"/>
  </si>
  <si>
    <t>Cell Balancing Status (up to 416 cells)
电芯均衡状态（最多416个）</t>
    <phoneticPr fontId="43" type="noConversion"/>
  </si>
  <si>
    <t>Cell Self Discharge Rate (up to 416 cells)
电芯自放电率（最多416个）</t>
    <phoneticPr fontId="43" type="noConversion"/>
  </si>
  <si>
    <t>Bank Charging Status
Bank充放电状态</t>
    <phoneticPr fontId="43" type="noConversion"/>
  </si>
  <si>
    <t>Bank Water Sensor Status 
Bank水浸状态</t>
    <phoneticPr fontId="43" type="noConversion"/>
  </si>
  <si>
    <t>Bank Fault Level
Bank故障等级</t>
    <phoneticPr fontId="50" type="noConversion"/>
  </si>
  <si>
    <t>Rack Fault Level
Rack故障等级</t>
    <phoneticPr fontId="43" type="noConversion"/>
  </si>
  <si>
    <t>Bank ID Learn Fail Position
Bank ID编码失败位置</t>
    <phoneticPr fontId="43" type="noConversion"/>
  </si>
  <si>
    <t>Bank ID Learn Status 
Bank ID编码状态</t>
    <phoneticPr fontId="43" type="noConversion"/>
  </si>
  <si>
    <t>Positive to GND Insulation Resistance (kOhm)
正对地绝缘阻值 (kOhm)</t>
    <phoneticPr fontId="43" type="noConversion"/>
  </si>
  <si>
    <t>Negative to GND Insulation Resistance (kOhm)
负对地绝缘阻值 (kOhm)</t>
    <phoneticPr fontId="43" type="noConversion"/>
  </si>
  <si>
    <t>Alarm Reset
清除所有故障信息</t>
    <phoneticPr fontId="43" type="noConversion"/>
  </si>
  <si>
    <t>Manually Control Bank Executing ID Learn
手动控制Bank执行ID编码</t>
    <phoneticPr fontId="43" type="noConversion"/>
  </si>
  <si>
    <t>PCS Communication Diagnosis Configuration
PCS 通讯诊断设置</t>
    <phoneticPr fontId="43" type="noConversion"/>
  </si>
  <si>
    <t>Min number of Racks Allowed to Run
允许运行的最小Rack数量</t>
    <phoneticPr fontId="43" type="noConversion"/>
  </si>
  <si>
    <t>Positions of Rack with Emergency Fault 
存在严重故障的Rack位置</t>
    <phoneticPr fontId="43" type="noConversion"/>
  </si>
  <si>
    <t>Light control
强控灯</t>
    <phoneticPr fontId="43" type="noConversion"/>
  </si>
  <si>
    <t>Rack History Info Calibration Indicator
Rack历史累计信息指示</t>
    <phoneticPr fontId="43" type="noConversion"/>
  </si>
  <si>
    <t>Rack History Info Calibration Value
Rack历史累计信息标定值</t>
    <phoneticPr fontId="43" type="noConversion"/>
  </si>
  <si>
    <t>SOC Calibration Value (%)
SOC标定值 (%)</t>
    <phoneticPr fontId="43" type="noConversion"/>
  </si>
  <si>
    <t>SOH Calibration Value (%)
SOH标定值 (%)</t>
    <phoneticPr fontId="43" type="noConversion"/>
  </si>
  <si>
    <t>SOH Calibration Indicator
SOH标定指示</t>
    <phoneticPr fontId="43" type="noConversion"/>
  </si>
  <si>
    <t>Forced Balance Time (min)
强制均衡时间 (min)</t>
    <phoneticPr fontId="43" type="noConversion"/>
  </si>
  <si>
    <t>Cell Balance Force Control Cmd
电芯均衡强控命令</t>
    <phoneticPr fontId="43" type="noConversion"/>
  </si>
  <si>
    <t>Relay Force Control Target 
继电器强控对象</t>
    <phoneticPr fontId="43" type="noConversion"/>
  </si>
  <si>
    <t>Relay Force Control Cmd
继电器强控命令</t>
    <phoneticPr fontId="43" type="noConversion"/>
  </si>
  <si>
    <t>Outlet Water Pressure  (Bar)
出水水压(Bar)</t>
    <phoneticPr fontId="43" type="noConversion"/>
  </si>
  <si>
    <t>Inlet Water Pressure (Bar)
进水水压(Bar)</t>
    <phoneticPr fontId="43" type="noConversion"/>
  </si>
  <si>
    <t>TMS Fault Level
TMS 故障等级</t>
    <phoneticPr fontId="43" type="noConversion"/>
  </si>
  <si>
    <t>TMS Fault Code
TMS 故障码</t>
    <phoneticPr fontId="43" type="noConversion"/>
  </si>
  <si>
    <r>
      <rPr>
        <sz val="10"/>
        <color theme="1"/>
        <rFont val="Arial"/>
        <family val="2"/>
      </rPr>
      <t>BMS Request Mode
BMS</t>
    </r>
    <r>
      <rPr>
        <sz val="10"/>
        <color theme="1"/>
        <rFont val="宋体"/>
        <family val="3"/>
        <charset val="134"/>
      </rPr>
      <t>请求模式</t>
    </r>
    <phoneticPr fontId="43" type="noConversion"/>
  </si>
  <si>
    <t>DO2H
DO2高边控制</t>
    <phoneticPr fontId="43" type="noConversion"/>
  </si>
  <si>
    <t>DO1L
DO1低边控制</t>
    <phoneticPr fontId="43" type="noConversion"/>
  </si>
  <si>
    <t>DO1H
DO1高边控制</t>
    <phoneticPr fontId="43" type="noConversion"/>
  </si>
  <si>
    <t>DO2L
DO2低边控制</t>
    <phoneticPr fontId="43" type="noConversion"/>
  </si>
  <si>
    <t>DO3H
DO3高边控制</t>
    <phoneticPr fontId="43" type="noConversion"/>
  </si>
  <si>
    <t>DO3L
DO3低边控制</t>
    <phoneticPr fontId="43" type="noConversion"/>
  </si>
  <si>
    <t>DO4H
DO4高边控制</t>
    <phoneticPr fontId="43" type="noConversion"/>
  </si>
  <si>
    <t>DO4L
DO4低边控制</t>
    <phoneticPr fontId="43" type="noConversion"/>
  </si>
  <si>
    <t>DO5L
DO5低边控制</t>
    <phoneticPr fontId="43" type="noConversion"/>
  </si>
  <si>
    <t>DO6L
DO6低边控制</t>
    <phoneticPr fontId="43" type="noConversion"/>
  </si>
  <si>
    <t>DO7
DO7控制</t>
    <phoneticPr fontId="43" type="noConversion"/>
  </si>
  <si>
    <t>DO8
DO8控制</t>
    <phoneticPr fontId="43" type="noConversion"/>
  </si>
  <si>
    <t>DO0
DO0控制</t>
    <phoneticPr fontId="43" type="noConversion"/>
  </si>
  <si>
    <t>DO1
DO1控制</t>
    <phoneticPr fontId="43" type="noConversion"/>
  </si>
  <si>
    <t>DO2
DO2控制</t>
    <phoneticPr fontId="43" type="noConversion"/>
  </si>
  <si>
    <t>DO3
DO3控制</t>
    <phoneticPr fontId="43" type="noConversion"/>
  </si>
  <si>
    <t>DO4
DO4控制</t>
    <phoneticPr fontId="43" type="noConversion"/>
  </si>
  <si>
    <t>DO5
DO5控制</t>
    <phoneticPr fontId="43" type="noConversion"/>
  </si>
  <si>
    <t>DO6
DO6控制</t>
    <phoneticPr fontId="43" type="noConversion"/>
  </si>
  <si>
    <t>DO9
DO9控制</t>
    <phoneticPr fontId="43" type="noConversion"/>
  </si>
  <si>
    <t>DO10
DO10控制</t>
    <phoneticPr fontId="43" type="noConversion"/>
  </si>
  <si>
    <t>DO11
DO11控制</t>
    <phoneticPr fontId="43" type="noConversion"/>
  </si>
  <si>
    <t>Rack Current (A)
簇电流(A)</t>
    <phoneticPr fontId="43" type="noConversion"/>
  </si>
  <si>
    <t>Max Cell Voltage (mV)
最大电芯电压 (mV)</t>
    <phoneticPr fontId="43" type="noConversion"/>
  </si>
  <si>
    <t>Max Cell Temp (℃)
最高电芯温度 (℃)</t>
    <phoneticPr fontId="43" type="noConversion"/>
  </si>
  <si>
    <t>Min Cell Temp (℃)
最低电芯温度 (℃)</t>
    <phoneticPr fontId="43" type="noConversion"/>
  </si>
  <si>
    <t>Average Cell Temp (℃)
平均电芯温度 (℃)</t>
    <phoneticPr fontId="43" type="noConversion"/>
  </si>
  <si>
    <t>Full Charge Correction Flag
满充修正标志位</t>
    <phoneticPr fontId="43" type="noConversion"/>
  </si>
  <si>
    <t>Full Discharge Correction Flag
满放修正标志位</t>
    <phoneticPr fontId="43" type="noConversion"/>
  </si>
  <si>
    <t>Rack Charging Status
Rack充放电状态</t>
    <phoneticPr fontId="43" type="noConversion"/>
  </si>
  <si>
    <t>第xT节电芯的容量, x=1,2,…,16,
xT=x* Floor(RACK_NUMBER_FOR_EVERY_BANK*
TOTAL_SERIES_CELL_NUMBER_PER_RACK_BMS/16);
数组索引从0开始，因此第xT个电芯数据索引为 xT-1</t>
    <phoneticPr fontId="43" type="noConversion"/>
  </si>
  <si>
    <t>第xT节电芯的DFCL容量, x=1,2,…,16,
xT=x* Floor(RACK_NUMBER_FOR_EVERY_BANK*
TOTAL_SERIES_CELL_NUMBER_PER_RACK_BMS/16);
数组索引从0开始，因此第xT个电芯数据索引为 xT-1</t>
    <phoneticPr fontId="43" type="noConversion"/>
  </si>
  <si>
    <t>第xT节电芯的MFCL容量, x=1,2,…,16,
xT=x* Floor(RACK_NUMBER_FOR_EVERY_BANK*
TOTAL_SERIES_CELL_NUMBER_PER_RACK_BMS/16);
数组索引从0开始，因此第xT个电芯数据索引为 xT-1</t>
    <phoneticPr fontId="43" type="noConversion"/>
  </si>
  <si>
    <t>第xT节电芯的SOC, x=1,2,…,16,
xT=x* Floor(RACK_NUMBER_FOR_EVERY_BANK*
TOTAL_SERIES_CELL_NUMBER_PER_RACK_BMS/16);
数组索引从0开始，因此第xT个电芯数据索引为 xT-1</t>
    <phoneticPr fontId="43" type="noConversion"/>
  </si>
  <si>
    <t>第xT节电芯的SOC状态, x=1,2,…,16,
xT=x* Floor(RACK_NUMBER_FOR_EVERY_BANK*
TOTAL_SERIES_CELL_NUMBER_PER_RACK_BMS/16);
数组索引从0开始，因此第xT (x=1,2,…,16) 个电芯数据索引为 xT-1</t>
    <phoneticPr fontId="43" type="noConversion"/>
  </si>
  <si>
    <t>Cell Temp (℃) (up to 416 Cells)
电芯温度 (℃)（最多416个）</t>
    <phoneticPr fontId="43" type="noConversion"/>
  </si>
  <si>
    <t>Pack +/- Connector Temp (℃) (up to 16 Conns)
Pack正负极连接件温度（最多16个）</t>
    <phoneticPr fontId="43" type="noConversion"/>
  </si>
  <si>
    <t>Balancing Board Temp Validity (up to 32 Boards)
均衡板温有效性（最多32个）</t>
    <phoneticPr fontId="43" type="noConversion"/>
  </si>
  <si>
    <t>Balancing Board Temp (℃) (up to 32 Boards)
均衡板温（最多32个）</t>
    <phoneticPr fontId="43" type="noConversion"/>
  </si>
  <si>
    <t>Rack SOC (%) Array (up to 12 Racks)
簇SOC数组（最多12个）</t>
    <phoneticPr fontId="43" type="noConversion"/>
  </si>
  <si>
    <t>Rack Max SOC (%) Array (up to 12 Racks)
簇最大SOC数组（最多12个）</t>
    <phoneticPr fontId="43" type="noConversion"/>
  </si>
  <si>
    <t>Rack Min SOC (%) Array (up to 12 Racks)
簇最小SOC数组（最多12个）</t>
    <phoneticPr fontId="43" type="noConversion"/>
  </si>
  <si>
    <t>Rack Capacity (Ah) Array (up to 12 Racks)
簇容量数组（最多12个）</t>
    <phoneticPr fontId="43" type="noConversion"/>
  </si>
  <si>
    <t>Rack Max Capacity (Ah) Array (up to 12 Racks)
簇最大容量数组（最多12个）</t>
    <phoneticPr fontId="43" type="noConversion"/>
  </si>
  <si>
    <t>Rack Min Capacity (Ah) Array (up to 12 Racks)
簇最小容量数组（最多12个）</t>
    <phoneticPr fontId="43" type="noConversion"/>
  </si>
  <si>
    <t>Cell Voltage Validity (up to 416 Cells)
电芯电压有效性（最多416个）</t>
    <phoneticPr fontId="43" type="noConversion"/>
  </si>
  <si>
    <t>Allow to Precharge Flag
允许预充标志位</t>
    <phoneticPr fontId="43" type="noConversion"/>
  </si>
  <si>
    <t>Main Positive Contactor Status
主正继电器干接点状态</t>
    <phoneticPr fontId="43" type="noConversion"/>
  </si>
  <si>
    <t>Main Negative Contactor Status
主负继电器干接点状态</t>
    <phoneticPr fontId="43" type="noConversion"/>
  </si>
  <si>
    <t>Hv Power-on Mode
上高压模式</t>
    <phoneticPr fontId="43" type="noConversion"/>
  </si>
  <si>
    <t>Control Mode Status
控制模式状态</t>
    <phoneticPr fontId="43" type="noConversion"/>
  </si>
  <si>
    <t>1: 强制上高压；2:手动上高压</t>
    <phoneticPr fontId="43" type="noConversion"/>
  </si>
  <si>
    <t>Equidistant Position Cell SOC (%)
等间隔位置的电芯SOC</t>
    <phoneticPr fontId="43" type="noConversion"/>
  </si>
  <si>
    <t>Equidistant Position Cell SOC Status
等间隔位置的电芯SOC状态</t>
    <phoneticPr fontId="43" type="noConversion"/>
  </si>
  <si>
    <t>Equidistant Position Cell Capacity (Ah)
等间隔位置的电芯容量</t>
    <phoneticPr fontId="43" type="noConversion"/>
  </si>
  <si>
    <t>Equidistant Position Cell DFCL Capacity (Ah)
等间隔位置的电芯DFCL容量</t>
    <phoneticPr fontId="43" type="noConversion"/>
  </si>
  <si>
    <t>Equidistant Position Cell MFCL Capacity (Ah)
等间隔位置的电芯MFCL容量</t>
    <phoneticPr fontId="43" type="noConversion"/>
  </si>
  <si>
    <t>Fault Overlimit Count Array
故障越限次数数组</t>
    <phoneticPr fontId="43" type="noConversion"/>
  </si>
  <si>
    <t>0: 默认，不标定
1:标定故障越限次数数组</t>
    <phoneticPr fontId="43" type="noConversion"/>
  </si>
  <si>
    <t>Rack Fault Array History Info Calibration Indicator
Rack故障数组历史信息标定指示</t>
    <phoneticPr fontId="43" type="noConversion"/>
  </si>
  <si>
    <t>Bank Fault Array History Info Calibration Indicator
Bank故障数组历史信息标定指示</t>
    <phoneticPr fontId="43" type="noConversion"/>
  </si>
  <si>
    <t>Bank Fault Array History Info Calibration Value
Bank故障数组历史信息标定值</t>
    <phoneticPr fontId="43" type="noConversion"/>
  </si>
  <si>
    <t>Rack Fault Array History Info Calibration Value
Rack故障数组历史信息标定值</t>
    <phoneticPr fontId="43" type="noConversion"/>
  </si>
  <si>
    <t>DispSOC Follow Strategy Status
显示SOC跟随策略状态</t>
    <phoneticPr fontId="43" type="noConversion"/>
  </si>
  <si>
    <t>Equidistant Position Cell Voltage (mV)
等间隔位置的电芯电压 (mV)</t>
    <phoneticPr fontId="43" type="noConversion"/>
  </si>
  <si>
    <t>第xT节电芯电压,x=1,2,…10,
xT=x*Floor(TOTAL_SERIES_CELL_NUMBER_PER_RACK_BMS/10);
数组索引从0开始，因此第xT个电芯数据索引为 xT-1</t>
    <phoneticPr fontId="43" type="noConversion"/>
  </si>
  <si>
    <t>Rack Display SOH (%)
Rack显示SOH (%)</t>
    <phoneticPr fontId="43" type="noConversion"/>
  </si>
  <si>
    <t>DFCL Module SOH Feature Point Status
DFCL模块SOH特征点标志位</t>
    <phoneticPr fontId="43" type="noConversion"/>
  </si>
  <si>
    <t>DFCL Module SOH Feature Point Capacity (Ah)
DFCL模块SOH特征点容量 (Ah)</t>
    <phoneticPr fontId="43" type="noConversion"/>
  </si>
  <si>
    <t>DFCL Module SOH Feature Point SOC (%)
DFCL模块SOH特征点SOC (%)</t>
    <phoneticPr fontId="43" type="noConversion"/>
  </si>
  <si>
    <t>DFCL Module Capacity (Ah)
DFCL模块容量 (Ah)</t>
    <phoneticPr fontId="43" type="noConversion"/>
  </si>
  <si>
    <t>DFCL Module SOH Feature Point Time (day)
DFCL模块SOH特征点时间 (day)</t>
    <phoneticPr fontId="43" type="noConversion"/>
  </si>
  <si>
    <t>MFCL Module Capacity (Ah)
MFCL模块容量 (Ah)</t>
    <phoneticPr fontId="43" type="noConversion"/>
  </si>
  <si>
    <t>Vmax Cell MFCL Module Mid-Feature Point Target Value
Vmax节电芯MFCL模块中特征点目标计算值</t>
    <phoneticPr fontId="43" type="noConversion"/>
  </si>
  <si>
    <t>Vmin Cell MFCL Module Mid-Feature Point Target Value
Vmin节电芯MFCL模块中特征点目标计算值</t>
    <phoneticPr fontId="43" type="noConversion"/>
  </si>
  <si>
    <t>Vmax Cell SOC (%)
最大电压电芯SOC (%)</t>
    <phoneticPr fontId="43" type="noConversion"/>
  </si>
  <si>
    <t>Vmin Cell SOC (%)
最小电压电芯SOC (%)</t>
    <phoneticPr fontId="43" type="noConversion"/>
  </si>
  <si>
    <t>Vmax Cell SOC Status
最大电压电芯SOC状态</t>
    <phoneticPr fontId="43" type="noConversion"/>
  </si>
  <si>
    <t>Vmin Cell SOC Status
最小电压电芯SOC状态</t>
    <phoneticPr fontId="43" type="noConversion"/>
  </si>
  <si>
    <t>Vmax Cell Simulation Voltage (mV)
最大电压电芯仿真电压 (mV)</t>
    <phoneticPr fontId="43" type="noConversion"/>
  </si>
  <si>
    <t>Vmin Cell Simulation Voltage (mV)
最小电压电芯仿真电压 (mV)</t>
    <phoneticPr fontId="43" type="noConversion"/>
  </si>
  <si>
    <t>Rack Real Capacity (Ah)
Rack真实容量 (Ah)</t>
    <phoneticPr fontId="43" type="noConversion"/>
  </si>
  <si>
    <t>Rack Smooth SOC (%)
Rack平滑SOC (%)</t>
    <phoneticPr fontId="43" type="noConversion"/>
  </si>
  <si>
    <t>Rack Display SOC (%)
Rack显示SOC (%)</t>
    <phoneticPr fontId="43" type="noConversion"/>
  </si>
  <si>
    <t>DFCL Module Capacity Calculation Success Flag
DFCL模块容量计算成功标志位</t>
    <phoneticPr fontId="43" type="noConversion"/>
  </si>
  <si>
    <t>MFCL Module Capacity Calculation Success Flag
MFCL模块容量计算成功标志位</t>
    <phoneticPr fontId="43" type="noConversion"/>
  </si>
  <si>
    <t>Vmin Cell MFCL Module Feature Point 1
Vmin节电芯MFCL模块特征点1</t>
    <phoneticPr fontId="43" type="noConversion"/>
  </si>
  <si>
    <t>Vmax Cell MFCL Module Feature Point 1
Vmax节电芯MFCL模块特征点1</t>
    <phoneticPr fontId="43" type="noConversion"/>
  </si>
  <si>
    <t>Vmin Cell MFCL Module Feature Point 3
Vmin节电芯MFCL模块特征点3</t>
    <phoneticPr fontId="43" type="noConversion"/>
  </si>
  <si>
    <t>Vmin Cell MFCL Module Feature Point 2
Vmin节电芯MFCL模块特征点2</t>
    <phoneticPr fontId="43" type="noConversion"/>
  </si>
  <si>
    <t>Vmax Cell MFCL Module Feature Point 2
Vmax节电芯MFCL模块中特征点2</t>
    <phoneticPr fontId="43" type="noConversion"/>
  </si>
  <si>
    <t>Vmax Cell MFCL Module Feature Point 3
Vmax节电芯MFCL模块中特征点3</t>
    <phoneticPr fontId="43" type="noConversion"/>
  </si>
  <si>
    <t>Rack History Sleep Time (min)
历史休眠时间 (min)</t>
    <phoneticPr fontId="43" type="noConversion"/>
  </si>
  <si>
    <t>History Sleep Time (min)
历史休眠时间</t>
    <phoneticPr fontId="43" type="noConversion"/>
  </si>
  <si>
    <t>History Run Time (min)
历史运行时间</t>
    <phoneticPr fontId="43" type="noConversion"/>
  </si>
  <si>
    <t>Rack All SOH Calibration Indicator
Rack所有SOH标定指示</t>
    <phoneticPr fontId="43" type="noConversion"/>
  </si>
  <si>
    <t>Rack All SOH Calibration Value
Rack所有SOH标定值</t>
    <phoneticPr fontId="43" type="noConversion"/>
  </si>
  <si>
    <t>Rack All SOC Calibration Indicator
Rack所有SOC标定指示</t>
    <phoneticPr fontId="43" type="noConversion"/>
  </si>
  <si>
    <t>Reserved1
预留占位1</t>
    <phoneticPr fontId="43" type="noConversion"/>
  </si>
  <si>
    <t>Reserved2
预留占位2</t>
    <phoneticPr fontId="43" type="noConversion"/>
  </si>
  <si>
    <t>Accumulated Charge Capacity (mAh)
累积充电容量 (mAh)</t>
    <phoneticPr fontId="43" type="noConversion"/>
  </si>
  <si>
    <t>Accumulated Discharge Capacity (mAh)
累积放电容量 (mAh)</t>
    <phoneticPr fontId="43" type="noConversion"/>
  </si>
  <si>
    <t>Rack History Info Calibration Indicator
Rack历史信息标定指示</t>
    <phoneticPr fontId="43" type="noConversion"/>
  </si>
  <si>
    <t>（标定时，信号持续3s后置0)
0：默认，不标定
1：标定累积充电容量
2：标定累积充电能量
3：标定累积放电容量
4：标定累积放电能量
5：标定历史运行时长
6：标定历史休眠时长</t>
    <phoneticPr fontId="43" type="noConversion"/>
  </si>
  <si>
    <t>Rack All SOC Calibration Value
Rack所有SOC标定值</t>
    <phoneticPr fontId="43" type="noConversion"/>
  </si>
  <si>
    <t>Rack Current Validity
簇电流有效性</t>
    <phoneticPr fontId="43" type="noConversion"/>
  </si>
  <si>
    <t>Cell Voltage General Validity
电芯电压概要有效性</t>
    <phoneticPr fontId="43" type="noConversion"/>
  </si>
  <si>
    <t>Cell Temperature General Validity
电芯温度概要有效性</t>
    <phoneticPr fontId="43" type="noConversion"/>
  </si>
  <si>
    <t>Vmax Cell Temperature Validity
最大电压电芯温度有效性</t>
    <phoneticPr fontId="43" type="noConversion"/>
  </si>
  <si>
    <t>Vmin Cell Temperature Validity
最小电压电芯温度有效性</t>
    <phoneticPr fontId="43" type="noConversion"/>
  </si>
  <si>
    <t>Vmax Cell Temperature (℃)
最大电压电芯对应温度 (℃)</t>
    <phoneticPr fontId="43" type="noConversion"/>
  </si>
  <si>
    <t>Vmin Cell Temperature (℃)
最小电压电芯对应温度 (℃)</t>
    <phoneticPr fontId="43" type="noConversion"/>
  </si>
  <si>
    <t>ScEMCT_BBMS_BMSMaxFltLevel</t>
    <phoneticPr fontId="43" type="noConversion"/>
  </si>
  <si>
    <t>Rack BMS Heartbeat
Rack BMS心跳信号</t>
    <phoneticPr fontId="43" type="noConversion"/>
  </si>
  <si>
    <r>
      <t xml:space="preserve">xuc 0826：RBMS_SysOperSt中SOC低直接用SOC低故障 </t>
    </r>
    <r>
      <rPr>
        <sz val="9.75"/>
        <rFont val="Calibri"/>
        <family val="2"/>
      </rPr>
      <t>@张龙b</t>
    </r>
    <r>
      <rPr>
        <sz val="10"/>
        <rFont val="等线"/>
        <family val="2"/>
        <scheme val="minor"/>
      </rPr>
      <t xml:space="preserve">
其他模型逻辑不需要更新，仅更新显示</t>
    </r>
  </si>
  <si>
    <t>Rack SOE for Charge (kWh)
Rack可充能量 (kWh)</t>
    <phoneticPr fontId="43" type="noConversion"/>
  </si>
  <si>
    <t>Rack SOE for Discharge (kWh)
Rack可放能量 (kWh)</t>
    <phoneticPr fontId="43" type="noConversion"/>
  </si>
  <si>
    <t>SOE for Charge (kWh) 
系统可充能量 (kWh)</t>
    <phoneticPr fontId="43" type="noConversion"/>
  </si>
  <si>
    <t>SOE for Discharge (kWh) 
系统可放能量 (kWh)</t>
    <phoneticPr fontId="43" type="noConversion"/>
  </si>
  <si>
    <t>Tx Mapping Signal (RBMS/BBMS_M/BBMS_A)</t>
    <phoneticPr fontId="50" type="noConversion"/>
  </si>
  <si>
    <t>Rx Mapping Signal (BBMS_A)</t>
    <phoneticPr fontId="50" type="noConversion"/>
  </si>
  <si>
    <t>Rx Mapping Signal (BBMS_M)</t>
    <phoneticPr fontId="50" type="noConversion"/>
  </si>
  <si>
    <t>Rx Mapping Signal (RBMS)</t>
    <phoneticPr fontId="50" type="noConversion"/>
  </si>
  <si>
    <t>Relay Control Cmd
继电器控制命令</t>
    <phoneticPr fontId="50" type="noConversion"/>
  </si>
  <si>
    <t>Rack SOC (%)
Rack SOC（%）</t>
    <phoneticPr fontId="50" type="noConversion"/>
  </si>
  <si>
    <t>Rack SOH (%)
Rack SOH（%）</t>
    <phoneticPr fontId="50" type="noConversion"/>
  </si>
  <si>
    <t>Max Module Temp (℃)
最高电芯温度 (℃)</t>
    <phoneticPr fontId="43" type="noConversion"/>
  </si>
  <si>
    <t>Max Pole Temp (℃)
最高极柱温度 (℃)</t>
    <phoneticPr fontId="43" type="noConversion"/>
  </si>
  <si>
    <t>Min Pole Temp (℃)
最低极柱温度 (℃)</t>
    <phoneticPr fontId="43" type="noConversion"/>
  </si>
  <si>
    <t>Average Pole Temp (℃)
平均极柱温度 (℃)</t>
    <phoneticPr fontId="43" type="noConversion"/>
  </si>
  <si>
    <t>Max Cell Temp (℃) 
最高电芯温度 (℃)</t>
  </si>
  <si>
    <t>Min Cell Temp (℃) 
最低电芯温度 (℃)</t>
  </si>
  <si>
    <t>Average Cell Temp (℃) 
平均电芯温度 (℃)</t>
  </si>
  <si>
    <t>Setting Temp (℃)
设定温度(℃)</t>
  </si>
  <si>
    <t>Max Cell Temp (℃)
电芯最高温度(℃)</t>
  </si>
  <si>
    <t>Min Cell Temp (℃)
电芯最低温度(℃)</t>
  </si>
  <si>
    <t>Average Cell Temp (℃)
电芯平均温度(℃)</t>
  </si>
  <si>
    <t>Outlet Water Temp (℃)
出水温度(℃)</t>
  </si>
  <si>
    <t>Inlet Water Temp (℃)
进水温度(℃)</t>
  </si>
  <si>
    <t>Environment Temp (℃)
环境温度(℃)</t>
  </si>
  <si>
    <t>ID Learn DO Control
自动编码DO输出控制</t>
    <phoneticPr fontId="43" type="noConversion"/>
  </si>
  <si>
    <t>Last Power-down Sleep Time (min)
上次下电休眠时间 (min)</t>
    <phoneticPr fontId="43" type="noConversion"/>
  </si>
  <si>
    <t>BSWSRlyManCtlEnaFlg</t>
    <phoneticPr fontId="43" type="noConversion"/>
  </si>
  <si>
    <t>ScSOHA_RealSysCapAh_dbug</t>
    <phoneticPr fontId="43" type="noConversion"/>
  </si>
  <si>
    <t>RBMS_RealSysCapAh</t>
    <phoneticPr fontId="43" type="noConversion"/>
  </si>
  <si>
    <t>RBMS_RealCellCapAh</t>
    <phoneticPr fontId="43" type="noConversion"/>
  </si>
  <si>
    <t>ScSOCA_RealSysSOCPct_dbug</t>
    <phoneticPr fontId="43" type="noConversion"/>
  </si>
  <si>
    <t>RBMS_RealSysSOCPct</t>
    <phoneticPr fontId="43" type="noConversion"/>
  </si>
  <si>
    <t>SbEMCR_RTCnCMTimeVldFlg</t>
    <phoneticPr fontId="50" type="noConversion"/>
  </si>
  <si>
    <t>ScEMCR_CellUsedMonth</t>
    <phoneticPr fontId="43" type="noConversion"/>
  </si>
  <si>
    <t>ScEMCR_CellDischargeRatePct</t>
    <phoneticPr fontId="43" type="noConversion"/>
  </si>
  <si>
    <t>%</t>
    <phoneticPr fontId="43" type="noConversion"/>
  </si>
  <si>
    <t>Flg</t>
    <phoneticPr fontId="43" type="noConversion"/>
  </si>
  <si>
    <t>RTC Time and Battery Production Date Validity
RTC时间与电池生产日期有效性</t>
    <phoneticPr fontId="43" type="noConversion"/>
  </si>
  <si>
    <t>Battery Usage Time (month)
电池使用时长 (month)</t>
    <phoneticPr fontId="43" type="noConversion"/>
  </si>
  <si>
    <t>Battery Self-discharge Rate (%)
电池自放电率 (%)</t>
    <phoneticPr fontId="43" type="noConversion"/>
  </si>
  <si>
    <t>BBMS_IDLearnSt</t>
    <phoneticPr fontId="43" type="noConversion"/>
  </si>
  <si>
    <t>Bank Last Charge Energy (kWh)
最近一次堆充电能量 (kWh)</t>
    <phoneticPr fontId="43" type="noConversion"/>
  </si>
  <si>
    <t>Bank Last Discharge Energy (kWh)
最近一次堆放电能量 (kWh)</t>
    <phoneticPr fontId="43" type="noConversion"/>
  </si>
  <si>
    <t>FaultEnaFlg[200]</t>
    <phoneticPr fontId="50" type="noConversion"/>
  </si>
  <si>
    <t>~CaFDCH_FltStsDisaAryFlg||~CaFDCH_FltStsDisaArySftyFlg</t>
    <phoneticPr fontId="43" type="noConversion"/>
  </si>
  <si>
    <t>Cell Voltage (mV) (up to 416 Cells)
电芯电压 (mV)（最多416个）</t>
    <phoneticPr fontId="43" type="noConversion"/>
  </si>
  <si>
    <t>Rack AFE Voltage (mV) (up to 32 AFEs)
RACK中各AFE总压 (mV)（最多32个）</t>
    <phoneticPr fontId="43" type="noConversion"/>
  </si>
  <si>
    <t>RBMS_AccuDisChrgAh2</t>
    <phoneticPr fontId="43" type="noConversion"/>
  </si>
  <si>
    <t>RBMS_AccuDisChrgkWh2</t>
    <phoneticPr fontId="43" type="noConversion"/>
  </si>
  <si>
    <t>RBMS_AccuChrgAh2</t>
    <phoneticPr fontId="43" type="noConversion"/>
  </si>
  <si>
    <t>RBMS_AccuChrgkWh2</t>
    <phoneticPr fontId="43" type="noConversion"/>
  </si>
  <si>
    <t>ScEMCT_RBMS_AccuChrgAh</t>
    <phoneticPr fontId="43" type="noConversion"/>
  </si>
  <si>
    <t>ScEMCT_RBMS_AccuChrgkWh</t>
    <phoneticPr fontId="43" type="noConversion"/>
  </si>
  <si>
    <t>ScEMCT_RBMS_AccuDisChrgAh</t>
    <phoneticPr fontId="43" type="noConversion"/>
  </si>
  <si>
    <t>ScEMCT_RBMS_AccuDisChrgkWh</t>
    <phoneticPr fontId="43" type="noConversion"/>
  </si>
  <si>
    <t>RBMS_LstChCapAh</t>
    <phoneticPr fontId="43" type="noConversion"/>
  </si>
  <si>
    <t>RBMS_LstDchCapAh</t>
    <phoneticPr fontId="43" type="noConversion"/>
  </si>
  <si>
    <t>BSWSRackLstChEkWh</t>
    <phoneticPr fontId="43" type="noConversion"/>
  </si>
  <si>
    <t>BSWSRackLstDchEkWh</t>
    <phoneticPr fontId="43" type="noConversion"/>
  </si>
  <si>
    <t>ScEMCT_RBMS_LstChCapAh</t>
    <phoneticPr fontId="43" type="noConversion"/>
  </si>
  <si>
    <t>ScEMCT_RBMS_LstDchCapAh</t>
    <phoneticPr fontId="43" type="noConversion"/>
  </si>
  <si>
    <t>BSWSRackLstChCapAh</t>
    <phoneticPr fontId="43" type="noConversion"/>
  </si>
  <si>
    <t>BSWSRackLstDchCapAh</t>
    <phoneticPr fontId="43" type="noConversion"/>
  </si>
  <si>
    <t xml:space="preserve">Sheet "Message ID"：
1. 新增列"BBMS_A To EMS"，标识该报文是否发送至EMS；
2. 新增报文 HMI_FltEna 的读取和写入故障使能数组命令；
3. 新增报文 BBMS_A_Selfdr 的发送命令；
Sheet "Comm Matrix"：
1. 列"Upper Computer Display"：帧RBMS/BBMS/TMS_SumInfo中上位机展示信号添加区块分类和序号；
2. 列"Signal Description"：统一格式为 英文\n中文；
3. 新增报文 HMI_FltEna，用于上位机读取和写入故障使能数组；
4. 新增报文 BBMS_A_Selfdr，用于发送自放电率演变信息（欧盟电池法案需求）；
5. 信号变更：
    a. 优化帧 RBMS_SOXdebugData1 信号；
    b. 帧 BBMS_SumInfo：
        1) 信号 BBMS_ConFail 拆分为 BBMS_ConFail、BBMS_RackFltLvl1Nbr；
        2) 信号 BBMS_IDLearnSt 更新 Signal Value Description；
    c. 帧 RBMS_SumInfo：
        1) 信号 RBMS_StrCtrlHb 在A核Rx Map：/-&gt;BSWSRackStrCtrlHb；信号 RBMS_RealCellCapAh在M核Rx Map：BSWSRackSysCellCapAh-&gt;/；
        2) 信号 RBMS_AFEV 数据类型变更：fixdt(0,16,0.001,0)V-&gt;fixdt(0,32,1,0)mV；
        3) 信号 RBMS_RealSysCapAh/RBMS_RealCellCapAh：分辨率1-&gt;0.1，Tx信号均改为ScSOHA_RealSysCapAh/ScSOHA_RealCellCapAh-&gt;ScSOHA_RealSysCapAh_dbug；RBMS_RealSysSOCPct Tx信号改为ScSOCA_RealSysSOCPct-&gt;ScSOCA_RealSysSOCPct_dbug；
        4) 新增：最近一次簇充放电容量、低精度的历史累积充放电容量/能量，用于发送至M核计算Bank信息；
    d. TMS 信号温度数据类型变更：偏置-40 -&gt; 0；上位机TMS控制信号RBMS Rx信号-&gt;/； </t>
    <phoneticPr fontId="43" type="noConversion"/>
  </si>
  <si>
    <t>V1.0.32</t>
    <phoneticPr fontId="43" type="noConversion"/>
  </si>
  <si>
    <t>删除帧 HMI_BankAccuEnerg</t>
    <phoneticPr fontId="43" type="noConversion"/>
  </si>
  <si>
    <t>V1.0.33</t>
    <phoneticPr fontId="43" type="noConversion"/>
  </si>
  <si>
    <t>SbCTSC_BSWSMainNegRlyDryContactFlg</t>
    <phoneticPr fontId="43" type="noConversion"/>
  </si>
  <si>
    <t>SbCTSC_BSWSMainPosRlyDryContactFlg</t>
    <phoneticPr fontId="43" type="noConversion"/>
  </si>
  <si>
    <t>SbCTSC_SafetyState3TriggerFlg</t>
    <phoneticPr fontId="43" type="noConversion"/>
  </si>
  <si>
    <t>High-voltage indicator in safe state 3
安全状态3下高压标志</t>
    <phoneticPr fontId="43" type="noConversion"/>
  </si>
  <si>
    <t>ScCTSC_MainNegRlyLsdDrvRawVoltV</t>
  </si>
  <si>
    <t>ScCTSC_GroundChannelRawVoltmV</t>
  </si>
  <si>
    <t>ScCTSC_MainPosRlyHsdDrvRawCurmA</t>
  </si>
  <si>
    <t>ScCTSC_PrechRlyHsdDrvRawCurmA</t>
  </si>
  <si>
    <t>ScCTSC_MainNegRlyHsdDrvRawCurmA</t>
  </si>
  <si>
    <t>ScCTSC_MainPosRlyLsdDrvRawVoltV</t>
  </si>
  <si>
    <t>ScCTSC_PrechOverTiCnt</t>
    <phoneticPr fontId="43" type="noConversion"/>
  </si>
  <si>
    <t>Number of consecutive precharge timeout occurrences
连续预充超时次数</t>
  </si>
  <si>
    <t>mA</t>
    <phoneticPr fontId="43" type="noConversion"/>
  </si>
  <si>
    <t>RBMS_FltSOPDischCoeffPct</t>
    <phoneticPr fontId="43" type="noConversion"/>
  </si>
  <si>
    <t>RBMS_FltSOPChCoeffPct</t>
    <phoneticPr fontId="43" type="noConversion"/>
  </si>
  <si>
    <t>Fault-based Discharge Power Limit Coefficient (%)
基于故障的放电功率限制系数</t>
    <phoneticPr fontId="43" type="noConversion"/>
  </si>
  <si>
    <t>Fault-based Charge Power Limit Coefficient (%)
基于故障的充电功率限制系数</t>
    <phoneticPr fontId="43" type="noConversion"/>
  </si>
  <si>
    <t>ScSOPC_FltSOPDischCoeffPct</t>
    <phoneticPr fontId="43" type="noConversion"/>
  </si>
  <si>
    <t>ScSOPC_FltSOPChCoeffPct</t>
    <phoneticPr fontId="43" type="noConversion"/>
  </si>
  <si>
    <t>BSWSRackFltSOPDischCoeffPct</t>
    <phoneticPr fontId="43" type="noConversion"/>
  </si>
  <si>
    <t>BSWSRackFltSOPChCoeffPct</t>
    <phoneticPr fontId="43" type="noConversion"/>
  </si>
  <si>
    <t>功能安全相关信号</t>
    <phoneticPr fontId="43" type="noConversion"/>
  </si>
  <si>
    <t>BBMS_SafetySignal</t>
    <phoneticPr fontId="43" type="noConversion"/>
  </si>
  <si>
    <t>struct BBMS_SafetySignal</t>
    <phoneticPr fontId="43" type="noConversion"/>
  </si>
  <si>
    <t>BBMS_ContainerEPOFlg</t>
    <phoneticPr fontId="50" type="noConversion"/>
  </si>
  <si>
    <t>BBMS_RollingCounter</t>
    <phoneticPr fontId="43" type="noConversion"/>
  </si>
  <si>
    <t>BBMS_Checksum</t>
    <phoneticPr fontId="43" type="noConversion"/>
  </si>
  <si>
    <t>ContainerEPOFlg
集装箱急停标志</t>
    <phoneticPr fontId="43" type="noConversion"/>
  </si>
  <si>
    <t>RollingCounter
滚动计数</t>
    <phoneticPr fontId="43" type="noConversion"/>
  </si>
  <si>
    <r>
      <t xml:space="preserve">Checksum
</t>
    </r>
    <r>
      <rPr>
        <sz val="10"/>
        <color theme="1"/>
        <rFont val="宋体"/>
        <family val="3"/>
        <charset val="134"/>
      </rPr>
      <t>校验和</t>
    </r>
    <phoneticPr fontId="43" type="noConversion"/>
  </si>
  <si>
    <t>ScEMCT_RollingCounter</t>
    <phoneticPr fontId="43" type="noConversion"/>
  </si>
  <si>
    <t>BSWSRollingCounter</t>
    <phoneticPr fontId="43" type="noConversion"/>
  </si>
  <si>
    <t>SbEMCT_BankEPOFlg</t>
    <phoneticPr fontId="50" type="noConversion"/>
  </si>
  <si>
    <t>BSWSBankEPOFlg</t>
    <phoneticPr fontId="50" type="noConversion"/>
  </si>
  <si>
    <t>ScEMCT_Checksum</t>
    <phoneticPr fontId="50" type="noConversion"/>
  </si>
  <si>
    <t>BSWSChecksum</t>
    <phoneticPr fontId="50" type="noConversion"/>
  </si>
  <si>
    <t>Sheet "Message ID":
1. 新增帧 BBMS_SafetySignal 的发送命令；
Sheet "Comm Matrix"：
1. 帧 RBMS_SumInfo：
    1）信号RBMS_ConFail、RBMS_RlyCtrlCmd 描述更新；
    2）删除信号 RBMS_SwitchToLocalPreFlag -&gt; Reserved2；
    3）新增信号 RBMS_FltSOPDischCoeffPct、RBMS_FltSOPChCoeffPct，二级板基于故障的充放电降功率系数；
2. 帧 RBMS_Debug 信号更新；
3. 新增帧 BBMS_SafetySignal；
4. 帧 BBMS_SumInfo：信号 BBMS_HumSensorRH、BBMS_TmpSensorRH上位机不显示；</t>
    <phoneticPr fontId="43" type="noConversion"/>
  </si>
  <si>
    <t>RBMS_St</t>
    <phoneticPr fontId="50" type="noConversion"/>
  </si>
  <si>
    <t>Bank Status
Bank工作状态</t>
    <phoneticPr fontId="50" type="noConversion"/>
  </si>
  <si>
    <t>HV Connect Fail Reason
高压连接失败原因</t>
    <phoneticPr fontId="43" type="noConversion"/>
  </si>
  <si>
    <t>Const Charge Power Limit (kW) 
持续充电功率限制 (kW)</t>
    <phoneticPr fontId="43" type="noConversion"/>
  </si>
  <si>
    <t>Const Discharge Power Limit (kW) 
持续放电功率限制 (kW)</t>
    <phoneticPr fontId="43" type="noConversion"/>
  </si>
  <si>
    <t>Const Charge Curr Limit (A) 
持续充电电流限制 (A)</t>
    <phoneticPr fontId="43" type="noConversion"/>
  </si>
  <si>
    <t>Const Discharge Curr Limit (A) 
持续放电电流限制 (A)</t>
    <phoneticPr fontId="43" type="noConversion"/>
  </si>
  <si>
    <t>Rack ID Learn Status
Rack ID编码状态</t>
    <phoneticPr fontId="50" type="noConversion"/>
  </si>
  <si>
    <t>Rack Max Available Capacity (Ah)
电池簇最大可用容量 (Ah)</t>
    <phoneticPr fontId="43" type="noConversion"/>
  </si>
  <si>
    <t>Rack Last Charge Energy (kWh)
最近一次簇充电能量 (kWh)</t>
    <phoneticPr fontId="43" type="noConversion"/>
  </si>
  <si>
    <t>Rack Last Discharge Energy (kWh)
最近一次簇放电能量 (kWh)</t>
    <phoneticPr fontId="43" type="noConversion"/>
  </si>
  <si>
    <t>Insulation Measure Status
绝缘测量状态</t>
    <phoneticPr fontId="43" type="noConversion"/>
  </si>
  <si>
    <t>Const Charge Curr Limit (A)
持续充电电流限制 (A)</t>
    <phoneticPr fontId="43" type="noConversion"/>
  </si>
  <si>
    <t>Const Discharge Curr Limit (A)
持续放电电流限制 (A)</t>
    <phoneticPr fontId="43" type="noConversion"/>
  </si>
  <si>
    <t>Const Charge Power Limit (kW)
持续充电功率限制 (kW)</t>
    <phoneticPr fontId="43" type="noConversion"/>
  </si>
  <si>
    <t>Const Discharge Power Limit (kW)
持续放电功率限制 (kW)</t>
    <phoneticPr fontId="43" type="noConversion"/>
  </si>
  <si>
    <t>Temp Sampling MUX Fail Position
温度采样MUX失效位置</t>
    <phoneticPr fontId="43" type="noConversion"/>
  </si>
  <si>
    <t>V1.0.34</t>
    <phoneticPr fontId="43" type="noConversion"/>
  </si>
  <si>
    <t>BSWSRackMaxPoleTDegC</t>
    <phoneticPr fontId="43" type="noConversion"/>
  </si>
  <si>
    <t>BSWSRackMinPoleTDegC</t>
    <phoneticPr fontId="43" type="noConversion"/>
  </si>
  <si>
    <t>BSWSRackMaxHvBoxTDegC</t>
    <phoneticPr fontId="50" type="noConversion"/>
  </si>
  <si>
    <r>
      <t>TMS Working Mode
TMS</t>
    </r>
    <r>
      <rPr>
        <sz val="10"/>
        <color rgb="FF000000"/>
        <rFont val="宋体"/>
        <family val="3"/>
        <charset val="134"/>
      </rPr>
      <t>工作模式</t>
    </r>
    <phoneticPr fontId="43" type="noConversion"/>
  </si>
  <si>
    <t>ScTMCR_TMSOutWtrTDegC</t>
    <phoneticPr fontId="50" type="noConversion"/>
  </si>
  <si>
    <t>ScTMCR_TMSBackWtrTDegC</t>
    <phoneticPr fontId="50" type="noConversion"/>
  </si>
  <si>
    <t>ScTMCR_TMSEnvTDegC</t>
    <phoneticPr fontId="50" type="noConversion"/>
  </si>
  <si>
    <t>RBMS_HvBoxMinTemp</t>
    <phoneticPr fontId="50" type="noConversion"/>
  </si>
  <si>
    <t>RBMS_HvBoxMaxTemp</t>
    <phoneticPr fontId="50" type="noConversion"/>
  </si>
  <si>
    <t>BSWSRackMinHvBoxTDegC</t>
    <phoneticPr fontId="50" type="noConversion"/>
  </si>
  <si>
    <t>RBMS_PoleTDegC[RACK_AFE_NUMBER_MAX*4]</t>
    <phoneticPr fontId="43" type="noConversion"/>
  </si>
  <si>
    <t>Pole Temp (℃) (up to 128 Poles)
极柱温度（最多128个）</t>
    <phoneticPr fontId="43" type="noConversion"/>
  </si>
  <si>
    <t>833-1088</t>
    <phoneticPr fontId="43" type="noConversion"/>
  </si>
  <si>
    <t>1089-1120</t>
    <phoneticPr fontId="43" type="noConversion"/>
  </si>
  <si>
    <t>1121-1124</t>
    <phoneticPr fontId="43" type="noConversion"/>
  </si>
  <si>
    <t>SaCLTS_PoleTDegC[RACK_AFE_NUMBER*4]</t>
    <phoneticPr fontId="43" type="noConversion"/>
  </si>
  <si>
    <t>ScSGPC_BatIStNbr</t>
    <phoneticPr fontId="50" type="noConversion"/>
  </si>
  <si>
    <t>RBMS_GenlVldFlg</t>
    <phoneticPr fontId="50" type="noConversion"/>
  </si>
  <si>
    <t>Bit0[1]: Main Negative Contactor Status;主负继电器状态;
Signal;
0X0-Open;
0X1-Closed;
Bit1[1]: Main Positive Contactor Status;主正继电器状态;
Signal;
0X0-Open;
0X1-Closed;
Bit2[1]: Precharge Contactor Status;预充继电器状态
Signal;
0X0-Open;
0X1-Closed;
Bit3[0]: Reserved;保留
Signal;
0X0-Open;
0X1-Closed;
Bit4[0]: Reserved;保留
Signal;
0X0-Open;
0X1-Closed;
Bit5[0]: Reserved;保留
Signal;
0X0-Open;
0X1-Closed;
Bit6[1]: QS Switch Status;隔离开关QS状态
Signal;
0X0-Closed;
0X1-Open;
Bit7[1]: HV Interlock Status;高压互锁状态
Signal;
0X0-Closed;
0X1-Open;
Bit8-Bit9[0]: HV Box Cooling Fan Status;高压箱冷却风扇状态
Signal;
0X0-Open;
0X1-Closed;
Bit10[1]: EStop Status;急停状态
Signal;
0X0-Closed;
0X1-Open;
Bit11[0]: Reserved;保留
Signal；
0X0-Open;
0X1-Closed;
Bit12[0]: Reserved;保留
Signal;
0X0-Open;
0X1-Closed;
Bit13[0]: Reserved;保留
Signal;
0X0-Open;
0X1-Closed;
Bit14[1]: Isolation Finished Flag;绝缘完成标志
Signal;
0X0-No;
0X1-Yes;
Bit15[1]: Door Open Status;电柜门状态
Signal;
0X0-Closed;
0X1-Open;</t>
    <phoneticPr fontId="43" type="noConversion"/>
  </si>
  <si>
    <t>Bit0[0]: Precharge Relay Control Cmd;预充继电器控制命令
Signal;
0X0-Default;
0X1-Control;
Bit1[0]: Main Negative Relay Control Cmd;主负继电器控制命令
Signal;
0X0-Default;
0X1-Control;
Bit2[0]: Main Positive Relay Control Cmd;主正继电器控制命令
Signal;
0X0-Default;
0X1-Control;
Bit3[0]: Main Positive Relay High-Side Control Cmd;主正继电器高边控制命令
Signal;
0X0-Default;
0X1-Control;
Bit4[0]: Main Positive Relay Low-Side Control Cmd;主正继电器低边控制命令
Signal;
0X0-Default;
0X1-Control;
Bit5[0]: Main Negative Relay High-Side Control Cmd;主负继电器高边控制命令
Signal;
0X0-Default;
0X1-Control;
Bit6[0]: Main Negative Relay Low-Side Control Cmd;主负继电器低边控制命令
Signal;
0X0-Default;
0X1-Control;</t>
    <phoneticPr fontId="43" type="noConversion"/>
  </si>
  <si>
    <t>Sheet "Comm Matrix"：
1. 信号描述英文名优化；
2. TMS_SumInfo：出水、回水、环境温度数据类型更改uint8 -&gt; fixdt(0,8,1,-40)、mapping信号更改；
3. RBMS_SumInfo：
    1）高压盒温度Max、极柱温度Max/Min增加M核映射；
    2）删除极柱温度概要有效性，新增高压盒温度Min：RBMS_GenlPoleTVldFlg-&gt;RBMS_HvBoxMinTemp；
    3）RBMS_GenlVldFlg 信号取值描述增加高压盒、极柱温度概要有效性；
4. RBMS_Temp：极柱温度维度变更RACK_AFE_NUMBER_MAX*2 -&gt; RACK_AFE_NUMBER_MAX*4；</t>
    <phoneticPr fontId="43" type="noConversion"/>
  </si>
  <si>
    <t>V1.0.35</t>
    <phoneticPr fontId="43" type="noConversion"/>
  </si>
  <si>
    <t>BBMS_MaxChrgCap</t>
    <phoneticPr fontId="50" type="noConversion"/>
  </si>
  <si>
    <t>BBMS_MaxDisChrgCap</t>
    <phoneticPr fontId="50" type="noConversion"/>
  </si>
  <si>
    <t>Ah</t>
    <phoneticPr fontId="50" type="noConversion"/>
  </si>
  <si>
    <t>BSWSRackResChAvlCapAh</t>
    <phoneticPr fontId="50" type="noConversion"/>
  </si>
  <si>
    <t>ScBSOX_ResDischCapAh</t>
    <phoneticPr fontId="50" type="noConversion"/>
  </si>
  <si>
    <t>ScBSOX_ResChCapAh</t>
    <phoneticPr fontId="50" type="noConversion"/>
  </si>
  <si>
    <t>ScEMCT_BBMS_MaxVCellRackNr</t>
    <phoneticPr fontId="43" type="noConversion"/>
  </si>
  <si>
    <t>ScEMCT_BBMS_MaxVCellTrayNr</t>
    <phoneticPr fontId="43" type="noConversion"/>
  </si>
  <si>
    <t>ScEMCT_BBMS_MaxVCellNr</t>
    <phoneticPr fontId="43" type="noConversion"/>
  </si>
  <si>
    <t>ScEMCT_BBMS_MinVCellRackNr</t>
    <phoneticPr fontId="43" type="noConversion"/>
  </si>
  <si>
    <t>ScEMCT_BBMS_MinVCellTrayNr</t>
    <phoneticPr fontId="43" type="noConversion"/>
  </si>
  <si>
    <t>ScEMCT_BBMS_MinVCellNr</t>
    <phoneticPr fontId="43" type="noConversion"/>
  </si>
  <si>
    <t>Sheet "Comm Matrix"：
BBMS_SumInfo：新增系统可充/放容量；电压、温度最大/小位置信号由BKPC信号改为EMCT输出信号；</t>
    <phoneticPr fontId="43" type="noConversion"/>
  </si>
  <si>
    <t>V1.0.36</t>
    <phoneticPr fontId="43" type="noConversion"/>
  </si>
  <si>
    <t>BBMS_MaxHvBoxTDegC</t>
    <phoneticPr fontId="50" type="noConversion"/>
  </si>
  <si>
    <t>BBMS_MinHvBoxTDegC</t>
    <phoneticPr fontId="50" type="noConversion"/>
  </si>
  <si>
    <t>Max Hv Box Temp (℃)
最高高压箱温度 (℃)</t>
    <phoneticPr fontId="50" type="noConversion"/>
  </si>
  <si>
    <t>Min Hv Box Temp (℃)
最低高压箱温度 (℃)</t>
    <phoneticPr fontId="50" type="noConversion"/>
  </si>
  <si>
    <t>℃</t>
    <phoneticPr fontId="50" type="noConversion"/>
  </si>
  <si>
    <t>ScBKPC_BankMinHvBoxTDegC</t>
    <phoneticPr fontId="50" type="noConversion"/>
  </si>
  <si>
    <t>ScBKPC_BankMaxHvBoxTDegC</t>
    <phoneticPr fontId="50" type="noConversion"/>
  </si>
  <si>
    <t>BESS_ALLOWED_RACK_FOR_PARTIAL_OPERATION_MIN</t>
    <phoneticPr fontId="50" type="noConversion"/>
  </si>
  <si>
    <t>SbLVPH_CurrSnsrPowSplyNotOutRngFlg</t>
    <phoneticPr fontId="50" type="noConversion"/>
  </si>
  <si>
    <t>Current Sensor Power Supply Volt Out Range Flg
电流传感器供电电压超上下限标志</t>
    <phoneticPr fontId="50" type="noConversion"/>
  </si>
  <si>
    <t>0：超出；1：未超出</t>
    <phoneticPr fontId="50" type="noConversion"/>
  </si>
  <si>
    <t>BBMS_PmtRkFltNum</t>
    <phoneticPr fontId="50" type="noConversion"/>
  </si>
  <si>
    <t>HMI_PmtRkFltNum</t>
    <phoneticPr fontId="50" type="noConversion"/>
  </si>
  <si>
    <t>V</t>
    <phoneticPr fontId="50" type="noConversion"/>
  </si>
  <si>
    <t>MapValid: &gt; 0</t>
    <phoneticPr fontId="50" type="noConversion"/>
  </si>
  <si>
    <t>Sheet "Comm Matrix"：
1. RBMS_SumInfo：Rack最高/低高压盒温度在上位机显示；新增12V供电电压，并在上位机显示；
2. BBMS_SumInfo：BBMS_PmtRkFltNum在上位机显示；新增系统最高/低高压盒温度，并在上位机显示；
3. HMI_CtlWord：信号 HMI_PmtRkFltNum 修改Rx Mapping信号：EGLGR_PmtRkFltNum-&gt;BESS_ALLOWED_RACK_FOR_PARTIAL_OPERATION_MIN； 
4. RBMS_Debug：新增电流无效底层接口；</t>
    <phoneticPr fontId="43" type="noConversion"/>
  </si>
  <si>
    <t>V1.0.37</t>
    <phoneticPr fontId="43" type="noConversion"/>
  </si>
  <si>
    <t>Enum
0X0: Normal;
0X1: HMI Insulation Prohibition;
0X2: Insulation-related Voltage Invalid;
0X3: Hv Insulation Prohibition;
0X4: XCP Configuration Insulation Prohibition;</t>
    <phoneticPr fontId="50" type="noConversion"/>
  </si>
  <si>
    <t>BBMS_AllowRackExitFlg</t>
    <phoneticPr fontId="50" type="noConversion"/>
  </si>
  <si>
    <t>Allow Rack Exit System Flag
允许退簇系统标志位</t>
    <phoneticPr fontId="50" type="noConversion"/>
  </si>
  <si>
    <t>0x0:非退簇系统
0x1:退簇系统</t>
    <phoneticPr fontId="50" type="noConversion"/>
  </si>
  <si>
    <t>SbBCFR_AllowRackPowerDownAloneFlg</t>
    <phoneticPr fontId="50" type="noConversion"/>
  </si>
  <si>
    <t>SaCLTS_PCBBdTDegC[RACK_AFE_NUMBER]</t>
    <phoneticPr fontId="43" type="noConversion"/>
  </si>
  <si>
    <t>SaCLTS_PCBBdTVldFlg[RACK_AFE_NUMBER]</t>
    <phoneticPr fontId="43" type="noConversion"/>
  </si>
  <si>
    <t>1125-1188</t>
    <phoneticPr fontId="43" type="noConversion"/>
  </si>
  <si>
    <t>BBMS_MaxCellT</t>
    <phoneticPr fontId="50" type="noConversion"/>
  </si>
  <si>
    <t>ScBKPC_BankMaxMdulTDegC</t>
    <phoneticPr fontId="50" type="noConversion"/>
  </si>
  <si>
    <t>ScBKPC_BankMinMdulTDegC</t>
    <phoneticPr fontId="50" type="noConversion"/>
  </si>
  <si>
    <t>ScBKPC_BankAvgMdulTDegC</t>
    <phoneticPr fontId="50" type="noConversion"/>
  </si>
  <si>
    <t>ScBKPC_BankMaxMdulTRackIdxNbr</t>
  </si>
  <si>
    <t>ScBKPC_BankMaxMdulTCellIdxNbr</t>
  </si>
  <si>
    <t>ScBKPC_BankMaxMdulTMdulIdxNbr</t>
  </si>
  <si>
    <t>ScBKPC_BankMinMdulTRackIdxNbr</t>
  </si>
  <si>
    <t>ScBKPC_BankMinMdulTMdulIdxNbr</t>
  </si>
  <si>
    <t>ScBKPC_BankMinMdulTCellIdxNbr</t>
  </si>
  <si>
    <t>ScCLTH_CtlBoxT0DegC</t>
    <phoneticPr fontId="43" type="noConversion"/>
  </si>
  <si>
    <t>ScCLTH_CtlBoxT1DegC</t>
    <phoneticPr fontId="50" type="noConversion"/>
  </si>
  <si>
    <t>ScCLTH_CtlBoxT2DegC</t>
  </si>
  <si>
    <t>ScCLTH_CtlBoxT3DegC</t>
  </si>
  <si>
    <t>Reserved3</t>
    <phoneticPr fontId="43" type="noConversion"/>
  </si>
  <si>
    <t>Reserved3
预留占位3</t>
    <phoneticPr fontId="43" type="noConversion"/>
  </si>
  <si>
    <t>Reserved4</t>
    <phoneticPr fontId="43" type="noConversion"/>
  </si>
  <si>
    <t>Reserved4
预留占位4</t>
    <phoneticPr fontId="43" type="noConversion"/>
  </si>
  <si>
    <t>RBMS_MaxTMdulIdxNbr</t>
    <phoneticPr fontId="43" type="noConversion"/>
  </si>
  <si>
    <t>RBMS_MinTMdulIdxNbr</t>
    <phoneticPr fontId="43" type="noConversion"/>
  </si>
  <si>
    <t>RBMS_MaxTMdulInnerIdxNbr</t>
    <phoneticPr fontId="43" type="noConversion"/>
  </si>
  <si>
    <t>RBMS_MinTMdulInnerIdxNbr</t>
    <phoneticPr fontId="43" type="noConversion"/>
  </si>
  <si>
    <t>RBMS_ModTmpMaxPstn</t>
    <phoneticPr fontId="43" type="noConversion"/>
  </si>
  <si>
    <t>RBMS_ModTmpMinPstn</t>
    <phoneticPr fontId="43" type="noConversion"/>
  </si>
  <si>
    <t>DC Bus Current (A) (High accu)
总线电流 (A) (高精度)</t>
    <phoneticPr fontId="43" type="noConversion"/>
  </si>
  <si>
    <t>RBMS_A_HighAccu</t>
    <phoneticPr fontId="43" type="noConversion"/>
  </si>
  <si>
    <t>RBMS_A1</t>
    <phoneticPr fontId="43" type="noConversion"/>
  </si>
  <si>
    <t>A</t>
    <phoneticPr fontId="50" type="noConversion"/>
  </si>
  <si>
    <t>SaEMCT_RBMS_A[0]</t>
    <phoneticPr fontId="43" type="noConversion"/>
  </si>
  <si>
    <t>SaEMCT_RBMS_A[1]</t>
    <phoneticPr fontId="43" type="noConversion"/>
  </si>
  <si>
    <t>AFE Daisy Chain Master Chain Nodes
AFE菊花链主链节点数</t>
    <phoneticPr fontId="43" type="noConversion"/>
  </si>
  <si>
    <t>AFE Daisy Chain Slave Chain Nodes
AFE菊花链副链节点数</t>
    <phoneticPr fontId="43" type="noConversion"/>
  </si>
  <si>
    <t>HV Box Temperature0 (℃)
高压箱温度T0 (℃)</t>
    <phoneticPr fontId="43" type="noConversion"/>
  </si>
  <si>
    <t>HV Box Temperature1 (℃)
高压箱温度T1 (℃)</t>
    <phoneticPr fontId="43" type="noConversion"/>
  </si>
  <si>
    <t>HV Box Temperature2 (℃)
高压箱温度T2 (℃)</t>
    <phoneticPr fontId="43" type="noConversion"/>
  </si>
  <si>
    <t>HV Box Temperature3 (℃)
高压箱温度T3 (℃)</t>
    <phoneticPr fontId="43" type="noConversion"/>
  </si>
  <si>
    <t>ScCLTH_MaxPoleTIdxNbr</t>
    <phoneticPr fontId="50" type="noConversion"/>
  </si>
  <si>
    <t>ScCLTH_MinPoleTMdulIdxNbr</t>
    <phoneticPr fontId="50" type="noConversion"/>
  </si>
  <si>
    <t>ScCLTH_MaxPoleTMdulIdxNbr</t>
    <phoneticPr fontId="50" type="noConversion"/>
  </si>
  <si>
    <t>ScCLTH_MinPoleTIdxNbr</t>
    <phoneticPr fontId="50" type="noConversion"/>
  </si>
  <si>
    <t>ScCLTH_MaxPCBBdTDegC</t>
    <phoneticPr fontId="50" type="noConversion"/>
  </si>
  <si>
    <t>ScCLTH_MinPCBBdTDegC</t>
    <phoneticPr fontId="50" type="noConversion"/>
  </si>
  <si>
    <t>ScEMCT_RBMS_CurrSnsrPowSplyValmV</t>
    <phoneticPr fontId="50" type="noConversion"/>
  </si>
  <si>
    <t>Current Sensor Power Supply Volt (mV)
电流传感器供电电压 (mV)</t>
    <phoneticPr fontId="50" type="noConversion"/>
  </si>
  <si>
    <t>RBMS_CurrSnsrPowSplyVoltmV</t>
    <phoneticPr fontId="50" type="noConversion"/>
  </si>
  <si>
    <t>BSWSBBMSAllowRackPowerDownAloneFlg</t>
    <phoneticPr fontId="50" type="noConversion"/>
  </si>
  <si>
    <t>ScCLTH_CtlBoxTMaxDegC</t>
    <phoneticPr fontId="50" type="noConversion"/>
  </si>
  <si>
    <t>ScCLTH_CtlBoxTMinDegC</t>
    <phoneticPr fontId="50" type="noConversion"/>
  </si>
  <si>
    <t>BSWSRackSt</t>
    <phoneticPr fontId="50" type="noConversion"/>
  </si>
  <si>
    <t>Sheet "Comm Matrix"：
1. RBMS_SumInfo：
    1）更新绝缘禁止原因 RBMS_IslnInhibitNbr 信号值描述；
    2）删除低精度的电芯、极柱温度及其位置-&gt;Reserved；高压箱、PCB板温度数据类型 fixdt(0,8,1,-40)-&gt;fixdt(0,16,0.1,-40)，相关Tx信号由EMCT信号改为CLTH信号；
    3）新增2个传感器电流值 RBMS_A1、RBMS_A2；
    4）RBMS_CurrSnsrPowSplyVoltV 分辨率 2^-10 -&gt; 1，单位 V-&gt;mV，Tx信号由LVPS信号改为EMCT信号；
    5）RBMS_St 新增A核Rx信号；
2. RBMS_Temp：RBMS_PCBBdTDegC 数据类型 fixdt(0,8,1,-40)-&gt;fixdt(0,16,0.1,-40)，相关Tx信号由EMCT信号改为CLTS信号；
3. BBMS_SumInfo：
    1）更新高压连接失败原因 BBMS_ConFail 信号值描述；
    2）电芯、高压箱温度数据类型 fixdt(0,8,1,-40)-&gt;fixdt(0,16,0.1,-40)，相关Tx信号由EMCT信号改为BKPC信号；
4. BBMS_CtlWord：新增信号 BBMS_RackEnableFlg、BBMS_AllowRackExitFlg，支持退簇功能；</t>
    <phoneticPr fontId="43" type="noConversion"/>
  </si>
  <si>
    <t>V1.0.38</t>
    <phoneticPr fontId="43" type="noConversion"/>
  </si>
  <si>
    <t>SbCTSC_RlyLoadBreakFlg</t>
  </si>
  <si>
    <t>SbCTSC_RlyLoadBreakFlg</t>
    <phoneticPr fontId="50" type="noConversion"/>
  </si>
  <si>
    <t>Contactor Off-with-Load Flg
继电器带载断开标志位</t>
    <phoneticPr fontId="50" type="noConversion"/>
  </si>
  <si>
    <t>ScCTSC_RlyLoadBreakCurrentA</t>
    <phoneticPr fontId="50" type="noConversion"/>
  </si>
  <si>
    <t>Current when Contactor Off-with-Load (A)
继电器带载断开时的电池串电流 (A)</t>
    <phoneticPr fontId="50" type="noConversion"/>
  </si>
  <si>
    <t>Main positive relay high-side drive current (mA)
主正高边驱动电流 (mA)</t>
    <phoneticPr fontId="50" type="noConversion"/>
  </si>
  <si>
    <t>High-side drive current of the pre-charging relay (mA)
预充高边驱动电流 (mA)</t>
    <phoneticPr fontId="50" type="noConversion"/>
  </si>
  <si>
    <t>Main negative relay high-side drive current (mA)
主负高边驱动电流 (mA)</t>
    <phoneticPr fontId="50" type="noConversion"/>
  </si>
  <si>
    <t>Grounding channel voltage (mV)
接地通道电压 (mV)</t>
    <phoneticPr fontId="50" type="noConversion"/>
  </si>
  <si>
    <t>Main negative relay low-side drive voltage (V)
主负低边驱动电压 (V)</t>
    <phoneticPr fontId="50" type="noConversion"/>
  </si>
  <si>
    <t>Main positive relay low-side drive voltage (V)
主正低边驱动电压 (V)</t>
    <phoneticPr fontId="50" type="noConversion"/>
  </si>
  <si>
    <t>Sheet "Comm Matrix"：
RBMS_Debug：新增继电器带载断开状态 SbCTSC_RlyLoadBreakFlg、带载断开电流 ScCTSC_RlyLoadBreakCurrentA；</t>
    <phoneticPr fontId="43" type="noConversion"/>
  </si>
  <si>
    <t>V1.0.39</t>
    <phoneticPr fontId="43" type="noConversion"/>
  </si>
  <si>
    <t>BBMS_MaxPoleT</t>
    <phoneticPr fontId="50" type="noConversion"/>
  </si>
  <si>
    <t>BBMS_MinPoleT</t>
    <phoneticPr fontId="50" type="noConversion"/>
  </si>
  <si>
    <t>Max Pole Temp (℃)
最高极柱温度 (℃)</t>
    <phoneticPr fontId="50" type="noConversion"/>
  </si>
  <si>
    <t>Min Pole Temp (℃)
最低极柱温度 (℃)</t>
    <phoneticPr fontId="50" type="noConversion"/>
  </si>
  <si>
    <t>ScBKPC_BankMinPoleTDegC</t>
    <phoneticPr fontId="50" type="noConversion"/>
  </si>
  <si>
    <t>ScBKPC_BankMaxPoleTDegC</t>
    <phoneticPr fontId="50" type="noConversion"/>
  </si>
  <si>
    <t>RBMS_CommType</t>
    <phoneticPr fontId="43" type="noConversion"/>
  </si>
  <si>
    <t>Communication Type
通讯类型</t>
    <phoneticPr fontId="43" type="noConversion"/>
  </si>
  <si>
    <t>ScEMCT_RBMS_CommType</t>
    <phoneticPr fontId="43" type="noConversion"/>
  </si>
  <si>
    <t>Enum
0X0: CAN
0X1: LAN</t>
    <phoneticPr fontId="50" type="noConversion"/>
  </si>
  <si>
    <t>Sheet "Comm Matrix"：
RBMS_SumInfo：新增通讯类型信号 RBMS_CommType；
BBMS_SumInfo：BBMS_CntrSt 信号取值描述更新；新增最高/低极柱温度；</t>
    <phoneticPr fontId="43" type="noConversion"/>
  </si>
  <si>
    <t>RBMS_MCURstRsnNbr</t>
    <phoneticPr fontId="50" type="noConversion"/>
  </si>
  <si>
    <t>V1.0.40</t>
    <phoneticPr fontId="43" type="noConversion"/>
  </si>
  <si>
    <t>BBMS_BMSMaxFltLevel</t>
    <phoneticPr fontId="50" type="noConversion"/>
  </si>
  <si>
    <t>System Fault Level
系统故障等级</t>
    <phoneticPr fontId="50" type="noConversion"/>
  </si>
  <si>
    <t>BBMS_BankFltLvl</t>
    <phoneticPr fontId="50" type="noConversion"/>
  </si>
  <si>
    <t>RBMS_MCURstRsnFltNbr</t>
    <phoneticPr fontId="43" type="noConversion"/>
  </si>
  <si>
    <t>Fault Causes Leading to MCU Reset
导致MCU复位的故障原因</t>
    <phoneticPr fontId="43" type="noConversion"/>
  </si>
  <si>
    <t>MCU Reset Source
MCU复位源</t>
    <phoneticPr fontId="50" type="noConversion"/>
  </si>
  <si>
    <t>Bit0[0]: CPU Power-On Self-Test;MCU内部的CPU上电自检
Signal;
0X0-Nomal;
0X1-Fault;
Bit1[0]: Periodic CPU Self-Test;MCU内部的CPU周期性自检
Signal;
0X0-Nomal;
0X1-Fault;
Bit2[0]: RAM Test;RAM检测(ECC+寻址)
Signal;
0X0-Nomal;
0X1-Fault;
Bit3[0]: FLASH Test;FLASH检测(ECC+寻址)
Signal;
0X0-Nomal;
0X1-Fault;
Bit4[0]: Power supply/Clock/Interrupt/Timer/Register Configuration Readback Test;电源检测、时钟检测、中断检测、Timer检测、系统关键寄存器配置回读检测
Signal;
0X0-Nomal;
0X1-Fault;
Bit5[0]: Over-Temperature Detection for MCU Chip;MCU芯片过温检测
Signal;
0X0-Nomal;
0X1-Fault;
Bit6[0]: Control-Flow Detection;控制流检测
Signal;
0X0-Nomal;
0X1-Fault;
Bit7[0]: Hardfault Process;Hardfault处理
Signal;
0X0-Nomal;
0X1-Fault;</t>
    <phoneticPr fontId="50" type="noConversion"/>
  </si>
  <si>
    <t>BSWSMCURstFltRsnNbr</t>
    <phoneticPr fontId="50" type="noConversion"/>
  </si>
  <si>
    <t>ScBKPC_BBMSFltLvlNbr</t>
    <phoneticPr fontId="50" type="noConversion"/>
  </si>
  <si>
    <t>BSWSBBMSFltLvlNbr</t>
    <phoneticPr fontId="50" type="noConversion"/>
  </si>
  <si>
    <t>0X0: Default
0X1: Level 1 Fault;
0X2: Level 2 Fault;
0X3: Level 3 Fault;
0X7: No Fault;</t>
    <phoneticPr fontId="50" type="noConversion"/>
  </si>
  <si>
    <t>BBMS_FltSOPDischCoeffPct</t>
    <phoneticPr fontId="43" type="noConversion"/>
  </si>
  <si>
    <t>BBMS_FltSOPChCoeffPct</t>
    <phoneticPr fontId="43" type="noConversion"/>
  </si>
  <si>
    <t>BSWSBBMSFltSOPDischCoeffPct</t>
    <phoneticPr fontId="43" type="noConversion"/>
  </si>
  <si>
    <t>BSWSBBMSFltSOPChCoeffPct</t>
    <phoneticPr fontId="43" type="noConversion"/>
  </si>
  <si>
    <t>0-100</t>
    <phoneticPr fontId="50" type="noConversion"/>
  </si>
  <si>
    <t>BBMS_ProhUpgradeFlg</t>
    <phoneticPr fontId="43" type="noConversion"/>
  </si>
  <si>
    <t>Prohibited Upgrade Flag
禁止升级标志位</t>
    <phoneticPr fontId="43" type="noConversion"/>
  </si>
  <si>
    <t>SbBKPC_ProhUpgradeFlg</t>
    <phoneticPr fontId="50" type="noConversion"/>
  </si>
  <si>
    <t>BBMS_SystemAchitectureNbr</t>
    <phoneticPr fontId="50" type="noConversion"/>
  </si>
  <si>
    <t>System Architecture Type
系统架构类型</t>
    <phoneticPr fontId="50" type="noConversion"/>
  </si>
  <si>
    <t>Nbr</t>
    <phoneticPr fontId="50" type="noConversion"/>
  </si>
  <si>
    <t>BSWBBMSSystemAchitectureNbr</t>
    <phoneticPr fontId="50" type="noConversion"/>
  </si>
  <si>
    <t>SYSTEM_INTEGRATION_CONFIGURATION</t>
    <phoneticPr fontId="50" type="noConversion"/>
  </si>
  <si>
    <t>RBMS_PCSDchVoltLim</t>
    <phoneticPr fontId="50" type="noConversion"/>
  </si>
  <si>
    <t>RBMS_PCSChVoltLim</t>
    <phoneticPr fontId="50" type="noConversion"/>
  </si>
  <si>
    <t>RBMS_PCSSOP</t>
    <phoneticPr fontId="50" type="noConversion"/>
  </si>
  <si>
    <t>RBMS_PCSBMSSt</t>
    <phoneticPr fontId="50" type="noConversion"/>
  </si>
  <si>
    <t>Charge Voltage Limit to PCS (V)
发送至PCS的充电限制电压 (V)</t>
    <phoneticPr fontId="50" type="noConversion"/>
  </si>
  <si>
    <t>Discharge Voltage Limit to PCS
发送至PCS的放电限制电压 (V)</t>
    <phoneticPr fontId="50" type="noConversion"/>
  </si>
  <si>
    <t>SOP to PCS (kW)
发送至PCS的SOP (kW)</t>
    <phoneticPr fontId="50" type="noConversion"/>
  </si>
  <si>
    <t>BMS Status to PCS
发送至PCS的BMS状态</t>
    <phoneticPr fontId="50" type="noConversion"/>
  </si>
  <si>
    <t>kW</t>
    <phoneticPr fontId="50" type="noConversion"/>
  </si>
  <si>
    <t>ScEMCT_PCS_Limit_ChargeVoltage</t>
    <phoneticPr fontId="50" type="noConversion"/>
  </si>
  <si>
    <t>ScEMCT_PCS_Limit_DisChargeVoltage</t>
    <phoneticPr fontId="50" type="noConversion"/>
  </si>
  <si>
    <t>ScEMCT_PCS_SOP</t>
    <phoneticPr fontId="50" type="noConversion"/>
  </si>
  <si>
    <t>ScEMCT_RBMS_BMSSt</t>
    <phoneticPr fontId="50" type="noConversion"/>
  </si>
  <si>
    <t>Bit0[1]: Cell Temperature General Validity;电芯温度概要有效性
Signal;
0X0-Invalid;
0X1-Valid;
Bit1[1]: Cell Voltage General Validity;电芯电压概要有效性
Signal;
0X0-Invalid;
0X1-Valid;
Bit2[1]: Battery Current Validity;簇电流有效性
Signal;
0X0-Invalid;
0X1-Valid;
Bit3[0]: LinkPosVoltage Validity;LinkPos电压有效性
Signal;
0X0-Invalid;
0X1-Valid;
Bit4[0]: Hv Box Temperature General Validity;高压箱温度概要有效性
Signal;
0X0-Invalid;
0X1-Valid;
Bit5[0]: Pole Temperature General Validity;极柱温度概要有效性
Signal;
0X0-Invalid;
0X1-Valid;
Bit6[0]: String Voltage Validity;电池串电压有效性
Signal;
0X0-Invalid;
0X1-Valid;</t>
    <phoneticPr fontId="50" type="noConversion"/>
  </si>
  <si>
    <t>0x0: 集中式架构
0x1: 组串式架构</t>
    <phoneticPr fontId="50" type="noConversion"/>
  </si>
  <si>
    <t>ScSOCA_TgtSysSOCPct</t>
    <phoneticPr fontId="50" type="noConversion"/>
  </si>
  <si>
    <t>Rack Target SOC (%)
Rack目标SOC (%)</t>
    <phoneticPr fontId="50" type="noConversion"/>
  </si>
  <si>
    <t>%</t>
    <phoneticPr fontId="50" type="noConversion"/>
  </si>
  <si>
    <t>Control Mode
控制模式</t>
    <phoneticPr fontId="50" type="noConversion"/>
  </si>
  <si>
    <t>ScSOCA_TgtSysSOCPct_dbug</t>
    <phoneticPr fontId="50" type="noConversion"/>
  </si>
  <si>
    <t>(SbCLTH_GenlCellTVldFlg &lt;&lt; 0) | (SbCLVH_GenlCellVVldFlg &lt;&lt; 1) | (SbEMCT_RBMS_BatIVldFlg &lt;&lt; 2) | (SbEMCT_RBMS_HvLnkPosVVldFlg &lt;&lt; 3) | (SbCLTH_GenlHvBoxTVldFlg &lt;&lt; 4) | (SbCLTH_GenlPoleTVldFlg &lt;&lt; 5) | (SbEMCT_RBMS_HvBatVVldFlg &lt;&lt; 6)</t>
    <phoneticPr fontId="50" type="noConversion"/>
  </si>
  <si>
    <t>Sheet "Comm Matrix"：
1. RBMS_SumInfo：RBMS_MCURstRsnNbr信号描述、取值描述更新；RBMS_GenlVldFlg信号取值描述、Tx信号变更；新增信号Reserved5-&gt;RBMS_MCURstFltRsnNbr、RBMS_PCSChVoltLim、RBMS_PCSDchVoltLim、RBMS_PCSSOP、RBMS_PCSBMSSt；
2. BBMS_SumInfo：BBMS_BMSMaxFltLevel信号描述更新；新增信号Reserved2-&gt;BBMS_ProhUpgradeFlg；
3. BBMS_CtlWord：新增信号BBMS_SystemAchitectureNbr、BBMS_BankFltLvl、BBMS_FltSOPDischCoeffPct、BBMS_FltSOPChCoeffPct；
4. RBMS_SOXdebugData2：新增信号ScSOCA_TgtSysSOCPct；</t>
    <phoneticPr fontId="43" type="noConversion"/>
  </si>
  <si>
    <t>V1.0.41</t>
    <phoneticPr fontId="43" type="noConversion"/>
  </si>
  <si>
    <t>0x0:空闲
0x1:调试
0x2:BMS控制
0x3:EMS控制
0x4:无效</t>
    <phoneticPr fontId="50" type="noConversion"/>
  </si>
  <si>
    <t>BBMS_A_CtlWord</t>
    <phoneticPr fontId="43" type="noConversion"/>
  </si>
  <si>
    <t>A核控制命令</t>
    <phoneticPr fontId="43" type="noConversion"/>
  </si>
  <si>
    <t>struct BBMS_A_CtlWord</t>
    <phoneticPr fontId="43" type="noConversion"/>
  </si>
  <si>
    <t>0x0: 允许升级
0x1: 禁止升级</t>
    <phoneticPr fontId="50" type="noConversion"/>
  </si>
  <si>
    <t>BBMS_A_EMSCtrlPowerUp</t>
    <phoneticPr fontId="50" type="noConversion"/>
  </si>
  <si>
    <t>0x0: 不操作
0x1: 上高压
0x2: 下高压</t>
    <phoneticPr fontId="50" type="noConversion"/>
  </si>
  <si>
    <t>BSWSMBBMSEMSPowerUpCmdNbr</t>
    <phoneticPr fontId="50" type="noConversion"/>
  </si>
  <si>
    <t>0x0:空闲
0x1:调试
0x2:BMS控制
0x3:EMS控制（仅对BBMS有效）
0x4:无效</t>
    <phoneticPr fontId="50" type="noConversion"/>
  </si>
  <si>
    <t>ScBTCS_BSWSBatIDiagInfoNbr</t>
    <phoneticPr fontId="43" type="noConversion"/>
  </si>
  <si>
    <t>0：OK；1：NotOK
bit0：第1个电流传感器；
bit1：第2个电流传感器</t>
    <phoneticPr fontId="50" type="noConversion"/>
  </si>
  <si>
    <t>ScBTCS_BSWSMsgAvlNbr</t>
    <phoneticPr fontId="50" type="noConversion"/>
  </si>
  <si>
    <t>ScBTCS_BSWSMsgCtrResNbr</t>
    <phoneticPr fontId="50" type="noConversion"/>
  </si>
  <si>
    <t>ScBTCS_BSWSMsgCRCResNbr</t>
    <phoneticPr fontId="50" type="noConversion"/>
  </si>
  <si>
    <t>ScBTCS_BSWSCurValVldNbr</t>
    <phoneticPr fontId="43" type="noConversion"/>
  </si>
  <si>
    <t>ScBTCS_CANBatIZeroDriftNbr</t>
    <phoneticPr fontId="50" type="noConversion"/>
  </si>
  <si>
    <t>Current Sensor Current Value Invalid
电流传感器电流值无效</t>
    <phoneticPr fontId="43" type="noConversion"/>
  </si>
  <si>
    <t>Current Sensor Zero Drift
电流传感器零漂</t>
    <phoneticPr fontId="50" type="noConversion"/>
  </si>
  <si>
    <t>Current Sensor Msg CRC Flt
电流传感器报文CRC故障</t>
    <phoneticPr fontId="50" type="noConversion"/>
  </si>
  <si>
    <t>Current Sensor Msg Rolling Counter Flt
电流传感器报文RollingCounter故障</t>
    <phoneticPr fontId="50" type="noConversion"/>
  </si>
  <si>
    <t>Current Sensor Msg Timeout Flt
电流传感器报文超时故障</t>
    <phoneticPr fontId="50" type="noConversion"/>
  </si>
  <si>
    <t>Current Sensor Hardware Flt
电流传感器硬件诊断信息</t>
    <phoneticPr fontId="43" type="noConversion"/>
  </si>
  <si>
    <t>BSW AFE Sampling Error Monitor
底层AFE采样错误监测</t>
    <phoneticPr fontId="50" type="noConversion"/>
  </si>
  <si>
    <t>bit0: AFE Counter Error
bit1: CellV CRC Error
bit2: CellT CRC Error
bit3: Chain Sample Line Off
bit4: Cell CRC Same
bit5: AFE Step Time-out
bit6: AFE Loop Time-out
bit7: AFE Update Time-out
bit8: AFE Configure A and B
bit9: Temp MUX Configure Error
bit10-31: Reserved</t>
    <phoneticPr fontId="50" type="noConversion"/>
  </si>
  <si>
    <t>BSWSAFESampErrMonitor</t>
    <phoneticPr fontId="50" type="noConversion"/>
  </si>
  <si>
    <t>EMS Control Power-up Cmd
EMS控制上下高压指令</t>
    <phoneticPr fontId="43" type="noConversion"/>
  </si>
  <si>
    <t>BBMS_SysOperSt</t>
    <phoneticPr fontId="50" type="noConversion"/>
  </si>
  <si>
    <t>Sheet "Message ID"：新增BBMS_A_CtlWord的周期发送命令；
Sheet "Comm Matrix"：
1. RBMS_SumInfo、BBMS_SumInfo：信号RBMS_ConFail、BBMS_ConFail、RBMS_St、BBMS_SysOperSt信号取值描述更新；
2. BBMS_CtlWord、HMI_CtlWord：信号BBMS_LocRemCtl、HMI_LocRemCtl位置、BitLen、信号取值描述变更；
3. RBMS_Debug：电流传感器相关信号变更；新增底层AFE采样错误观测信号；
4. 新增帧BBMS_A_CtlWord；</t>
    <phoneticPr fontId="43" type="noConversion"/>
  </si>
  <si>
    <t>V1.0.42</t>
    <phoneticPr fontId="43" type="noConversion"/>
  </si>
  <si>
    <t>HMI TMS控制指令(RBMS)</t>
    <phoneticPr fontId="43" type="noConversion"/>
  </si>
  <si>
    <t>HMI TMS控制指令(BBMS)</t>
    <phoneticPr fontId="43" type="noConversion"/>
  </si>
  <si>
    <t>热管理信息(RBMS)</t>
    <phoneticPr fontId="43" type="noConversion"/>
  </si>
  <si>
    <t>热管理信息(BBMS)</t>
    <phoneticPr fontId="43" type="noConversion"/>
  </si>
  <si>
    <t>读取-TMS阈值参数(RBMS)</t>
    <phoneticPr fontId="43" type="noConversion"/>
  </si>
  <si>
    <t>写入-TMS阈值参数(RBMS)</t>
    <phoneticPr fontId="43" type="noConversion"/>
  </si>
  <si>
    <t>读取-TMS阈值参数(BBMS)</t>
    <phoneticPr fontId="43" type="noConversion"/>
  </si>
  <si>
    <t>写入-TMS阈值参数(BBMS)</t>
    <phoneticPr fontId="43" type="noConversion"/>
  </si>
  <si>
    <t>cmdNUm</t>
    <phoneticPr fontId="43" type="noConversion"/>
  </si>
  <si>
    <t>Rack Last Full-Charge Cap (Ah)
最近一次簇满充容量 (Ah)</t>
    <phoneticPr fontId="43" type="noConversion"/>
  </si>
  <si>
    <t>Rack Last Full-Discharge Cap (Ah)
最近一次簇满放容量 (Ah)</t>
    <phoneticPr fontId="43" type="noConversion"/>
  </si>
  <si>
    <t>Accu Discharge Cap (Ah)
累计放电容量 (Ah)</t>
    <phoneticPr fontId="43" type="noConversion"/>
  </si>
  <si>
    <t>Accu Discharge Eng (kWh)
累计放电能量 (kWh)</t>
    <phoneticPr fontId="43" type="noConversion"/>
  </si>
  <si>
    <t>Accu Charge Cap (Ah)
累计充电容量 (Ah)</t>
    <phoneticPr fontId="43" type="noConversion"/>
  </si>
  <si>
    <t>Accu Charge Eng (kWh)
累计充电能量 (kWh)</t>
    <phoneticPr fontId="43" type="noConversion"/>
  </si>
  <si>
    <t>Accu Discharge Cap (Ah) (Low accu)
累计放电容量 (Ah) (低精度)</t>
    <phoneticPr fontId="43" type="noConversion"/>
  </si>
  <si>
    <t>Accu Discharge Eng (kWh) (Low accu)
累计放电能量 (kWh) (低精度)</t>
    <phoneticPr fontId="43" type="noConversion"/>
  </si>
  <si>
    <t>Accu Charge Cap (Ah) (Low accu)
累计充电容量 (Ah) (低精度)</t>
    <phoneticPr fontId="43" type="noConversion"/>
  </si>
  <si>
    <t>Accu Charge Eng (kWh) (Low accu)
累计充电能量 (kWh) (低精度)</t>
    <phoneticPr fontId="43" type="noConversion"/>
  </si>
  <si>
    <t>Rack Last Charge Cap (Ah)
最近一次簇充电容量 (Ah)</t>
    <phoneticPr fontId="43" type="noConversion"/>
  </si>
  <si>
    <t>Rack Last Discharge Cap (Ah)
最近一次簇放电容量 (Ah)</t>
    <phoneticPr fontId="43" type="noConversion"/>
  </si>
  <si>
    <t>Remaining Discharge Cap (Ah)
可放容量 (Ah)</t>
    <phoneticPr fontId="43" type="noConversion"/>
  </si>
  <si>
    <t>Remaining Charge Cap (Ah)
可充容量 (Ah)</t>
    <phoneticPr fontId="43" type="noConversion"/>
  </si>
  <si>
    <t>ScEMCT_RBMS_AttachState</t>
    <phoneticPr fontId="50" type="noConversion"/>
  </si>
  <si>
    <t>Sheet "Message ID"：
1. 新增报文HMI_TMSCtrlWord、TMS_SumInfo、ParaThr_TMS做在RBMS上的TMS相关命令，兼容2.3平台项目；
2. 新增列"cmdNum"，用于统计同一帧报文的命令数量；
3. 删除列"BBMS_A To EMS"；
Sheet "Comm Matrix"：
1. 由于同一帧报文具有多条命令，避免歧义，删除列sendType、Periodic Time、cmdGroup、cmdid、HMI、BBMS_A、BBMS_M、RBMS；
2. 报文 HMI_TMSCtrlWord、ParaThr_TMS 新增RBMS的Mapping信号，兼容2.3平台项目；
3. RBMS/BBMS_SumInfo：部分信号描述中英文修改，以满足欧盟法案要求；RBMS_AttachState新增Tx信号；删除信号RBMS_IDLearnDIIN-&gt;Reserved5、RBMS_RackNo-&gt;Reserved6，无任何逻辑；</t>
    <phoneticPr fontId="43" type="noConversion"/>
  </si>
  <si>
    <t>Full Equiv Ch-Disch Cycles
等效完整充放电循环次数</t>
    <phoneticPr fontId="43" type="noConversion"/>
  </si>
  <si>
    <t>V1.0.43</t>
    <phoneticPr fontId="43" type="noConversion"/>
  </si>
  <si>
    <t>热管理信息（RBMS/BBMS）</t>
    <phoneticPr fontId="50" type="noConversion"/>
  </si>
  <si>
    <t>TMSNo</t>
    <phoneticPr fontId="50" type="noConversion"/>
  </si>
  <si>
    <t>TMS Number
TMS编号</t>
    <phoneticPr fontId="50" type="noConversion"/>
  </si>
  <si>
    <t>ScTMCR_TMSWorkMode</t>
    <phoneticPr fontId="50" type="noConversion"/>
  </si>
  <si>
    <t>此参数用于1个堆包含多个TMS时，取值范围为[0,TMS_NUM-1]</t>
    <phoneticPr fontId="50" type="noConversion"/>
  </si>
  <si>
    <t>Max HV Box Temperature (℃)
最高高压箱温度 (℃)</t>
    <phoneticPr fontId="43" type="noConversion"/>
  </si>
  <si>
    <t>Min HV Box Temperature (℃)
最低高压箱温度 (℃)</t>
    <phoneticPr fontId="43" type="noConversion"/>
  </si>
  <si>
    <t>Min Balancing Board Temp (℃)
最低均衡板温 (℃)</t>
    <phoneticPr fontId="43" type="noConversion"/>
  </si>
  <si>
    <t>Max Balancing Board Temp (℃)
最高均衡板温 (℃)</t>
    <phoneticPr fontId="43" type="noConversion"/>
  </si>
  <si>
    <t>Rack Current of Sensor 1 (A)
传感器1的簇电流 (A)</t>
    <phoneticPr fontId="43" type="noConversion"/>
  </si>
  <si>
    <t>Rack Current of Sensor 2 (A)
传感器2的簇电流 (A)</t>
    <phoneticPr fontId="43" type="noConversion"/>
  </si>
  <si>
    <t>Max Cell Voltage Module Inner Position
最大电芯电压模组内位置</t>
    <phoneticPr fontId="43" type="noConversion"/>
  </si>
  <si>
    <t>Max Cell Voltage Rack Position
最大电芯电压Rack位置</t>
    <phoneticPr fontId="43" type="noConversion"/>
  </si>
  <si>
    <t>Max Cell Voltage Module Position
最大电芯电压模组位置</t>
    <phoneticPr fontId="43" type="noConversion"/>
  </si>
  <si>
    <t>Min Cell Voltage Rack Position
最小电芯电压Rack位置</t>
    <phoneticPr fontId="43" type="noConversion"/>
  </si>
  <si>
    <t>Min Cell Voltage Module Position
最小电芯电压模组位置</t>
    <phoneticPr fontId="43" type="noConversion"/>
  </si>
  <si>
    <t>Min Cell Voltage Position
最小电芯电压模组内位置</t>
    <phoneticPr fontId="43" type="noConversion"/>
  </si>
  <si>
    <t>Max Cell Temp Rack Position
最高电芯温度Rack位置</t>
    <phoneticPr fontId="43" type="noConversion"/>
  </si>
  <si>
    <t>Max Cell Temp Module Position
最高电芯温度模组位置</t>
    <phoneticPr fontId="43" type="noConversion"/>
  </si>
  <si>
    <t>Max Cell Temp Module Inner Position 
最高电芯温度模组内位置</t>
    <phoneticPr fontId="50" type="noConversion"/>
  </si>
  <si>
    <t>Min Cell Temp Rack Position
最低电芯温度Rack位置</t>
    <phoneticPr fontId="43" type="noConversion"/>
  </si>
  <si>
    <t>Min Cell Temp Module Position
最低电芯温度模组位置</t>
    <phoneticPr fontId="43" type="noConversion"/>
  </si>
  <si>
    <t>Min Cell Temp Module Inner Position 
最低电芯温度模组内位置</t>
    <phoneticPr fontId="50" type="noConversion"/>
  </si>
  <si>
    <t>BBMS_MaxPoleTRackNr</t>
    <phoneticPr fontId="50" type="noConversion"/>
  </si>
  <si>
    <t>BBMS_MinPoleTRackNr</t>
    <phoneticPr fontId="50" type="noConversion"/>
  </si>
  <si>
    <t>Max Pole Temp Rack Position
最高极柱温度Rack位置</t>
    <phoneticPr fontId="43" type="noConversion"/>
  </si>
  <si>
    <t>Min Pole Temp Rack Position
最低极柱温度Rack位置</t>
    <phoneticPr fontId="43" type="noConversion"/>
  </si>
  <si>
    <t>BBMS_MaxPoleTMdulNr</t>
    <phoneticPr fontId="50" type="noConversion"/>
  </si>
  <si>
    <t>BBMS_MaxPoleTMdulInnerNr</t>
    <phoneticPr fontId="50" type="noConversion"/>
  </si>
  <si>
    <t>BBMS_MinPoleTMdulNr</t>
    <phoneticPr fontId="50" type="noConversion"/>
  </si>
  <si>
    <t>BBMS_MinPoleTMdulInnerNr</t>
    <phoneticPr fontId="50" type="noConversion"/>
  </si>
  <si>
    <t>Max Pole Temp Module Position
最高极柱温度模组位置</t>
    <phoneticPr fontId="43" type="noConversion"/>
  </si>
  <si>
    <t>Max Pole Temp Module Inner Position 
最高极柱温度模组内位置</t>
    <phoneticPr fontId="50" type="noConversion"/>
  </si>
  <si>
    <t>Min Pole Temp Module Position
最低极柱温度模组位置</t>
    <phoneticPr fontId="43" type="noConversion"/>
  </si>
  <si>
    <t>Min Pole Temp Module Inner Position 
最低极柱温度模组内位置</t>
    <phoneticPr fontId="50" type="noConversion"/>
  </si>
  <si>
    <t>BBMS_MaxHvBoxTRackNr</t>
    <phoneticPr fontId="50" type="noConversion"/>
  </si>
  <si>
    <t>BBMS_MinHvBoxTRackNr</t>
    <phoneticPr fontId="50" type="noConversion"/>
  </si>
  <si>
    <t>Max Hv Box Temp Rack Position
最高高压箱温度Rack位置</t>
    <phoneticPr fontId="43" type="noConversion"/>
  </si>
  <si>
    <t>Min Hv Box Temp Rack Position
最低高压箱温度Rack位置</t>
    <phoneticPr fontId="43" type="noConversion"/>
  </si>
  <si>
    <t>Max Cell Voltage Module Position
最高电芯电压模组位置</t>
    <phoneticPr fontId="43" type="noConversion"/>
  </si>
  <si>
    <t>Min Cell Voltage Module Position
最低电芯电压模组位置</t>
    <phoneticPr fontId="43" type="noConversion"/>
  </si>
  <si>
    <t>Max Cell Voltage Module Inner Position
最高电芯电压模组内位置</t>
    <phoneticPr fontId="43" type="noConversion"/>
  </si>
  <si>
    <t>Min Cell Voltage Module Inner Position
最低电芯电压模组内位置</t>
    <phoneticPr fontId="43" type="noConversion"/>
  </si>
  <si>
    <t>Max Cell Temp Module Inner Position
最高电芯温度模组内位置</t>
    <phoneticPr fontId="43" type="noConversion"/>
  </si>
  <si>
    <t>Min Cell Temp Module Inner Position
最低电芯温度模组内位置</t>
    <phoneticPr fontId="43" type="noConversion"/>
  </si>
  <si>
    <t>RBMS_MaxPoleTMdulInnerIdxNbr</t>
    <phoneticPr fontId="43" type="noConversion"/>
  </si>
  <si>
    <t>RBMS_MinPoleTMdulInnerIdxNbr</t>
    <phoneticPr fontId="43" type="noConversion"/>
  </si>
  <si>
    <t>Max Pole Temp Module Inner Position
最高极柱温度模组内位置</t>
    <phoneticPr fontId="43" type="noConversion"/>
  </si>
  <si>
    <t>Min Pole Temp Module Inner Position
最低极柱温度模组内位置</t>
    <phoneticPr fontId="43" type="noConversion"/>
  </si>
  <si>
    <t>ScCLTH_MaxPoleTMdulInnerIdxNbr</t>
    <phoneticPr fontId="50" type="noConversion"/>
  </si>
  <si>
    <t>ScCLTH_MinPoleTMdulInnerIdxNbr</t>
    <phoneticPr fontId="50" type="noConversion"/>
  </si>
  <si>
    <t>Enum
0X0: Not Started;
0X1: Initializing;
0X2: Finished;
0X3: ID Fail;
0X4: Timeout Fail;
0X5: Address Response Fail;</t>
    <phoneticPr fontId="50" type="noConversion"/>
  </si>
  <si>
    <t>Max AFE Chip Temperature (℃)
最高AFE芯片温度 (℃)</t>
    <phoneticPr fontId="43" type="noConversion"/>
  </si>
  <si>
    <t>ScBKPC_BankMaxHvBoxTRackIdx</t>
    <phoneticPr fontId="50" type="noConversion"/>
  </si>
  <si>
    <t>ScBKPC_BankMinHvBoxTRackIdx</t>
    <phoneticPr fontId="50" type="noConversion"/>
  </si>
  <si>
    <t>ScBKPC_BankMaxPoleTRackIdx</t>
    <phoneticPr fontId="50" type="noConversion"/>
  </si>
  <si>
    <t>ScBKPC_BankMinPoleTRackIdx</t>
    <phoneticPr fontId="50" type="noConversion"/>
  </si>
  <si>
    <t>ScBKPC_BankMaxPoleTMdulIdx</t>
    <phoneticPr fontId="50" type="noConversion"/>
  </si>
  <si>
    <t>ScBKPC_BankMinPoleTMdulIdx</t>
    <phoneticPr fontId="50" type="noConversion"/>
  </si>
  <si>
    <t>ScBKPC_BankMaxPoleTMdulInnerIdx</t>
    <phoneticPr fontId="50" type="noConversion"/>
  </si>
  <si>
    <t>ScBKPC_BankMinPoleTMdulInnerIdx</t>
    <phoneticPr fontId="50" type="noConversion"/>
  </si>
  <si>
    <t>BSWSRackPoleTmpMaxMdulInnerPstnNbr</t>
    <phoneticPr fontId="50" type="noConversion"/>
  </si>
  <si>
    <t>BSWSRackPoleTmpMinMdulInnerPstnNbr</t>
    <phoneticPr fontId="50" type="noConversion"/>
  </si>
  <si>
    <t>BSWSRackPoleTmpMaxMdulPstnNbr</t>
    <phoneticPr fontId="50" type="noConversion"/>
  </si>
  <si>
    <t>BSWSRackPoleTmpMinMdulPstnNbr</t>
    <phoneticPr fontId="50" type="noConversion"/>
  </si>
  <si>
    <t>Enum
0xAA: Software Reset
0xBB: Power-On or Power-Down Reset
0xCC: CPU Reset
0xDD: BOR Reset
0xEE: Internal Watchdog Reset
0x55: Window Watchdog Reset</t>
    <phoneticPr fontId="50" type="noConversion"/>
  </si>
  <si>
    <t>Enums
Bit0: Enabled Rack has Level 1 Fault
Bit1: Bank has Level 1 Fault
Bit2: Enabled Rack Insulation Unfinished
Bit3: Between-Rack Voltage Differential too High
Bit4: Bank is in Debug Mode
Bit5: Bank is in EMS Control Mode, and EMS has not sent Hv cmd
Bit6: Number of Enabled Rack is Less than Required Minimum for System Operation</t>
    <phoneticPr fontId="43" type="noConversion"/>
  </si>
  <si>
    <t>Sheet "Comm Matrix"：
1. 报文 HMI_TMSCtrlWord、TMS_SumInfo：新增信号TMSNo，表示TMS编号（1个堆包含多个TMS时）；TMS_SumInfo新增信号TMSCoolState；
2. RBMS_SumInfo：最高/低极柱温度位置在上位机展示；新增最高/低极柱温度模组位置；部分信号描述中英文优化；
3. BBMS_SumInfo：新增最高/低极柱温度及所在Rack、模组、模组内位置，最高/低高压箱温度所在Rack位置，并在上位机展示；BBMS_IDLearnSt信号取值描述更新；
4. 上位机展示值中文-&gt;英文；</t>
    <phoneticPr fontId="43" type="noConversion"/>
  </si>
  <si>
    <t>V1.0.44</t>
    <phoneticPr fontId="43" type="noConversion"/>
  </si>
  <si>
    <t>Sheet "Message ID"：HMI_CtlWord 命令列"BBMS_A"由 / -&gt; Rx； 
Sheet "Comm Matrix"：HMI_CtlWord：信号 HMI_AlmRst 增加 BBMS_A 的 Rx 信号，支持A核故障清除功能；</t>
    <phoneticPr fontId="43" type="noConversion"/>
  </si>
  <si>
    <t>V1.0.45</t>
    <phoneticPr fontId="43" type="noConversion"/>
  </si>
  <si>
    <t>BSWSRlyCtrlSeqStState</t>
    <phoneticPr fontId="50" type="noConversion"/>
  </si>
  <si>
    <t>BBMSNo</t>
    <phoneticPr fontId="50" type="noConversion"/>
  </si>
  <si>
    <t>Bank Number
堆编号</t>
    <phoneticPr fontId="50" type="noConversion"/>
  </si>
  <si>
    <t>此参数用于nPCS拖1BBMS功能，取值范围为[0,PCS_NUM]</t>
    <phoneticPr fontId="50" type="noConversion"/>
  </si>
  <si>
    <t>BBMS_StartReConDectFlg</t>
  </si>
  <si>
    <t>Rack Anti-Reverse Connection Detection Start Flag
簇防反接检测开始标志位</t>
    <phoneticPr fontId="50" type="noConversion"/>
  </si>
  <si>
    <t>Enum
0x0: Not Started;
0x1: Started;</t>
    <phoneticPr fontId="50" type="noConversion"/>
  </si>
  <si>
    <t>SbBCFR_StartReConDectFlg</t>
  </si>
  <si>
    <t>BBMS_ReverConRackFailNbr</t>
  </si>
  <si>
    <t>ScBCFR_ReverConRackFailNbr</t>
  </si>
  <si>
    <t>0x0: No
0x1: Yes</t>
    <phoneticPr fontId="50" type="noConversion"/>
  </si>
  <si>
    <t>Sheet "Message ID"：BBMS_A_CtlWord命令cmdid由13-&gt;16
Sheet "Comm Matrix"：新增多簇系统防反接功能、nPCS拖mBBMS功能
1. RBMS_SumInfo：RBMS_RlyCtrlSeqStState信号增加BBMS_M映射；新增RBMS_ReverConDetecOpenFlg信号；
2. BBMS_SumInfo：新增BBMSNo、BBMS_ReverConRackFailNbr、BBMS_StartReConDectFlg信号；
3. BBMS_CtlWord：新增BBMSNo、BBMS_FirstEnableRackFlg、BBMS_ReverConDetecCmpFlg信号；
4. BBMS_Fault、BBMS_SafetySignal、HMI_CtlWord：新增BBMSNo信号；</t>
    <phoneticPr fontId="43" type="noConversion"/>
  </si>
  <si>
    <t>Reserved</t>
    <phoneticPr fontId="50" type="noConversion"/>
  </si>
  <si>
    <t>Reserved
预留占位</t>
    <phoneticPr fontId="50" type="noConversion"/>
  </si>
  <si>
    <t>Enums
Bit0: Rack1
Bit1: Rack2
Bit2: Rack3
Bit3: Rack4
Bit4: Rack5
Bit5: Rack6
Bit6: Rack7
Bit7: Rack8
Bit8: Rack9
Bit9: Rack10
Bit10: Rack11
Bit11: Rack12
Bit12: Rack13
Bit13: Rack14
Bit14: Rack15
Bit15: Rack16</t>
    <phoneticPr fontId="50" type="noConversion"/>
  </si>
  <si>
    <t>HV Box And Busbar Cabinet reverse connection cluster
高压盒与汇流柜反接簇编号</t>
    <phoneticPr fontId="50" type="noConversion"/>
  </si>
  <si>
    <t>BBMS_EMSCtrlFaultReset</t>
    <phoneticPr fontId="50" type="noConversion"/>
  </si>
  <si>
    <t>0x0: 不复归
0x1: 复归
其他值：无效</t>
    <phoneticPr fontId="50" type="noConversion"/>
  </si>
  <si>
    <t>BSWSMBBMSFaultResetFlg</t>
  </si>
  <si>
    <t>BSWSBBMSFaultResetFlg</t>
    <phoneticPr fontId="50" type="noConversion"/>
  </si>
  <si>
    <t>BBMS_EMSCtrlMode</t>
    <phoneticPr fontId="50" type="noConversion"/>
  </si>
  <si>
    <t>0x0: 空闲
0x1: 调试
0x2: BMS控制模式
0x3: EMS控制模式
其他值: 无效</t>
    <phoneticPr fontId="50" type="noConversion"/>
  </si>
  <si>
    <t>BSWSMBBMSEMSCtrlModeNbr</t>
    <phoneticPr fontId="50" type="noConversion"/>
  </si>
  <si>
    <r>
      <t xml:space="preserve">Bit0-Bit2[1]: Bank Control Mode;Bank控制模式
Signal;
0X1-Debug;
0X2-BMS Control;
0X3-EMS Control;
Bit3[0]: Address Allocation;地址分配
Signal;
</t>
    </r>
    <r>
      <rPr>
        <sz val="9.75"/>
        <color theme="1"/>
        <rFont val="等线"/>
        <family val="3"/>
        <charset val="134"/>
        <scheme val="minor"/>
      </rPr>
      <t>0X0-Default;
0X1-Success;</t>
    </r>
    <r>
      <rPr>
        <sz val="9.75"/>
        <color rgb="FF000000"/>
        <rFont val="等线"/>
        <family val="2"/>
        <scheme val="minor"/>
      </rPr>
      <t xml:space="preserve">
Bit4-Bit5[1]: Bank Operate Control CMD;Bank运行控制指令
Signal;
0X0-Default;
0X1-Connect;
0X2-Disconnect;
Bit6[0]: Fault Clear;故障清除
Signal;
0X0-Disable;
0X1-Enable;</t>
    </r>
    <phoneticPr fontId="50" type="noConversion"/>
  </si>
  <si>
    <t>V1.0.46</t>
  </si>
  <si>
    <t>lijy06</t>
    <phoneticPr fontId="43" type="noConversion"/>
  </si>
  <si>
    <t>BBMS_BatSt</t>
    <phoneticPr fontId="50" type="noConversion"/>
  </si>
  <si>
    <t>Sheet "Message ID"：BBMS_A_CtlWord的RBMS由/-&gt;Rx
Sheet "Comm Matrix"：EMS清除故障功能
1. BBMS_SumInfo：修改BBMS_BatSt、BBMS_SysOperSt信号描述；
2. BBMS_A_CtlWord：新增BBMS_EMSCtrlFaultReset、BBMS_EMSCtrlMode信号；</t>
    <phoneticPr fontId="43" type="noConversion"/>
  </si>
  <si>
    <t>V1.0.47</t>
    <phoneticPr fontId="43" type="noConversion"/>
  </si>
  <si>
    <t>struct RBMS_Fault</t>
    <phoneticPr fontId="43" type="noConversion"/>
  </si>
  <si>
    <t>struct BBMS_Fault</t>
    <phoneticPr fontId="43" type="noConversion"/>
  </si>
  <si>
    <t>struct BBMS_A_Fault</t>
    <phoneticPr fontId="43" type="noConversion"/>
  </si>
  <si>
    <t>struct HMI_FltEna</t>
    <phoneticPr fontId="43" type="noConversion"/>
  </si>
  <si>
    <t>BBMSNo</t>
  </si>
  <si>
    <t>Bank Number
堆编号</t>
  </si>
  <si>
    <t>Nbr</t>
  </si>
  <si>
    <t>此参数用于nPCS拖mBBMS功能，取值范围为[0,PCS_NUM]，0-大堆，1、2……-小堆</t>
    <phoneticPr fontId="50" type="noConversion"/>
  </si>
  <si>
    <t>Sheet "Message ID"：
1. 命令 RBMS_Fault、BBMS_Fault、BBMS_A_Fault、HMI_FltEna 的结构体定义由 FaultFlags 变为报文对应名称
2. 原RBMS_Fault、BBMS_Fault共享命令号0x04-01，分别改为 0x03-41、0x02-19
Sheet "Comm Matrix"
1. 新增"SSD Store Display"、"Signal Description V2"列，用于SSD存储数据优化（开发中）
2. HMI_CtlWord：BBMSNo-&gt;4bit
3. HMI_BankFaultCali、HMI_FltOvTiNbr：新增信号 BBMSNo</t>
    <phoneticPr fontId="43" type="noConversion"/>
  </si>
  <si>
    <t>SSD Store Display</t>
    <phoneticPr fontId="50" type="noConversion"/>
  </si>
  <si>
    <t>Rack状态,Rack Status;系统信息[1,1,6]</t>
  </si>
  <si>
    <t>Rack状态,Rack Status;系统信息[1,1,8]</t>
    <phoneticPr fontId="50" type="noConversion"/>
  </si>
  <si>
    <t>Rack状态,Rack Status;系统信息[1,1,7]</t>
    <phoneticPr fontId="50" type="noConversion"/>
  </si>
  <si>
    <t>Rack状态,Rack Status;继电器信息[1,2,2]</t>
    <phoneticPr fontId="50" type="noConversion"/>
  </si>
  <si>
    <t>Rack状态,Rack Status;继电器信息[1,2,1]</t>
    <phoneticPr fontId="50" type="noConversion"/>
  </si>
  <si>
    <t>Rack采样信息,Rack Sampling Information;其他电压[3,3,1]</t>
    <phoneticPr fontId="50" type="noConversion"/>
  </si>
  <si>
    <t>Rack采样信息,Rack Sampling Information;其他电压[3,3,2]</t>
    <phoneticPr fontId="50" type="noConversion"/>
  </si>
  <si>
    <t>Rack采样信息,Rack Sampling Information;电流[3,2,1]</t>
    <phoneticPr fontId="50" type="noConversion"/>
  </si>
  <si>
    <t>Rack状态,Rack Status;绝缘信息[1,3,8]</t>
    <phoneticPr fontId="50" type="noConversion"/>
  </si>
  <si>
    <t>Rack采样信息,Rack Sampling Information;高压箱温度[3,8,1]</t>
  </si>
  <si>
    <t>Rack采样信息,Rack Sampling Information;高压箱温度[3,8,2]</t>
  </si>
  <si>
    <t>Rack采样信息,Rack Sampling Information;其他电压[3,3,3]</t>
    <phoneticPr fontId="50" type="noConversion"/>
  </si>
  <si>
    <t>Rack历史信息,Rack History Information;时间[4,1,1]</t>
    <phoneticPr fontId="50" type="noConversion"/>
  </si>
  <si>
    <t>Rack历史信息,Rack History Information;时间[4,1,2]</t>
    <phoneticPr fontId="50" type="noConversion"/>
  </si>
  <si>
    <t>Rack历史信息,Rack History Information;时间[4,1,3]</t>
    <phoneticPr fontId="50" type="noConversion"/>
  </si>
  <si>
    <t>Rack状态,Rack Status;系统信息[1,1,3]</t>
  </si>
  <si>
    <t>Rack状态,Rack Status;绝缘信息[1,3,9]</t>
    <phoneticPr fontId="50" type="noConversion"/>
  </si>
  <si>
    <t>Rack状态,Rack Status;绝缘信息[1,3,10]</t>
    <phoneticPr fontId="50" type="noConversion"/>
  </si>
  <si>
    <t>Rack状态,Rack Status;绝缘信息[1,3,2]</t>
  </si>
  <si>
    <t>Rack状态,Rack Status;绝缘信息[1,3,4]</t>
  </si>
  <si>
    <t>Rack状态,Rack Status;绝缘信息[1,3,3]</t>
    <phoneticPr fontId="50" type="noConversion"/>
  </si>
  <si>
    <t>Rack SOX状态,Rack SOX Status;SOC[2,1,1]</t>
    <phoneticPr fontId="50" type="noConversion"/>
  </si>
  <si>
    <t>Rack SOX状态,Rack SOX Status;SOH[2,2,1]</t>
    <phoneticPr fontId="50" type="noConversion"/>
  </si>
  <si>
    <t>Rack SOX状态,Rack SOX Status;SOE[2,3,3]</t>
    <phoneticPr fontId="50" type="noConversion"/>
  </si>
  <si>
    <t>Rack SOX状态,Rack SOX Status;SOE[2,3,4]</t>
    <phoneticPr fontId="50" type="noConversion"/>
  </si>
  <si>
    <t>Rack SOX状态,Rack SOX Status;SOP[2,4,1]</t>
    <phoneticPr fontId="50" type="noConversion"/>
  </si>
  <si>
    <t>Rack SOX状态,Rack SOX Status;SOP[2,4,2]</t>
    <phoneticPr fontId="50" type="noConversion"/>
  </si>
  <si>
    <t>Rack SOX状态,Rack SOX Status;SOP[2,4,3]</t>
    <phoneticPr fontId="50" type="noConversion"/>
  </si>
  <si>
    <t>Rack SOX状态,Rack SOX Status;SOP[2,4,4]</t>
    <phoneticPr fontId="50" type="noConversion"/>
  </si>
  <si>
    <t>Rack SOX状态,Rack SOX Status;SOP[2,4,5]</t>
    <phoneticPr fontId="50" type="noConversion"/>
  </si>
  <si>
    <t>Rack SOX状态,Rack SOX Status;SOP[2,4,6]</t>
    <phoneticPr fontId="50" type="noConversion"/>
  </si>
  <si>
    <t>Rack SOX状态,Rack SOX Status;SOP[2,4,7]</t>
    <phoneticPr fontId="50" type="noConversion"/>
  </si>
  <si>
    <t>Rack SOX状态,Rack SOX Status;SOP[2,4,8]</t>
    <phoneticPr fontId="50" type="noConversion"/>
  </si>
  <si>
    <t>Rack采样信息,Rack Sampling Information;电芯电压[3,4,1]</t>
    <phoneticPr fontId="50" type="noConversion"/>
  </si>
  <si>
    <t>Rack采样信息,Rack Sampling Information;电芯电压[3,4,2]</t>
    <phoneticPr fontId="50" type="noConversion"/>
  </si>
  <si>
    <t>Rack采样信息,Rack Sampling Information;电芯电压[3,4,5]</t>
    <phoneticPr fontId="50" type="noConversion"/>
  </si>
  <si>
    <t>Rack采样信息,Rack Sampling Information;电芯电压[3,4,6]</t>
    <phoneticPr fontId="50" type="noConversion"/>
  </si>
  <si>
    <t>Rack采样信息,Rack Sampling Information;电芯电压[3,4,9]</t>
    <phoneticPr fontId="50" type="noConversion"/>
  </si>
  <si>
    <t>Rack采样信息,Rack Sampling Information;电芯温度[3,6,2]</t>
  </si>
  <si>
    <t>Rack采样信息,Rack Sampling Information;电芯温度[3,6,6]</t>
  </si>
  <si>
    <t>Rack状态,Rack Status;系统信息[1,1,12]</t>
    <phoneticPr fontId="50" type="noConversion"/>
  </si>
  <si>
    <t>Rack采样信息,Rack Sampling Information;电芯温度[3,6,10]</t>
  </si>
  <si>
    <t>Rack采样信息,Rack Sampling Information;极柱温度[3,7,1]</t>
  </si>
  <si>
    <t>Rack采样信息,Rack Sampling Information;极柱温度[3,7,2]</t>
  </si>
  <si>
    <t>Rack采样信息,Rack Sampling Information;极柱温度[3,7,5]</t>
  </si>
  <si>
    <t>Rack采样信息,Rack Sampling Information;极柱温度[3,7,6]</t>
  </si>
  <si>
    <t>Rack采样信息,Rack Sampling Information;极柱温度[3,7,3]</t>
  </si>
  <si>
    <t>Rack采样信息,Rack Sampling Information;极柱温度[3,7,7]</t>
  </si>
  <si>
    <t>Rack采样信息,Rack Sampling Information;极柱温度[3,7,9]</t>
  </si>
  <si>
    <t>Rack状态,Rack Status;系统信息[1,1,2]</t>
  </si>
  <si>
    <t>Rack状态,Rack Status;系统信息[1,1,1]</t>
  </si>
  <si>
    <t>Rack SOX状态,Rack SOX Status;SOE[2,3,1]</t>
    <phoneticPr fontId="50" type="noConversion"/>
  </si>
  <si>
    <t>Rack SOX状态,Rack SOX Status;SOE[2,3,2]</t>
    <phoneticPr fontId="50" type="noConversion"/>
  </si>
  <si>
    <t>Rack历史信息,Rack History Information;最近一次[4,3,1]</t>
    <phoneticPr fontId="50" type="noConversion"/>
  </si>
  <si>
    <t>Rack历史信息,Rack History Information;最近一次[4,3,2]</t>
    <phoneticPr fontId="50" type="noConversion"/>
  </si>
  <si>
    <t>Rack历史信息,Rack History Information;累计[4,2,1]</t>
    <phoneticPr fontId="50" type="noConversion"/>
  </si>
  <si>
    <t>Rack采样信息,Rack Sampling Information;极柱温度[3,7,4]</t>
  </si>
  <si>
    <t>Rack采样信息,Rack Sampling Information;极柱温度[3,7,8]</t>
  </si>
  <si>
    <t>Rack采样信息,Rack Sampling Information;其他温度[3,5,2]</t>
    <phoneticPr fontId="50" type="noConversion"/>
  </si>
  <si>
    <t>Rack采样信息,Rack Sampling Information;其他温度[3,5,3]</t>
    <phoneticPr fontId="50" type="noConversion"/>
  </si>
  <si>
    <t>Rack状态,Rack Status;系统信息[1,1,11]</t>
    <phoneticPr fontId="50" type="noConversion"/>
  </si>
  <si>
    <t>Rack采样信息,Rack Sampling Information;其他[3,1,3]</t>
    <phoneticPr fontId="50" type="noConversion"/>
  </si>
  <si>
    <t>Rack状态,Rack Status;绝缘信息[1,3,5]</t>
  </si>
  <si>
    <t>Rack状态,Rack Status;绝缘信息[1,3,6]</t>
  </si>
  <si>
    <t>Rack状态,Rack Status;绝缘信息[1,3,7]</t>
  </si>
  <si>
    <t>Rack状态,Rack Status;绝缘信息[1,3,1]</t>
  </si>
  <si>
    <t>Rack历史信息,Rack History Information;最近一次[4,3,5]</t>
    <phoneticPr fontId="50" type="noConversion"/>
  </si>
  <si>
    <t>Rack历史信息,Rack History Information;最近一次[4,3,6]</t>
    <phoneticPr fontId="50" type="noConversion"/>
  </si>
  <si>
    <t>Rack采样信息,Rack Sampling Information;其他温度[3,5,4]</t>
    <phoneticPr fontId="50" type="noConversion"/>
  </si>
  <si>
    <t>Rack状态,Rack Status;系统信息[1,1,10]</t>
  </si>
  <si>
    <t>Rack SOX状态,Rack SOX Status;SOH[2,2,2]</t>
    <phoneticPr fontId="50" type="noConversion"/>
  </si>
  <si>
    <t>Rack SOX状态,Rack SOX Status;SOH[2,2,3]</t>
    <phoneticPr fontId="50" type="noConversion"/>
  </si>
  <si>
    <t>Rack SOX状态,Rack SOX Status;SOH[2,2,4]</t>
    <phoneticPr fontId="50" type="noConversion"/>
  </si>
  <si>
    <t>Rack SOX状态,Rack SOX Status;SOC[2,1,3]</t>
    <phoneticPr fontId="50" type="noConversion"/>
  </si>
  <si>
    <t>Rack SOX状态,Rack SOX Status;SOC[2,1,4]</t>
    <phoneticPr fontId="50" type="noConversion"/>
  </si>
  <si>
    <t>Rack SOX状态,Rack SOX Status;SOC[2,1,2]</t>
    <phoneticPr fontId="50" type="noConversion"/>
  </si>
  <si>
    <t>Rack历史信息,Rack History Information;累计[4,2,3]</t>
    <phoneticPr fontId="50" type="noConversion"/>
  </si>
  <si>
    <t>Rack历史信息,Rack History Information;累计[4,2,5]</t>
    <phoneticPr fontId="50" type="noConversion"/>
  </si>
  <si>
    <t>Rack历史信息,Rack History Information;累计[4,2,2]</t>
    <phoneticPr fontId="50" type="noConversion"/>
  </si>
  <si>
    <t>Rack历史信息,Rack History Information;累计[4,2,4]</t>
    <phoneticPr fontId="50" type="noConversion"/>
  </si>
  <si>
    <t>Rack状态,Rack Status;系统信息[1,1,4]</t>
  </si>
  <si>
    <t>Rack采样信息,Rack Sampling Information;其他温度[3,5,6]</t>
    <phoneticPr fontId="50" type="noConversion"/>
  </si>
  <si>
    <t>Rack采样信息,Rack Sampling Information;其他温度[3,5,8]</t>
    <phoneticPr fontId="50" type="noConversion"/>
  </si>
  <si>
    <t>Rack采样信息,Rack Sampling Information;其他温度[3,5,7]</t>
    <phoneticPr fontId="50" type="noConversion"/>
  </si>
  <si>
    <t>Rack采样信息,Rack Sampling Information;其他温度[3,5,9]</t>
    <phoneticPr fontId="50" type="noConversion"/>
  </si>
  <si>
    <t>Rack采样信息,Rack Sampling Information;电流[3,2,2]</t>
    <phoneticPr fontId="50" type="noConversion"/>
  </si>
  <si>
    <t>Rack采样信息,Rack Sampling Information;电流[3,2,3]</t>
    <phoneticPr fontId="50" type="noConversion"/>
  </si>
  <si>
    <t>Rack采样信息,Rack Sampling Information;电流[3,2,4]</t>
    <phoneticPr fontId="50" type="noConversion"/>
  </si>
  <si>
    <t>Rack采样信息,Rack Sampling Information;其他温度[3,5,5]</t>
    <phoneticPr fontId="50" type="noConversion"/>
  </si>
  <si>
    <t>Rack采样信息,Rack Sampling Information;其他温度[3,5,1]</t>
    <phoneticPr fontId="50" type="noConversion"/>
  </si>
  <si>
    <t>Rack状态,Rack Status;继电器信息[1,2,3]</t>
  </si>
  <si>
    <t>Rack状态,Rack Status;系统信息[1,1,5]</t>
  </si>
  <si>
    <t>Rack状态,Rack Status;系统信息[1,1,9]</t>
  </si>
  <si>
    <t>Rack采样信息,Rack Sampling Information;电芯电压[3,4,3]</t>
    <phoneticPr fontId="50" type="noConversion"/>
  </si>
  <si>
    <t>Rack采样信息,Rack Sampling Information;电芯电压[3,4,7]</t>
    <phoneticPr fontId="50" type="noConversion"/>
  </si>
  <si>
    <t>Rack采样信息,Rack Sampling Information;电芯温度[3,6,4]</t>
  </si>
  <si>
    <t>Rack采样信息,Rack Sampling Information;电芯温度[3,6,8]</t>
  </si>
  <si>
    <t>Rack采样信息,Rack Sampling Information;电芯电压[3,4,4]</t>
    <phoneticPr fontId="50" type="noConversion"/>
  </si>
  <si>
    <t>Rack采样信息,Rack Sampling Information;电芯电压[3,4,8]</t>
    <phoneticPr fontId="50" type="noConversion"/>
  </si>
  <si>
    <t>Rack采样信息,Rack Sampling Information;电芯温度[3,6,5]</t>
  </si>
  <si>
    <t>Rack采样信息,Rack Sampling Information;电芯温度[3,6,9]</t>
  </si>
  <si>
    <t>Rack采样信息,Rack Sampling Information;其他[3,1,1]</t>
    <phoneticPr fontId="50" type="noConversion"/>
  </si>
  <si>
    <t>Rack采样信息,Rack Sampling Information;其他[3,1,2]</t>
    <phoneticPr fontId="50" type="noConversion"/>
  </si>
  <si>
    <t>Rack采样信息,Rack Sampling Information;电芯温度[3,6,3]</t>
  </si>
  <si>
    <t>Rack采样信息,Rack Sampling Information;电芯温度[3,6,7]</t>
  </si>
  <si>
    <t>Rack历史信息,Rack History Information;累计[4,2,7]</t>
    <phoneticPr fontId="50" type="noConversion"/>
  </si>
  <si>
    <t>Rack历史信息,Rack History Information;累计[4,2,9]</t>
    <phoneticPr fontId="50" type="noConversion"/>
  </si>
  <si>
    <t>Rack历史信息,Rack History Information;累计[4,2,6]</t>
    <phoneticPr fontId="50" type="noConversion"/>
  </si>
  <si>
    <t>Rack历史信息,Rack History Information;累计[4,2,8]</t>
    <phoneticPr fontId="50" type="noConversion"/>
  </si>
  <si>
    <t>Rack历史信息,Rack History Information;最近一次[4,3,3]</t>
    <phoneticPr fontId="50" type="noConversion"/>
  </si>
  <si>
    <t>Rack历史信息,Rack History Information;最近一次[4,3,4]</t>
    <phoneticPr fontId="50" type="noConversion"/>
  </si>
  <si>
    <t>Rack SOX状态,Rack SOX Status;SOP[2,4,10]</t>
    <phoneticPr fontId="50" type="noConversion"/>
  </si>
  <si>
    <t>Rack SOX状态,Rack SOX Status;SOP[2,4,9]</t>
    <phoneticPr fontId="50" type="noConversion"/>
  </si>
  <si>
    <t>Rack采样信息,Rack Sampling Information;其他电压[3,3,4]</t>
    <phoneticPr fontId="50" type="noConversion"/>
  </si>
  <si>
    <t>Rack采样信息,Rack Sampling Information;高压箱温度[3,8,3]</t>
  </si>
  <si>
    <t>Rack采样信息,Rack Sampling Information;高压箱温度[3,8,4]</t>
  </si>
  <si>
    <t>Rack采样信息,Rack Sampling Information;高压箱温度[3,8,5]</t>
  </si>
  <si>
    <t>Rack采样信息,Rack Sampling Information;高压箱温度[3,8,6]</t>
  </si>
  <si>
    <t>Rack状态,Rack Status;其他[1,4,3]</t>
    <phoneticPr fontId="50" type="noConversion"/>
  </si>
  <si>
    <t>Rack状态,Rack Status;其他[1,4,4]</t>
  </si>
  <si>
    <t>Rack状态,Rack Status;其他[1,4,2]</t>
    <phoneticPr fontId="50" type="noConversion"/>
  </si>
  <si>
    <t>Rack状态,Rack Status;其他[1,4,1]</t>
    <phoneticPr fontId="50" type="noConversion"/>
  </si>
  <si>
    <t>Bank状态,Bank Status;系统信息[1,1,7]</t>
    <phoneticPr fontId="50" type="noConversion"/>
  </si>
  <si>
    <t>Bank状态,Bank Status;系统信息[1,1,8]</t>
    <phoneticPr fontId="50" type="noConversion"/>
  </si>
  <si>
    <t>Bank状态,Bank Status;系统信息[1,1,6]</t>
    <phoneticPr fontId="50" type="noConversion"/>
  </si>
  <si>
    <t>Bank状态,Bank Status;系统信息[1,1,11]</t>
    <phoneticPr fontId="50" type="noConversion"/>
  </si>
  <si>
    <t>Bank状态,Bank Status;系统信息[1,1,5]</t>
    <phoneticPr fontId="50" type="noConversion"/>
  </si>
  <si>
    <t>Bank状态,Bank Status;系统信息[1,1,13]</t>
    <phoneticPr fontId="50" type="noConversion"/>
  </si>
  <si>
    <t>Bank SOX状态,Bank SOX Status;SOC[2,1,1]</t>
    <phoneticPr fontId="50" type="noConversion"/>
  </si>
  <si>
    <t>Bank SOX状态,Bank SOX Status;SOH[2,2,1]</t>
    <phoneticPr fontId="50" type="noConversion"/>
  </si>
  <si>
    <t>Bank SOX状态,Bank SOX Status;SOE[2,3,3]</t>
    <phoneticPr fontId="50" type="noConversion"/>
  </si>
  <si>
    <t>Bank SOX状态,Bank SOX Status;SOE[2,3,4]</t>
    <phoneticPr fontId="50" type="noConversion"/>
  </si>
  <si>
    <t>Bank SOX状态,Bank SOX Status;SOP[2,4,7]</t>
    <phoneticPr fontId="50" type="noConversion"/>
  </si>
  <si>
    <t>Bank SOX状态,Bank SOX Status;SOP[2,4,3]</t>
    <phoneticPr fontId="50" type="noConversion"/>
  </si>
  <si>
    <t>Bank SOX状态,Bank SOX Status;SOP[2,4,8]</t>
    <phoneticPr fontId="50" type="noConversion"/>
  </si>
  <si>
    <t>Bank SOX状态,Bank SOX Status;SOP[2,4,4]</t>
    <phoneticPr fontId="50" type="noConversion"/>
  </si>
  <si>
    <t>Bank SOX状态,Bank SOX Status;SOP[2,4,5]</t>
    <phoneticPr fontId="50" type="noConversion"/>
  </si>
  <si>
    <t>Bank SOX状态,Bank SOX Status;SOP[2,4,1]</t>
    <phoneticPr fontId="50" type="noConversion"/>
  </si>
  <si>
    <t>Bank SOX状态,Bank SOX Status;SOP[2,4,6]</t>
    <phoneticPr fontId="50" type="noConversion"/>
  </si>
  <si>
    <t>Bank SOX状态,Bank SOX Status;SOP[2,4,2]</t>
    <phoneticPr fontId="50" type="noConversion"/>
  </si>
  <si>
    <t>Bank状态,Bank Status;其他[1,2,3]</t>
    <phoneticPr fontId="50" type="noConversion"/>
  </si>
  <si>
    <t>Bank状态,Bank Status;系统信息[1,1,1]</t>
    <phoneticPr fontId="50" type="noConversion"/>
  </si>
  <si>
    <t>Bank采样信息,Bank Sampling Information;其他信息[3,1,2]</t>
    <phoneticPr fontId="50" type="noConversion"/>
  </si>
  <si>
    <t>Bank采样信息,Bank Sampling Information;其他信息[3,1,1]</t>
    <phoneticPr fontId="50" type="noConversion"/>
  </si>
  <si>
    <t>Bank采样信息,Bank Sampling Information;其他信息[3,1,3]</t>
    <phoneticPr fontId="50" type="noConversion"/>
  </si>
  <si>
    <t>Bank采样信息,Bank Sampling Information;电流[3,2,1]</t>
    <phoneticPr fontId="50" type="noConversion"/>
  </si>
  <si>
    <t>Bank采样信息,Bank Sampling Information;电流[3,2,2]</t>
    <phoneticPr fontId="50" type="noConversion"/>
  </si>
  <si>
    <t>Bank采样信息,Bank Sampling Information;电流[3,2,3]</t>
    <phoneticPr fontId="50" type="noConversion"/>
  </si>
  <si>
    <t>Bank采样信息,Bank Sampling Information;电流[3,2,4]</t>
    <phoneticPr fontId="50" type="noConversion"/>
  </si>
  <si>
    <t>Bank采样信息,Bank Sampling Information;电芯电压[3,3,1]</t>
    <phoneticPr fontId="50" type="noConversion"/>
  </si>
  <si>
    <t>Bank采样信息,Bank Sampling Information;电芯电压[3,3,2]</t>
    <phoneticPr fontId="50" type="noConversion"/>
  </si>
  <si>
    <t>Bank采样信息,Bank Sampling Information;电芯电压[3,3,3]</t>
    <phoneticPr fontId="50" type="noConversion"/>
  </si>
  <si>
    <t>Bank采样信息,Bank Sampling Information;电芯电压[3,3,4]</t>
    <phoneticPr fontId="50" type="noConversion"/>
  </si>
  <si>
    <t>Bank采样信息,Bank Sampling Information;电芯电压[3,3,5]</t>
    <phoneticPr fontId="50" type="noConversion"/>
  </si>
  <si>
    <t>Bank采样信息,Bank Sampling Information;电芯电压[3,3,6]</t>
    <phoneticPr fontId="50" type="noConversion"/>
  </si>
  <si>
    <t>Bank采样信息,Bank Sampling Information;电芯电压[3,3,7]</t>
    <phoneticPr fontId="50" type="noConversion"/>
  </si>
  <si>
    <t>Bank采样信息,Bank Sampling Information;电芯电压[3,3,8]</t>
    <phoneticPr fontId="50" type="noConversion"/>
  </si>
  <si>
    <t>Bank采样信息,Bank Sampling Information;电芯电压[3,3,9]</t>
    <phoneticPr fontId="50" type="noConversion"/>
  </si>
  <si>
    <t>Bank采样信息,Bank Sampling Information;高压箱温度[3,6,2]</t>
    <phoneticPr fontId="50" type="noConversion"/>
  </si>
  <si>
    <t>Bank采样信息,Bank Sampling Information;电芯温度[3,4,2]</t>
    <phoneticPr fontId="50" type="noConversion"/>
  </si>
  <si>
    <t>Bank采样信息,Bank Sampling Information;电芯温度[3,4,3]</t>
    <phoneticPr fontId="50" type="noConversion"/>
  </si>
  <si>
    <t>Bank采样信息,Bank Sampling Information;电芯温度[3,4,4]</t>
    <phoneticPr fontId="50" type="noConversion"/>
  </si>
  <si>
    <t>Bank采样信息,Bank Sampling Information;高压箱温度[3,6,4]</t>
    <phoneticPr fontId="50" type="noConversion"/>
  </si>
  <si>
    <t>Bank采样信息,Bank Sampling Information;电芯温度[3,4,6]</t>
    <phoneticPr fontId="50" type="noConversion"/>
  </si>
  <si>
    <t>Bank采样信息,Bank Sampling Information;电芯温度[3,4,7]</t>
    <phoneticPr fontId="50" type="noConversion"/>
  </si>
  <si>
    <t>Bank采样信息,Bank Sampling Information;电芯温度[3,4,8]</t>
    <phoneticPr fontId="50" type="noConversion"/>
  </si>
  <si>
    <t>Bank状态,Bank Status;系统信息[1,1,14]</t>
    <phoneticPr fontId="50" type="noConversion"/>
  </si>
  <si>
    <t>Bank状态,Bank Status;系统信息[1,1,4]</t>
    <phoneticPr fontId="50" type="noConversion"/>
  </si>
  <si>
    <t>Bank状态,Bank Status;系统信息[1,1,2]</t>
    <phoneticPr fontId="50" type="noConversion"/>
  </si>
  <si>
    <t>Bank状态,Bank Status;系统信息[1,1,3]</t>
    <phoneticPr fontId="50" type="noConversion"/>
  </si>
  <si>
    <t>Bank采样信息,Bank Sampling Information;其他信息[3,1,4]</t>
    <phoneticPr fontId="50" type="noConversion"/>
  </si>
  <si>
    <t>Bank采样信息,Bank Sampling Information;其他信息[3,1,5]</t>
    <phoneticPr fontId="50" type="noConversion"/>
  </si>
  <si>
    <t>Bank历史信息,Bank History Information;累计[4,1,1]</t>
    <phoneticPr fontId="50" type="noConversion"/>
  </si>
  <si>
    <t>Bank历史信息,Bank History Information;累计[4,1,3]</t>
    <phoneticPr fontId="50" type="noConversion"/>
  </si>
  <si>
    <t>Bank历史信息,Bank History Information;累计[4,1,2]</t>
    <phoneticPr fontId="50" type="noConversion"/>
  </si>
  <si>
    <t>Bank历史信息,Bank History Information;累计[4,1,4]</t>
    <phoneticPr fontId="50" type="noConversion"/>
  </si>
  <si>
    <t>Bank历史信息,Bank History Information;最近一次[4,2,1]</t>
    <phoneticPr fontId="50" type="noConversion"/>
  </si>
  <si>
    <t>Bank历史信息,Bank History Information;最近一次[4,2,2]</t>
    <phoneticPr fontId="50" type="noConversion"/>
  </si>
  <si>
    <t>Bank状态,Bank Status;系统信息[1,1,9]</t>
    <phoneticPr fontId="50" type="noConversion"/>
  </si>
  <si>
    <t>Bank状态,Bank Status;系统信息[1,1,10]</t>
    <phoneticPr fontId="50" type="noConversion"/>
  </si>
  <si>
    <t>Bank状态,Bank Status;系统信息[1,1,12]</t>
    <phoneticPr fontId="50" type="noConversion"/>
  </si>
  <si>
    <t>Bank SOX状态,Bank SOX Status;SOE[2,3,1]</t>
    <phoneticPr fontId="50" type="noConversion"/>
  </si>
  <si>
    <t>Bank SOX状态,Bank SOX Status;SOE[2,3,2]</t>
    <phoneticPr fontId="50" type="noConversion"/>
  </si>
  <si>
    <t>Bank采样信息,Bank Sampling Information;高压箱温度[3,6,1]</t>
    <phoneticPr fontId="50" type="noConversion"/>
  </si>
  <si>
    <t>Bank采样信息,Bank Sampling Information;高压箱温度[3,6,3]</t>
    <phoneticPr fontId="50" type="noConversion"/>
  </si>
  <si>
    <t>Bank采样信息,Bank Sampling Information;电芯温度[3,4,1]</t>
    <phoneticPr fontId="50" type="noConversion"/>
  </si>
  <si>
    <t>Bank采样信息,Bank Sampling Information;电芯温度[3,4,5]</t>
    <phoneticPr fontId="50" type="noConversion"/>
  </si>
  <si>
    <t>Bank采样信息,Bank Sampling Information;电芯温度[3,4,9]</t>
    <phoneticPr fontId="50" type="noConversion"/>
  </si>
  <si>
    <t>Bank采样信息,Bank Sampling Information;极柱温度[3,5,1]</t>
    <phoneticPr fontId="50" type="noConversion"/>
  </si>
  <si>
    <t>Bank采样信息,Bank Sampling Information;极柱温度[3,5,5]</t>
    <phoneticPr fontId="50" type="noConversion"/>
  </si>
  <si>
    <t>Bank采样信息,Bank Sampling Information;极柱温度[3,5,2]</t>
    <phoneticPr fontId="50" type="noConversion"/>
  </si>
  <si>
    <t>Bank采样信息,Bank Sampling Information;极柱温度[3,5,3]</t>
    <phoneticPr fontId="50" type="noConversion"/>
  </si>
  <si>
    <t>Bank采样信息,Bank Sampling Information;极柱温度[3,5,4]</t>
    <phoneticPr fontId="50" type="noConversion"/>
  </si>
  <si>
    <t>Bank采样信息,Bank Sampling Information;极柱温度[3,5,6]</t>
    <phoneticPr fontId="50" type="noConversion"/>
  </si>
  <si>
    <t>Bank采样信息,Bank Sampling Information;极柱温度[3,5,7]</t>
    <phoneticPr fontId="50" type="noConversion"/>
  </si>
  <si>
    <t>Bank采样信息,Bank Sampling Information;极柱温度[3,5,8]</t>
    <phoneticPr fontId="50" type="noConversion"/>
  </si>
  <si>
    <t>Bank状态,Bank Status;其他[1,2,7]</t>
    <phoneticPr fontId="50" type="noConversion"/>
  </si>
  <si>
    <t>Bank状态,Bank Status;其他[1,2,5]</t>
    <phoneticPr fontId="50" type="noConversion"/>
  </si>
  <si>
    <t>Bank状态,Bank Status;其他[1,2,6]</t>
    <phoneticPr fontId="50" type="noConversion"/>
  </si>
  <si>
    <r>
      <rPr>
        <sz val="9.75"/>
        <color rgb="FF000000"/>
        <rFont val="Calibri"/>
        <family val="2"/>
      </rPr>
      <t xml:space="preserve">Working Status
</t>
    </r>
    <r>
      <rPr>
        <sz val="9.75"/>
        <color rgb="FF000000"/>
        <rFont val="微软雅黑"/>
        <family val="2"/>
        <charset val="134"/>
      </rPr>
      <t>工作状态</t>
    </r>
    <phoneticPr fontId="43" type="noConversion"/>
  </si>
  <si>
    <r>
      <rPr>
        <sz val="9.75"/>
        <color rgb="FF000000"/>
        <rFont val="Calibri"/>
        <family val="2"/>
      </rPr>
      <t xml:space="preserve">Charging Status
</t>
    </r>
    <r>
      <rPr>
        <sz val="9.75"/>
        <color rgb="FF000000"/>
        <rFont val="微软雅黑"/>
        <family val="2"/>
        <charset val="134"/>
      </rPr>
      <t>充放电状态</t>
    </r>
    <phoneticPr fontId="43" type="noConversion"/>
  </si>
  <si>
    <t>Operating Status
运行状态</t>
    <phoneticPr fontId="50" type="noConversion"/>
  </si>
  <si>
    <t>Contactor Status
接触器状态</t>
    <phoneticPr fontId="50" type="noConversion"/>
  </si>
  <si>
    <t>History Sleep Time (min)
历史休眠时间 (min)</t>
    <phoneticPr fontId="43" type="noConversion"/>
  </si>
  <si>
    <t>History Run Time (min)
历史运行时间 (min)</t>
    <phoneticPr fontId="50" type="noConversion"/>
  </si>
  <si>
    <t>ID Learn Status
ID编码状态</t>
    <phoneticPr fontId="50" type="noConversion"/>
  </si>
  <si>
    <t>Insulation Positive to GND Resistance (kOhm)
绝缘正对地阻值 (kOhm)</t>
    <phoneticPr fontId="43" type="noConversion"/>
  </si>
  <si>
    <t>Insulation Negative to GND Resistance (kOhm)
绝缘负对地阻值 (kOhm)</t>
    <phoneticPr fontId="43" type="noConversion"/>
  </si>
  <si>
    <t>Insulation Inhibit Flag
绝缘禁止标志位</t>
    <phoneticPr fontId="50" type="noConversion"/>
  </si>
  <si>
    <t>Insulation Voltage Validity
绝缘电压有效性</t>
    <phoneticPr fontId="50" type="noConversion"/>
  </si>
  <si>
    <t>Insulation Inhibit Reason
绝缘禁止原因</t>
    <phoneticPr fontId="43" type="noConversion"/>
  </si>
  <si>
    <t>SOC (%)
SOC（%）</t>
    <phoneticPr fontId="50" type="noConversion"/>
  </si>
  <si>
    <t>SOH (%)
SOH（%）</t>
    <phoneticPr fontId="50" type="noConversion"/>
  </si>
  <si>
    <t>SOE for Charge (kWh)
可充能量 (kWh)</t>
    <phoneticPr fontId="43" type="noConversion"/>
  </si>
  <si>
    <t>SOE for Discharge (kWh)
可放能量 (kWh)</t>
    <phoneticPr fontId="43" type="noConversion"/>
  </si>
  <si>
    <t>BMS Heartbeat
BMS心跳信号</t>
    <phoneticPr fontId="43" type="noConversion"/>
  </si>
  <si>
    <t>Last Full-Charge Cap (Ah)
最近一次满充容量 (Ah)</t>
    <phoneticPr fontId="43" type="noConversion"/>
  </si>
  <si>
    <t>Last Full-Discharge Cap (Ah)
最近一次满放容量 (Ah)</t>
    <phoneticPr fontId="43" type="noConversion"/>
  </si>
  <si>
    <t>Min AFE Chip Temperature (℃)
最低AFE芯片温度 (℃)</t>
    <phoneticPr fontId="43" type="noConversion"/>
  </si>
  <si>
    <t>Sampling Validity
采样有效性</t>
    <phoneticPr fontId="43" type="noConversion"/>
  </si>
  <si>
    <t>Insulation Total Voltage (V)
绝缘总压 (V)</t>
    <phoneticPr fontId="43" type="noConversion"/>
  </si>
  <si>
    <t>Last Charge Energy (kWh)
最近一次充电能量 (kWh)</t>
    <phoneticPr fontId="43" type="noConversion"/>
  </si>
  <si>
    <t>Last Discharge Energy (kWh)
最近一次放电能量 (kWh)</t>
    <phoneticPr fontId="43" type="noConversion"/>
  </si>
  <si>
    <t>Max Remaining Balancing Time (min)
最大剩余均衡时间 (min)</t>
    <phoneticPr fontId="50" type="noConversion"/>
  </si>
  <si>
    <t>Real SOH (%)
真实SOH (%)</t>
    <phoneticPr fontId="43" type="noConversion"/>
  </si>
  <si>
    <t>Max Available Capacity (Ah)
最大可用容量 (Ah)</t>
    <phoneticPr fontId="43" type="noConversion"/>
  </si>
  <si>
    <t>Max Cell SOC (%)
最大电芯SOC (%)</t>
    <phoneticPr fontId="43" type="noConversion"/>
  </si>
  <si>
    <t>Min Cell SOC (%)
最小电芯SOC (%)</t>
    <phoneticPr fontId="43" type="noConversion"/>
  </si>
  <si>
    <t>Real SOC (%)
真实SOC (%)</t>
    <phoneticPr fontId="43" type="noConversion"/>
  </si>
  <si>
    <t>Fault Level
故障等级</t>
    <phoneticPr fontId="43" type="noConversion"/>
  </si>
  <si>
    <t>Max Cell Voltage Module Temp (℃)
最大电压电芯模组温度 (℃)</t>
    <phoneticPr fontId="43" type="noConversion"/>
  </si>
  <si>
    <t>Min Cell Voltage Module Temp (℃)
最小电压电芯模组温度 (℃)</t>
    <phoneticPr fontId="43" type="noConversion"/>
  </si>
  <si>
    <t>Max Cell Voltage Module Temp Validity
最大电压电芯模组温度有效性</t>
    <phoneticPr fontId="43" type="noConversion"/>
  </si>
  <si>
    <t>Min Cell Voltage Module Temp Validity
最小电压电芯模组温度有效性</t>
    <phoneticPr fontId="43" type="noConversion"/>
  </si>
  <si>
    <t>Min Cell Voltage Module Inner Position
最小电芯电压模组内位置</t>
    <phoneticPr fontId="43" type="noConversion"/>
  </si>
  <si>
    <t>Last Charge Cap (Ah)
最近一次充电容量 (Ah)</t>
    <phoneticPr fontId="43" type="noConversion"/>
  </si>
  <si>
    <t>Last Discharge Cap (Ah)
最近一次放电容量 (Ah)</t>
    <phoneticPr fontId="43" type="noConversion"/>
  </si>
  <si>
    <t>Charging Status
充放电状态</t>
    <phoneticPr fontId="43" type="noConversion"/>
  </si>
  <si>
    <t>Working Status
工作状态</t>
    <phoneticPr fontId="50" type="noConversion"/>
  </si>
  <si>
    <t>Min Racks Allowed to Run
允许运行的最小Rack数量</t>
    <phoneticPr fontId="43" type="noConversion"/>
  </si>
  <si>
    <t>SOC (%) 
SOC (%)</t>
    <phoneticPr fontId="50" type="noConversion"/>
  </si>
  <si>
    <t>SOH (%) 
SOH (%)</t>
    <phoneticPr fontId="50" type="noConversion"/>
  </si>
  <si>
    <t>SOE for Charge (kWh) 
可充能量 (kWh)</t>
    <phoneticPr fontId="43" type="noConversion"/>
  </si>
  <si>
    <t>SOE for Discharge (kWh) 
可放能量 (kWh)</t>
    <phoneticPr fontId="43" type="noConversion"/>
  </si>
  <si>
    <t>Water Flood Fault Status 
水浸故障状态</t>
    <phoneticPr fontId="43" type="noConversion"/>
  </si>
  <si>
    <t>BMS Heartbeat
BMS心跳信号</t>
    <phoneticPr fontId="50" type="noConversion"/>
  </si>
  <si>
    <t>DC Bus Voltage (V)
总线电压 (V)</t>
    <phoneticPr fontId="50" type="noConversion"/>
  </si>
  <si>
    <t>DC Bus Current (A)
总线电流 (A)</t>
    <phoneticPr fontId="50" type="noConversion"/>
  </si>
  <si>
    <t>DC Bus Power (kW)
总线功率 (kW)</t>
    <phoneticPr fontId="50" type="noConversion"/>
  </si>
  <si>
    <t>Min Cell Voltage Moduel Inner Position
最小电芯电压模组内位置</t>
    <phoneticPr fontId="43" type="noConversion"/>
  </si>
  <si>
    <t>ID Learn Status 
ID编码状态</t>
    <phoneticPr fontId="43" type="noConversion"/>
  </si>
  <si>
    <t>ID Learn Fail Position
ID编码失败位置</t>
    <phoneticPr fontId="43" type="noConversion"/>
  </si>
  <si>
    <t>HV Box and Busbar Cabinet Reverse Connection Rack Positions
高压盒与汇流柜反接簇编号</t>
    <phoneticPr fontId="50" type="noConversion"/>
  </si>
  <si>
    <t>Rack Connection Control
簇连接控制</t>
    <phoneticPr fontId="50" type="noConversion"/>
  </si>
  <si>
    <t>Insulation Measurement Enable Control
绝缘检测使能控制</t>
    <phoneticPr fontId="50" type="noConversion"/>
  </si>
  <si>
    <t>Rack Enable Control
簇使能控制</t>
    <phoneticPr fontId="50" type="noConversion"/>
  </si>
  <si>
    <t>System Allow Rack Exit Flag
系统允许退簇标志位</t>
    <phoneticPr fontId="50" type="noConversion"/>
  </si>
  <si>
    <t>Alarm Reset
清除所有故障</t>
    <phoneticPr fontId="43" type="noConversion"/>
  </si>
  <si>
    <t>Insulation Measurement Enable Manually Control (RBMS)
绝缘检测使能手动控制</t>
    <phoneticPr fontId="43" type="noConversion"/>
  </si>
  <si>
    <t>Bank Executing ID Learn Manually Control
Bank执行ID编码手动控制</t>
    <phoneticPr fontId="43" type="noConversion"/>
  </si>
  <si>
    <t>Auto Hv Up Enable Control
自动上高压使能控制</t>
    <phoneticPr fontId="50" type="noConversion"/>
  </si>
  <si>
    <t>Auto ID Learn DO Control
自动编码DO输出控制</t>
    <phoneticPr fontId="43" type="noConversion"/>
  </si>
  <si>
    <t>PCS Communication Diagnosis Enable Control
PCS 通讯诊断使能控制</t>
    <phoneticPr fontId="43" type="noConversion"/>
  </si>
  <si>
    <t>Force Control TMS Enable Flag
强控TMS使能标志位</t>
    <phoneticPr fontId="50" type="noConversion"/>
  </si>
  <si>
    <t>TMS Fault Level
TMS故障等级</t>
    <phoneticPr fontId="43" type="noConversion"/>
  </si>
  <si>
    <t>TMS Fault Code
TMS故障码</t>
    <phoneticPr fontId="43" type="noConversion"/>
  </si>
  <si>
    <t>TMS Number
TMS编号</t>
    <phoneticPr fontId="43" type="noConversion"/>
  </si>
  <si>
    <t>EMS Control Fault Reset
EMS控制故障复位</t>
    <phoneticPr fontId="50" type="noConversion"/>
  </si>
  <si>
    <t>Signal Description V2</t>
    <phoneticPr fontId="50" type="noConversion"/>
  </si>
  <si>
    <t>CcCBCC_CellSelfDischOverHighLvl2RecThdValPct</t>
    <phoneticPr fontId="43" type="noConversion"/>
  </si>
  <si>
    <t>CcSOHA_SOHCOverLowLvl3EnaThdValPct</t>
    <phoneticPr fontId="43" type="noConversion"/>
  </si>
  <si>
    <t>CcCBCC_CellSelfDischOverHighLvl2EnaThdValPct</t>
    <phoneticPr fontId="43" type="noConversion"/>
  </si>
  <si>
    <t>CcCBCC_CellSelfDischOverHighLvl3EnaThdValPct</t>
    <phoneticPr fontId="43" type="noConversion"/>
  </si>
  <si>
    <t>CcCBCC_CellSelfDischOverHighLvl3RecThdValPct</t>
    <phoneticPr fontId="43" type="noConversion"/>
  </si>
  <si>
    <t>V1.0.48</t>
    <phoneticPr fontId="43" type="noConversion"/>
  </si>
  <si>
    <t>N2M Modify</t>
    <phoneticPr fontId="43" type="noConversion"/>
  </si>
  <si>
    <t>Platform</t>
    <phoneticPr fontId="43" type="noConversion"/>
  </si>
  <si>
    <t>BMS20/BMS21/BMS23</t>
  </si>
  <si>
    <t>BMS20/BMS21</t>
    <phoneticPr fontId="43" type="noConversion"/>
  </si>
  <si>
    <t>BMS23</t>
    <phoneticPr fontId="43" type="noConversion"/>
  </si>
  <si>
    <t>BMS20/BMS21</t>
  </si>
  <si>
    <t>Signal ArrType</t>
    <phoneticPr fontId="50" type="noConversion"/>
  </si>
  <si>
    <t>xTArr</t>
    <phoneticPr fontId="50" type="noConversion"/>
  </si>
  <si>
    <t>Group8bitArr</t>
  </si>
  <si>
    <t>NormalArr</t>
  </si>
  <si>
    <t>Special Dim</t>
    <phoneticPr fontId="43" type="noConversion"/>
  </si>
  <si>
    <t>TMS_NUM</t>
    <phoneticPr fontId="43" type="noConversion"/>
  </si>
  <si>
    <t>RACK_NUMBER_FOR_EVERY_BANK</t>
  </si>
  <si>
    <t>RACK_NUMBER_FOR_EVERY_BANK</t>
    <phoneticPr fontId="43" type="noConversion"/>
  </si>
  <si>
    <t>transportType</t>
    <phoneticPr fontId="43" type="noConversion"/>
  </si>
  <si>
    <t>struct RBMS_Temp</t>
    <phoneticPr fontId="43" type="noConversion"/>
  </si>
  <si>
    <t>struct Name</t>
    <phoneticPr fontId="43" type="noConversion"/>
  </si>
  <si>
    <t>Racks with Emergency Fault
存在严重故障的Rack</t>
    <phoneticPr fontId="43" type="noConversion"/>
  </si>
  <si>
    <t>0：AH（安时积分修正）
1/8：RVC（静置电压修正，1-查表修正，8-平台端点修正）
2：EDE（高精度动态修正）
3：FDC（满放修正）
4：FCC（满充修正）
5：SOC标定
6/7：NearFCC（非满充修正，7-非满充100修正）</t>
    <phoneticPr fontId="43" type="noConversion"/>
  </si>
  <si>
    <t>Container EPO Flag
集装箱急停标志</t>
    <phoneticPr fontId="43" type="noConversion"/>
  </si>
  <si>
    <t>Rolling Counter
滚动计数</t>
    <phoneticPr fontId="43" type="noConversion"/>
  </si>
  <si>
    <r>
      <t xml:space="preserve">Check Sum
</t>
    </r>
    <r>
      <rPr>
        <sz val="10"/>
        <color theme="1"/>
        <rFont val="等线"/>
        <family val="3"/>
        <charset val="134"/>
        <scheme val="minor"/>
      </rPr>
      <t>校验和</t>
    </r>
    <phoneticPr fontId="43" type="noConversion"/>
  </si>
  <si>
    <t>Rack状态,Rack Status;继电器信息[1,2,4]</t>
    <phoneticPr fontId="50" type="noConversion"/>
  </si>
  <si>
    <t>EMS Control Fault Reset
EMS控制故障复位</t>
    <phoneticPr fontId="43" type="noConversion"/>
  </si>
  <si>
    <t>BMS Control Mode
BMS控制模式</t>
    <phoneticPr fontId="43" type="noConversion"/>
  </si>
  <si>
    <t>BSWSABBMSEMSPowerUpCmdNbr[BANK_TOTAL_NUMBER]</t>
    <phoneticPr fontId="50" type="noConversion"/>
  </si>
  <si>
    <t>SbEMCR_EMSFaultResetFlg[BANK_TOTAL_NUMBER]</t>
    <phoneticPr fontId="50" type="noConversion"/>
  </si>
  <si>
    <t>BSWSABBMSEMSCtrlModeNbr[BANK_TOTAL_NUMBER]</t>
    <phoneticPr fontId="50" type="noConversion"/>
  </si>
  <si>
    <t>1、便于通讯映射自动化，新增以下列：
Sheet "Message ID"："N2M Modify"（标识nPCS拖mBBMS功能需要修改的命令函数）、"Platform"（标识各命令适用平台）、"Special Dim"（标识命令涉及的特殊维度）、"transportType"、"struct Name"
Sheet "Comm Matrix"："Signal ArrType"
2、n拖m架构下EMS保持寄存器功能修改
Sheet "Comm Matrix"：BBMS_A_CtlWord：信号发送维度均修改为 BANK_TOTAL_NUMBER，新增BBMSNo信号</t>
    <phoneticPr fontId="43" type="noConversion"/>
  </si>
  <si>
    <t>SaEMCT_BBMS_LocRemCtl[RACK_NUMBER_FOR_EVERY_BANK]</t>
    <phoneticPr fontId="50" type="noConversion"/>
  </si>
  <si>
    <t>SaSGPC_CellVmV[TOTAL_SERIES_CELL_NUMBER_PER_RACK_BMS]</t>
    <phoneticPr fontId="43" type="noConversion"/>
  </si>
  <si>
    <t>SaSOCB_BankCellSOCPct[RACK_NUMBER_FOR_EVERY_BANK*TOTAL_SERIES_CELL_NUMBER_PER_RACK_BMS]</t>
    <phoneticPr fontId="43" type="noConversion"/>
  </si>
  <si>
    <t>SaSOCB_BankCellSOCState[RACK_NUMBER_FOR_EVERY_BANK*TOTAL_SERIES_CELL_NUMBER_PER_RACK_BMS]</t>
    <phoneticPr fontId="43" type="noConversion"/>
  </si>
  <si>
    <t>SaSOHB_BankCellCapAh[RACK_NUMBER_FOR_EVERY_BANK*TOTAL_SERIES_CELL_NUMBER_PER_RACK_BMS]</t>
    <phoneticPr fontId="43" type="noConversion"/>
  </si>
  <si>
    <t>SaSOHB_DFCLCapResultAh[RACK_NUMBER_FOR_EVERY_BANK*TOTAL_SERIES_CELL_NUMBER_PER_RACK_BMS]</t>
    <phoneticPr fontId="43" type="noConversion"/>
  </si>
  <si>
    <t>SaSOHB_MFCLCapResultAh[RACK_NUMBER_FOR_EVERY_BANK*TOTAL_SERIES_CELL_NUMBER_PER_RACK_BMS]</t>
    <phoneticPr fontId="43" type="noConversion"/>
  </si>
  <si>
    <t>Version</t>
  </si>
  <si>
    <t>Date</t>
  </si>
  <si>
    <t>Revised by</t>
  </si>
  <si>
    <t>Reviewed by</t>
  </si>
  <si>
    <t>Description</t>
  </si>
  <si>
    <t>V1.0.49</t>
    <phoneticPr fontId="43" type="noConversion"/>
  </si>
  <si>
    <t>BSW Ethernet PHY Chip Reset Number (RBMS)
以太网PHY芯片复位次数</t>
    <phoneticPr fontId="50" type="noConversion"/>
  </si>
  <si>
    <t>BSWEthPHYChipResetNbr</t>
    <phoneticPr fontId="50" type="noConversion"/>
  </si>
  <si>
    <t>Sheet "Comm Matrix"：RBMS_Debug 帧新增信号 BSWEthPHYChipResetNbr</t>
    <phoneticPr fontId="43" type="noConversion"/>
  </si>
  <si>
    <t>V1.0.50</t>
    <phoneticPr fontId="43" type="noConversion"/>
  </si>
  <si>
    <t>TYPE_SUMINFO</t>
    <phoneticPr fontId="43" type="noConversion"/>
  </si>
  <si>
    <t>SSD File Type</t>
    <phoneticPr fontId="43" type="noConversion"/>
  </si>
  <si>
    <t>TYPE_DETAIL</t>
    <phoneticPr fontId="43" type="noConversion"/>
  </si>
  <si>
    <t>TYPE_FAULT</t>
    <phoneticPr fontId="43" type="noConversion"/>
  </si>
  <si>
    <t>TYPE_DEBUG</t>
    <phoneticPr fontId="43" type="noConversion"/>
  </si>
  <si>
    <t>RBMS_SysOperSt</t>
    <phoneticPr fontId="50" type="noConversion"/>
  </si>
  <si>
    <t>TMS状态,TMS Status;[1,1]</t>
    <phoneticPr fontId="50" type="noConversion"/>
  </si>
  <si>
    <t>TMS状态,TMS Status;[1,2]</t>
    <phoneticPr fontId="50" type="noConversion"/>
  </si>
  <si>
    <t>TMS状态,TMS Status;[1,3]</t>
    <phoneticPr fontId="50" type="noConversion"/>
  </si>
  <si>
    <t>TMS状态,TMS Status;[1,4]</t>
    <phoneticPr fontId="50" type="noConversion"/>
  </si>
  <si>
    <t>TMS状态,TMS Status;[1,5]</t>
    <phoneticPr fontId="50" type="noConversion"/>
  </si>
  <si>
    <t>TMS状态,TMS Status;[1,6]</t>
    <phoneticPr fontId="50" type="noConversion"/>
  </si>
  <si>
    <t>TMS状态,TMS Status;[1,7]</t>
    <phoneticPr fontId="50" type="noConversion"/>
  </si>
  <si>
    <t>TMS状态,TMS Status;[1,8]</t>
    <phoneticPr fontId="50" type="noConversion"/>
  </si>
  <si>
    <t>TMS状态,TMS Status;[1,9]</t>
    <phoneticPr fontId="50" type="noConversion"/>
  </si>
  <si>
    <t>TMS状态,TMS Status;[1,10]</t>
    <phoneticPr fontId="50" type="noConversion"/>
  </si>
  <si>
    <t>TMS状态,TMS Status;[1,11]</t>
    <phoneticPr fontId="50" type="noConversion"/>
  </si>
  <si>
    <t>TMS状态,TMS Status;[1,12]</t>
    <phoneticPr fontId="50" type="noConversion"/>
  </si>
  <si>
    <t>Enum
0X0: Default;
0X1: Not Connected;
0X2: Alert;
0X3: Connected;
0X4: Reserved;
0X5: SOC Protection;
0X63: Fault;</t>
    <phoneticPr fontId="50" type="noConversion"/>
  </si>
  <si>
    <t>Bank信息传输,Bank Info Trans;[2,7]</t>
    <phoneticPr fontId="50" type="noConversion"/>
  </si>
  <si>
    <t>Bank控制命令,Bank Control;[1,2]</t>
    <phoneticPr fontId="50" type="noConversion"/>
  </si>
  <si>
    <t>Bank信息传输,Bank Info Trans;[2,1]</t>
    <phoneticPr fontId="50" type="noConversion"/>
  </si>
  <si>
    <t>Bank信息传输,Bank Info Trans;[2,8]</t>
    <phoneticPr fontId="50" type="noConversion"/>
  </si>
  <si>
    <t>Bank信息传输,Bank Info Trans;[2,6]</t>
    <phoneticPr fontId="50" type="noConversion"/>
  </si>
  <si>
    <t>Bank控制命令,Bank Control;[1,1]</t>
    <phoneticPr fontId="50" type="noConversion"/>
  </si>
  <si>
    <t>Bank信息传输,Bank Info Trans;[2,5]</t>
    <phoneticPr fontId="50" type="noConversion"/>
  </si>
  <si>
    <t>Bank信息传输,Bank Info Trans;[2,2]</t>
    <phoneticPr fontId="50" type="noConversion"/>
  </si>
  <si>
    <t>Bank信息传输,Bank Info Trans;[2,3]</t>
    <phoneticPr fontId="50" type="noConversion"/>
  </si>
  <si>
    <t>Bank信息传输,Bank Info Trans;[2,4]</t>
    <phoneticPr fontId="50" type="noConversion"/>
  </si>
  <si>
    <t>Sheet "Message ID"：新增列"SSD File Type"，用于标识存储时文件所属类别
Sheet "Comm Matrix"：
1、BBMS_SumInfo 帧 BBMS_BatSt 修改信号值描述
2、TMS_SumInfo、BBMS_CtlWord 帧列 SSD Store Display 在类名称后均添加";"与其他帧格式一致
3、ParaThr_RackV 帧信号分辨率均 0.01 -&gt; 0.001
4、RBMS_SOXdebugData2 帧新增信号 ScSOCA_AccuCapAh
5、RBMS_SumInfo 帧 RBMS_CommType 信号新增上位机显示</t>
    <phoneticPr fontId="43" type="noConversion"/>
  </si>
  <si>
    <t>ScSOCA_AccuCapAh</t>
    <phoneticPr fontId="50" type="noConversion"/>
  </si>
  <si>
    <t>Rack Latest Accu Charge-Discharge Cap (Ah)
最近一次累积充放电容量 (Ah)</t>
    <phoneticPr fontId="50" type="noConversion"/>
  </si>
  <si>
    <t>ScSOCA_AccuCapAh_dbug</t>
    <phoneticPr fontId="50" type="noConversion"/>
  </si>
  <si>
    <t>V1.0.51</t>
    <phoneticPr fontId="43" type="noConversion"/>
  </si>
  <si>
    <t>RBMS_PackFuseTDegC[RACK_MODULE_NUMBER_MAX]</t>
    <phoneticPr fontId="50" type="noConversion"/>
  </si>
  <si>
    <t>SaCLTS_PackFuseTDegC[RACK_MODULE_NUMBER]</t>
    <phoneticPr fontId="50" type="noConversion"/>
  </si>
  <si>
    <t>Pack Fuse Temp (℃) (up to 8 Packs)
Pack Fuse温度（最多8个）</t>
    <phoneticPr fontId="50" type="noConversion"/>
  </si>
  <si>
    <t>1189-1204</t>
    <phoneticPr fontId="50" type="noConversion"/>
  </si>
  <si>
    <t>Reserved5
预留占位5</t>
    <phoneticPr fontId="43" type="noConversion"/>
  </si>
  <si>
    <t>RBMS_CellTMUXFaiIDNbr</t>
    <phoneticPr fontId="43" type="noConversion"/>
  </si>
  <si>
    <t>所有失效的MUX位置（1-失效，0-未失效）
bitN: 第N+1个MUX</t>
    <phoneticPr fontId="43" type="noConversion"/>
  </si>
  <si>
    <t>ScEMCT_RBMS_CellTMUXFaiIDNbr</t>
    <phoneticPr fontId="43" type="noConversion"/>
  </si>
  <si>
    <t>Sheet "Comm Matrix"：
1、列"Upper Computer Display"非空值-&gt;Y
2、RBMS_Temp 帧新增信号 RBMS_PackFuseTDegC
3、RBMS_SumInfo 帧信号 RBMS_CellTMUXFaiIDNbr 由 1x64的uint8数组 -&gt; 1x1的uint64数值，Tx map信号变更
4、BBMS_CtlWord 帧信号BBMS_FltSOPDischCoeffPct、BBMS_FltSOPChCoeffPct的Tx map信号相反</t>
    <phoneticPr fontId="43" type="noConversion"/>
  </si>
  <si>
    <t>V1.0.52</t>
    <phoneticPr fontId="43" type="noConversion"/>
  </si>
  <si>
    <t>Bit0[0]: Emergency Stop Fault;急停故障
Signal;
0X0-Nomal;
0X1-Fault;
Bit1[0]: Combustible Gas Fault;可燃气体故障
Signal;
0X0-Nomal;
0X1-Fault;
Bit2[0]: Fire Extinguisher Warning;消防轻度告警
Signal;
0X0-Nomal;
0X1-Fault;
Bit3[0]: Fire Extinguisher Alarm;消防重度告警
Signal;
0X0-Nomal;
0X1-Fault;
Bit4[0]: Fire Extinguisher Alert;消防严重告警
Signal;
0X0-Nomal;
0X1-Fault;
Bit5[0]: QF1 Circuit Breaker Fault;QF1断路器故障
Signal;
0X0-Nomal;
0X1-Fault;
Bit6[0]: QF1 Circuit Breaker Enable Command;QF1断路器使能命令
Signal;
0X0-Disabled;
0X1-Enabled;
Bit7[0]: SPD2 Surge Fault;SPD2浪涌故障
Signal;
0X0-Nomal;
0X1-Fault;
Bit8[0]: Green Light Status;绿灯状态
Signal;
0X0-Off;
0X1-On;
Bit9[0]: Yellow Light Status;黄灯状态
Signal;
0X0-Off;
0X1-On;
Bit10[0]: Red Light Status;红灯状态
Signal;
0X0-Off;
0X1-On;
Bit11[0]: PCS Emergency Stop Enable Command;PCS急停使能命令
Signal;
0X0-Disabled;
0X1-Enabled;
Bit12[0]: Door Open Fault;门开故障
Signal;
0X0-Nomal;
0X1-Fault;
Bit13[0]: Reserved;保留
Signal;
0X0-Nomal;
0X1-Fault;
Bit14[0]: Explosion-proof Fan Status;防爆风机状态
Signal;
0X0-Off;
0X1-On;
Bit15[0]: Explosion-proof Fan Fault;防爆风机故障
Signal;
0X0-Nomal;
0X1-Fault;</t>
    <phoneticPr fontId="50" type="noConversion"/>
  </si>
  <si>
    <t>Enums
Bit0: Insulation Unfinished
Bit1: Debug Mode
Bit2: Battery String Disabled
Bit3: EMS Trip
Bit4: Extreme Fault CRC Check Failed
Bit5: Precharge Timeout
Bit6: Hv Differential not Achieved During Precharge Phase
Bit7: Precharge Fault Set
Bit8: Relay Fault Set
Bit9: RBMS has Level 1 Fault
Bit10: Hv Control Mode Disconnected
Bit11: Extreme Fault Set
Bit12: Emergency Stop Signal Set
Bit13: Recharging Plug Interlock Signal Set</t>
    <phoneticPr fontId="43" type="noConversion"/>
  </si>
  <si>
    <t>Recharge Status
补电状态</t>
    <phoneticPr fontId="43" type="noConversion"/>
  </si>
  <si>
    <t>RBMS_ReChrgStatus</t>
    <phoneticPr fontId="43" type="noConversion"/>
  </si>
  <si>
    <t>ScCTSC_ReChrgStateNbr</t>
    <phoneticPr fontId="43" type="noConversion"/>
  </si>
  <si>
    <t>Not Recharge Reason
未补电原因</t>
    <phoneticPr fontId="43" type="noConversion"/>
  </si>
  <si>
    <t>RBMS_NotReChrgRsnNbr</t>
    <phoneticPr fontId="43" type="noConversion"/>
  </si>
  <si>
    <t>Rack状态,Rack Status;继电器信息[1,2,5]</t>
    <phoneticPr fontId="50" type="noConversion"/>
  </si>
  <si>
    <t>Rack状态,Rack Status;继电器信息[1,2,6]</t>
    <phoneticPr fontId="50" type="noConversion"/>
  </si>
  <si>
    <t>Sheet "Comm Matrix"：
1、RBMS_SumInfo 帧：更新 RBMS_ConFail 的信号值描述；新增补电状态和未补电原因（替换Reserved1、2）
2、BBMS_SumInfo 帧：更新 BBMS_CntrSt 的信号值描述</t>
    <phoneticPr fontId="43" type="noConversion"/>
  </si>
  <si>
    <t>ScCTSC_NotReChrgReasonNbr</t>
    <phoneticPr fontId="43" type="noConversion"/>
  </si>
  <si>
    <t>Enum
0X0: Not Recharge;
0X1: Recharging;
0X2: Recharge Finished;</t>
    <phoneticPr fontId="50" type="noConversion"/>
  </si>
  <si>
    <r>
      <t>Enums</t>
    </r>
    <r>
      <rPr>
        <sz val="9.75"/>
        <color rgb="FF000000"/>
        <rFont val="等线"/>
        <family val="2"/>
        <scheme val="minor"/>
      </rPr>
      <t xml:space="preserve">
Bit0: Recharging Plug Not Interlocked补电插头互锁未通过;
Bit1: Prohibited Charging and Discharging Flt存在除总压/单体欠压一级故障以外的禁充禁放故障;
Bit2: Main Circuit Not Disconnected Completely主回路未完全断开;
Bit3: Recharging Over Current补电电流过大;</t>
    </r>
    <phoneticPr fontId="50" type="noConversion"/>
  </si>
  <si>
    <t>V1.0.53</t>
    <phoneticPr fontId="43" type="noConversion"/>
  </si>
  <si>
    <t>Enum
0X1: Level 1 Fault;
0X2: Level 2 Fault;
0X3: Level 3 Fault;
0X7: No Fault;</t>
  </si>
  <si>
    <t>Bank状态,Bank Status;系统信息[1,1,15]</t>
    <phoneticPr fontId="50" type="noConversion"/>
  </si>
  <si>
    <t>0x0:空闲
0x1:闭合主负和主正
0x2:闭合主负和预充
0x3:断开所有继电器
0x4:在线状态
0x14:防反接检测（基准簇闭合主负和预充，非基准簇闭合主负）</t>
    <phoneticPr fontId="50" type="noConversion"/>
  </si>
  <si>
    <t>SaEMCT_BBMS_SetCon[RACK_NUMBER_FOR_EVERY_BANK]</t>
  </si>
  <si>
    <t>BBMS_SetCon</t>
    <phoneticPr fontId="50" type="noConversion"/>
  </si>
  <si>
    <t>BBMS_BaseRackFlg</t>
    <phoneticPr fontId="50" type="noConversion"/>
  </si>
  <si>
    <t>The Array Of The Base Rack Flag
是否为基准簇标志位数组</t>
    <phoneticPr fontId="50" type="noConversion"/>
  </si>
  <si>
    <t>SaBCFR_BaseRackFlg[RACK_NUMBER_FOR_EVERY_BANK]</t>
    <phoneticPr fontId="50" type="noConversion"/>
  </si>
  <si>
    <t>BSWSBBMSBaseRackFlg</t>
    <phoneticPr fontId="50" type="noConversion"/>
  </si>
  <si>
    <t>SbCTSC_HvCnctStCoverPrechFlg</t>
    <phoneticPr fontId="50" type="noConversion"/>
  </si>
  <si>
    <t>BSWSHvCnctStCoverPrechFlg</t>
    <phoneticPr fontId="50" type="noConversion"/>
  </si>
  <si>
    <t>Enum
0x0: Open
0x1: Close</t>
    <phoneticPr fontId="50" type="noConversion"/>
  </si>
  <si>
    <t>Rack Prech-included Hv Main Circiut Status Flg
簇包含预充的高压主回路状态标志位</t>
    <phoneticPr fontId="50" type="noConversion"/>
  </si>
  <si>
    <t>RBMS_HvCnctCoverPrechFlg</t>
    <phoneticPr fontId="50" type="noConversion"/>
  </si>
  <si>
    <t>Rack状态,Rack Status;继电器信息[1,2,7]</t>
    <phoneticPr fontId="50" type="noConversion"/>
  </si>
  <si>
    <t>Disp Jason</t>
    <phoneticPr fontId="43" type="noConversion"/>
  </si>
  <si>
    <t>读取-自放电率演变信息(BBMS)</t>
    <phoneticPr fontId="43" type="noConversion"/>
  </si>
  <si>
    <t>读取-自放电率演变信息(RBMS)</t>
    <phoneticPr fontId="43" type="noConversion"/>
  </si>
  <si>
    <t>Get</t>
  </si>
  <si>
    <t>BMS20/BMS21/BMS23</t>
    <phoneticPr fontId="43" type="noConversion"/>
  </si>
  <si>
    <t>ScABSS_IntraGrpDiagCtlSt</t>
    <phoneticPr fontId="50" type="noConversion"/>
  </si>
  <si>
    <t>ScABSS_InterGrpDiagCtlSt</t>
    <phoneticPr fontId="50" type="noConversion"/>
  </si>
  <si>
    <t>Intra-Group Active Balance Diagnosis Control Status
组内主动均衡诊断控制状态</t>
    <phoneticPr fontId="50" type="noConversion"/>
  </si>
  <si>
    <t>Inter-Group Active Balance Diagnosis Control Status
组间主动均衡诊断控制状态</t>
    <phoneticPr fontId="50" type="noConversion"/>
  </si>
  <si>
    <t>0: 未开启检测,
1: 第1小组Buck检测,
2: 第1小组Boost检测,
3: 第2小组Buck检测,
4: 第2小组Boost检测,
5: 第3小组Buck检测,
6: 第3小组Boost检测。</t>
    <phoneticPr fontId="50" type="noConversion"/>
  </si>
  <si>
    <t>0: 未开启检测,
1: 第 1 个检测批次，各 24V 中的第 1 组检测,
(i-1) * ACT_BAL_INTER_GROUP_NUMBER_PER_24V + j: 第 i 个检测批次，各 24V 中的第 j 组检测。</t>
    <phoneticPr fontId="50" type="noConversion"/>
  </si>
  <si>
    <t>BBMS Fault Level
BBMS故障等级</t>
    <phoneticPr fontId="50" type="noConversion"/>
  </si>
  <si>
    <t>BBMS_BBMSFltLvl</t>
    <phoneticPr fontId="50" type="noConversion"/>
  </si>
  <si>
    <t>ScBSOX_BBMSFltSOPDischCoeffPct</t>
    <phoneticPr fontId="43" type="noConversion"/>
  </si>
  <si>
    <t>ScBSOX_BBMSFltSOPChCoeffPct</t>
    <phoneticPr fontId="43" type="noConversion"/>
  </si>
  <si>
    <t>Bank SOX状态,Bank SOX Status;SOP[2,4,9]</t>
    <phoneticPr fontId="50" type="noConversion"/>
  </si>
  <si>
    <t>Bank SOX状态,Bank SOX Status;SOP[2,4,10]</t>
    <phoneticPr fontId="50" type="noConversion"/>
  </si>
  <si>
    <t>Sheet "Message ID"：
1、新增列"Disp Jason"：标识该命令的报文帧是否需要在Jason_Struct.h中自动化定义，用于显示屏数据解析
2、新增命令 Selfdr_Info读取-自放电率演变信息(RBMS)：支持二级架构的欧盟法案需求
Sheet "Comm Matrix"：
1、RBMS_SumInfo 帧：删除RBMS_ReverConDetecOpenFlg-&gt;新增RBMS_HvCnctCoverPrechFlg
2、BBMS_SumInfo 帧：新增BBMS故障等级（替换Reserved）；删除BBMS_HumSensorRH-&gt;新增BBMS充放电故障降功率系数，删除BBMS_TmpSensorRH-&gt;Reserved
3、BBMS_CtlWord 帧：删除BBMS_SetEnaIso、BBMS_SetEna、BBMS_ReverConDetecCmpFlg、BBMS_RackEnableFlg；BBMS_SetCon信号bitlen由2-&gt;8，取值描述更新；BBMS_FirstEnableRackFlg-&gt;BBMS_BaseRackFlg；BBMS充放电故障降功率系数Tx信号名称变更
4、HMI_CtlWord 帧：删除 HMI_SetEna 的Rx(BBMS_M)信号
5、BBMS_A_Selfdr 帧：报文名称改为Selfdr_Info，并新增Rx（RBMS）信号
6、RBMS_Debug 帧：新增组内、组间主动均衡诊断控制状态</t>
    <phoneticPr fontId="43" type="noConversion"/>
  </si>
  <si>
    <t>Selfdr_Info</t>
    <phoneticPr fontId="43" type="noConversion"/>
  </si>
  <si>
    <t>struct Selfdr_Info</t>
    <phoneticPr fontId="43" type="noConversion"/>
  </si>
  <si>
    <t>自放电率演变信息</t>
    <phoneticPr fontId="50" type="noConversion"/>
  </si>
  <si>
    <t>V1.0.54</t>
    <phoneticPr fontId="43" type="noConversion"/>
  </si>
  <si>
    <t>Bank状态,Bank Status;系统信息[1,1,16]</t>
    <phoneticPr fontId="50" type="noConversion"/>
  </si>
  <si>
    <t>BBMS_RackMergeStatus</t>
    <phoneticPr fontId="50" type="noConversion"/>
  </si>
  <si>
    <t>Bank Rack Merge Status
Bank并簇状态</t>
    <phoneticPr fontId="43" type="noConversion"/>
  </si>
  <si>
    <t>Sheet "Comm Matrix"：
BBMS_SumInfo 帧：新增并簇状态BBMS_RackMergeStatus并在上位机显示</t>
    <phoneticPr fontId="43" type="noConversion"/>
  </si>
  <si>
    <t>Enum
0X0: Free;
0X1: Static Rack Merge;
0X2: Dynamic Rack Merge;</t>
    <phoneticPr fontId="50" type="noConversion"/>
  </si>
  <si>
    <t>ScBCFR_RackMergeModeNbr</t>
    <phoneticPr fontId="43" type="noConversion"/>
  </si>
  <si>
    <t>V1.0.55</t>
    <phoneticPr fontId="43" type="noConversion"/>
  </si>
  <si>
    <t>Set</t>
  </si>
  <si>
    <t>YCP_TRANSPORT_UNNEED_ACK</t>
  </si>
  <si>
    <t>写入-N拖M架构A核将获取到的主从机间通信簇数据转发给M核</t>
    <phoneticPr fontId="43" type="noConversion"/>
  </si>
  <si>
    <t>写入-N拖M架构A核将获取到的主从机间通信堆数据转发给M核</t>
    <phoneticPr fontId="43" type="noConversion"/>
  </si>
  <si>
    <t>struct RBMS_SumInfo_OtherBank</t>
    <phoneticPr fontId="43" type="noConversion"/>
  </si>
  <si>
    <t>struct BBMS_SumInfo_OtherBank</t>
    <phoneticPr fontId="43" type="noConversion"/>
  </si>
  <si>
    <t>System_Info</t>
    <phoneticPr fontId="43" type="noConversion"/>
  </si>
  <si>
    <t>struct System_Info</t>
    <phoneticPr fontId="43" type="noConversion"/>
  </si>
  <si>
    <t>System Update Status
系统升级状态</t>
    <phoneticPr fontId="43" type="noConversion"/>
  </si>
  <si>
    <t>SysUpdateState</t>
    <phoneticPr fontId="50" type="noConversion"/>
  </si>
  <si>
    <t>System Charging Status
系统充放电状态</t>
    <phoneticPr fontId="43" type="noConversion"/>
  </si>
  <si>
    <t>SysChrgState</t>
    <phoneticPr fontId="50" type="noConversion"/>
  </si>
  <si>
    <t>0x0: 非升级状态
0x1: 升级状态</t>
    <phoneticPr fontId="50" type="noConversion"/>
  </si>
  <si>
    <t>0x0: 静置
0x1: 充电
0x2: 放电</t>
    <phoneticPr fontId="50" type="noConversion"/>
  </si>
  <si>
    <t>BSWSBBMSSwUpgradeFlg</t>
    <phoneticPr fontId="50" type="noConversion"/>
  </si>
  <si>
    <t>BSWSRBMSSwUpgradeFlg[RACK_NUMBER_FOR_EVERY_BANK]</t>
    <phoneticPr fontId="50" type="noConversion"/>
  </si>
  <si>
    <t>RBMS_MaxPackFuseTDegC</t>
    <phoneticPr fontId="50" type="noConversion"/>
  </si>
  <si>
    <t>Max Pack Fuse Temp (℃)
最高Pack熔断器温度 (℃)</t>
    <phoneticPr fontId="50" type="noConversion"/>
  </si>
  <si>
    <t>RBMS_MinPackFuseTDegC</t>
    <phoneticPr fontId="50" type="noConversion"/>
  </si>
  <si>
    <t>Min Pack Fuse Temp (℃)
最低Pack熔断器温度 (℃)</t>
    <phoneticPr fontId="50" type="noConversion"/>
  </si>
  <si>
    <t>Rack采样信息,Rack Sampling Information;电芯温度[3,6,1]</t>
    <phoneticPr fontId="50" type="noConversion"/>
  </si>
  <si>
    <t>Rack采样信息,Rack Sampling Information;其他温度[3,5,10]</t>
    <phoneticPr fontId="50" type="noConversion"/>
  </si>
  <si>
    <t>Rack采样信息,Rack Sampling Information;其他温度[3,5,11]</t>
    <phoneticPr fontId="50" type="noConversion"/>
  </si>
  <si>
    <t>ScCLTH_MinPackFuseTDegC</t>
    <phoneticPr fontId="50" type="noConversion"/>
  </si>
  <si>
    <t>ScCLTH_MaxPackFuseTDegC</t>
    <phoneticPr fontId="50" type="noConversion"/>
  </si>
  <si>
    <t>二三级板设备状态信息</t>
    <phoneticPr fontId="50" type="noConversion"/>
  </si>
  <si>
    <t>Sheet "Message ID"：
1、新增RBMS_SumInfo、BBMS_SumInfo的N2M转发至M核命令
2、新增System_Info的二三级板接收命令
Sheet "Comm Matrix"：
1、新增 System_Info 帧，用于传递二三级板的设备状态信息
2、RBMS_SumInfo 帧：新增pack fuse温度最大、最小值（Byte 55-58）</t>
    <phoneticPr fontId="43" type="noConversion"/>
  </si>
  <si>
    <t>写入-二级板的设备状态信息</t>
    <phoneticPr fontId="43" type="noConversion"/>
  </si>
  <si>
    <t>写入-三级板的设备状态信息</t>
    <phoneticPr fontId="43" type="noConversion"/>
  </si>
  <si>
    <t>V1.0.56</t>
    <phoneticPr fontId="43" type="noConversion"/>
  </si>
  <si>
    <t>Reserved1</t>
    <phoneticPr fontId="50" type="noConversion"/>
  </si>
  <si>
    <t>Reserved1
预留占位1</t>
    <phoneticPr fontId="50" type="noConversion"/>
  </si>
  <si>
    <t>TMS_TgtWtrTemp</t>
    <phoneticPr fontId="50" type="noConversion"/>
  </si>
  <si>
    <t>TMS_MaxCellTemp</t>
    <phoneticPr fontId="43" type="noConversion"/>
  </si>
  <si>
    <t>TMS_MinCellTemp</t>
    <phoneticPr fontId="50" type="noConversion"/>
  </si>
  <si>
    <t>TMS_AvgCellTemp</t>
    <phoneticPr fontId="50" type="noConversion"/>
  </si>
  <si>
    <t>TMS_OutWtrTemp</t>
    <phoneticPr fontId="50" type="noConversion"/>
  </si>
  <si>
    <t>TMS_EnvTemp</t>
    <phoneticPr fontId="50" type="noConversion"/>
  </si>
  <si>
    <t>TMS_InWtrTemp</t>
    <phoneticPr fontId="50" type="noConversion"/>
  </si>
  <si>
    <t>TMS_FltLevel</t>
    <phoneticPr fontId="50" type="noConversion"/>
  </si>
  <si>
    <t>TMS_FltCode</t>
    <phoneticPr fontId="43" type="noConversion"/>
  </si>
  <si>
    <t>TMS_BMSReqMode</t>
    <phoneticPr fontId="64" type="noConversion"/>
  </si>
  <si>
    <t>TMS_WorkMode</t>
    <phoneticPr fontId="43" type="noConversion"/>
  </si>
  <si>
    <t>ScTHMC_TMSTgtWtrTDegC</t>
    <phoneticPr fontId="43" type="noConversion"/>
  </si>
  <si>
    <t>ScTMCR_BMSMaxMdulTDegC</t>
    <phoneticPr fontId="50" type="noConversion"/>
  </si>
  <si>
    <t>ScTMCR_BMSMinMdulTDegC</t>
    <phoneticPr fontId="50" type="noConversion"/>
  </si>
  <si>
    <t>ScTMCR_BMSAvgMdulTDegC</t>
    <phoneticPr fontId="50" type="noConversion"/>
  </si>
  <si>
    <t>CcTHMC_CharCoolTmaxIndEntTDegC</t>
    <phoneticPr fontId="43" type="noConversion"/>
  </si>
  <si>
    <t>CcTHMC_CharCoolTmaxCmbLoEntTDegC</t>
    <phoneticPr fontId="43" type="noConversion"/>
  </si>
  <si>
    <t>CcTHMC_CharCoolTmaxCmbHiEntTDegC</t>
    <phoneticPr fontId="43" type="noConversion"/>
  </si>
  <si>
    <t>CcTHMC_CharCoolTavgCmbEntTDegC</t>
    <phoneticPr fontId="43" type="noConversion"/>
  </si>
  <si>
    <t>CcTHMC_CharCoolTmaxExtTDegC</t>
    <phoneticPr fontId="43" type="noConversion"/>
  </si>
  <si>
    <t>CcTHMC_CharCoolTavgExtTDegC</t>
    <phoneticPr fontId="43" type="noConversion"/>
  </si>
  <si>
    <t>CcTHMC_CharCoolTgtWtrTDegC</t>
    <phoneticPr fontId="43" type="noConversion"/>
  </si>
  <si>
    <t>CcTHMC_DchaCoolTmaxIndEntTDegC</t>
    <phoneticPr fontId="43" type="noConversion"/>
  </si>
  <si>
    <t>CcTHMC_DchaCoolTmaxCmbLoEntTDegC</t>
    <phoneticPr fontId="43" type="noConversion"/>
  </si>
  <si>
    <t>CcTHMC_DchaCoolTmaxCmbHiEntTDegC</t>
    <phoneticPr fontId="43" type="noConversion"/>
  </si>
  <si>
    <t>CcTHMC_DchaCoolTavgCmbEntTDegC</t>
    <phoneticPr fontId="43" type="noConversion"/>
  </si>
  <si>
    <t>CcTHMC_DchaCoolTmaxExtTDegC</t>
    <phoneticPr fontId="43" type="noConversion"/>
  </si>
  <si>
    <t>CcTHMC_DchaCoolTavgExtTDegC</t>
    <phoneticPr fontId="43" type="noConversion"/>
  </si>
  <si>
    <t>CcTHMC_DchaCoolTgtWtrTDegC</t>
    <phoneticPr fontId="43" type="noConversion"/>
  </si>
  <si>
    <t>CcTHMC_StandCoolTmaxIndEntTDegC</t>
    <phoneticPr fontId="43" type="noConversion"/>
  </si>
  <si>
    <t>CcTHMC_StandCoolTmaxCmbLoEntTDegC</t>
    <phoneticPr fontId="43" type="noConversion"/>
  </si>
  <si>
    <t>CcTHMC_StandCoolTmaxCmbHiEntTDegC</t>
    <phoneticPr fontId="43" type="noConversion"/>
  </si>
  <si>
    <t>CcTHMC_StandCoolTavgCmbEntTDegC</t>
    <phoneticPr fontId="43" type="noConversion"/>
  </si>
  <si>
    <t>CcTHMC_StandCoolTmaxExtTDegC</t>
    <phoneticPr fontId="43" type="noConversion"/>
  </si>
  <si>
    <t>CcTHMC_StandCoolTavgExtTDegC</t>
    <phoneticPr fontId="43" type="noConversion"/>
  </si>
  <si>
    <t>CcTHMC_StandCoolTgtWtrTDegC</t>
    <phoneticPr fontId="43" type="noConversion"/>
  </si>
  <si>
    <t>CcTHMC_CharHeatTminEntTDegC</t>
    <phoneticPr fontId="43" type="noConversion"/>
  </si>
  <si>
    <t>CcTHMC_CharHeatTavgEntTDegC</t>
    <phoneticPr fontId="43" type="noConversion"/>
  </si>
  <si>
    <t>CcTHMC_CharHeatTminExtTDegC</t>
    <phoneticPr fontId="43" type="noConversion"/>
  </si>
  <si>
    <t>CcTHMC_CharHeatTavgExtTDegC</t>
    <phoneticPr fontId="43" type="noConversion"/>
  </si>
  <si>
    <t>CcTHMC_CharHeatTgtWtrTDegC</t>
    <phoneticPr fontId="50" type="noConversion"/>
  </si>
  <si>
    <t>CcTHMC_DchaHeatTminEntTDegC</t>
    <phoneticPr fontId="43" type="noConversion"/>
  </si>
  <si>
    <t>CcTHMC_DchaHeatTavgEntTDegC</t>
    <phoneticPr fontId="43" type="noConversion"/>
  </si>
  <si>
    <t>CcTHMC_DchaHeatTminExtTDegC</t>
    <phoneticPr fontId="43" type="noConversion"/>
  </si>
  <si>
    <t>CcTHMC_DchaHeatTavgExtTDegC</t>
    <phoneticPr fontId="43" type="noConversion"/>
  </si>
  <si>
    <t>CcTHMC_DchaHeatTgtWtrTDegC</t>
    <phoneticPr fontId="50" type="noConversion"/>
  </si>
  <si>
    <t>CcTHMC_StandHeatTminEntTDegC</t>
    <phoneticPr fontId="43" type="noConversion"/>
  </si>
  <si>
    <t>CcTHMC_StandHeatTavgEntTDegC</t>
    <phoneticPr fontId="43" type="noConversion"/>
  </si>
  <si>
    <t>CcTHMC_StandHeatTminExtTDegC</t>
    <phoneticPr fontId="43" type="noConversion"/>
  </si>
  <si>
    <t>CcTHMC_StandHeatTavgExtTDegC</t>
    <phoneticPr fontId="43" type="noConversion"/>
  </si>
  <si>
    <t>CcTHMC_StandHeatTgtWtrTDegC</t>
    <phoneticPr fontId="50" type="noConversion"/>
  </si>
  <si>
    <t>CcTHMC_SelfCircuDeltaTEntDegC</t>
    <phoneticPr fontId="50" type="noConversion"/>
  </si>
  <si>
    <t>CcTHMC_SelfCircuDeltaTExtDegC</t>
    <phoneticPr fontId="50" type="noConversion"/>
  </si>
  <si>
    <t>CcTHMC_CloseTgtWtrTDegC</t>
    <phoneticPr fontId="50" type="noConversion"/>
  </si>
  <si>
    <t>Charge Cooling Tgt Water Temp
充电制冷目标水温</t>
    <phoneticPr fontId="43" type="noConversion"/>
  </si>
  <si>
    <t>Discharge Cooling Tgt Water Temp
放电制冷目标水温</t>
    <phoneticPr fontId="43" type="noConversion"/>
  </si>
  <si>
    <t>Standby Cooling Tgt Water Temp
静置制冷目标水温</t>
    <phoneticPr fontId="43" type="noConversion"/>
  </si>
  <si>
    <t>Charge Heating Tgt Water Temp
充电制热目标水温</t>
    <phoneticPr fontId="43" type="noConversion"/>
  </si>
  <si>
    <t>Charge Heating Tgt Water Temp
放电制热目标水温</t>
    <phoneticPr fontId="43" type="noConversion"/>
  </si>
  <si>
    <t>Shut Down Tgt Water Temp
关机目标水温</t>
    <phoneticPr fontId="43" type="noConversion"/>
  </si>
  <si>
    <t>Self-Circulating Temp Diff Exit Thrd
自循环电芯温差退出阈值</t>
    <phoneticPr fontId="43" type="noConversion"/>
  </si>
  <si>
    <t>Standby Heating Tgt Water Temp
静置制热目标水温</t>
    <phoneticPr fontId="43" type="noConversion"/>
  </si>
  <si>
    <t>Charge Cooling Max Temp Entry Thrd
充电制冷最高温度独立进入阈值</t>
    <phoneticPr fontId="43" type="noConversion"/>
  </si>
  <si>
    <t>Charge Cooling Max Temp Exit Thrd
充电制冷最高温度退出阈值</t>
    <phoneticPr fontId="43" type="noConversion"/>
  </si>
  <si>
    <t>Charge Cooling Avg Temp Exit Thrd
充电制冷平均温度退出阈值</t>
    <phoneticPr fontId="43" type="noConversion"/>
  </si>
  <si>
    <t>Discharge Cooling Max Temp Entry Thrd
放电制冷最高温度独立进入阈值</t>
    <phoneticPr fontId="43" type="noConversion"/>
  </si>
  <si>
    <t>Discharge Cooling Max Temp Exit Thrd
放电制冷最高温度退出阈值</t>
    <phoneticPr fontId="43" type="noConversion"/>
  </si>
  <si>
    <t>Discharge Cooling Avg Temp Exit Thrd
放电制冷平均温度退出阈值</t>
    <phoneticPr fontId="43" type="noConversion"/>
  </si>
  <si>
    <t>Standby Cooling Max Temp Entry Thrd
静置制冷最高温度独立进入阈值</t>
    <phoneticPr fontId="43" type="noConversion"/>
  </si>
  <si>
    <t>Charge Cooling Max Temp Comb Entry Low Thrd
充电制冷最高温度组合进入下限阈值</t>
    <phoneticPr fontId="43" type="noConversion"/>
  </si>
  <si>
    <t>Charge Cooling Max Temp Comb Entry High Thrd
充电制冷最高温度组合进入上限阈值</t>
    <phoneticPr fontId="43" type="noConversion"/>
  </si>
  <si>
    <t>Charge Cooling Avg Temp Comb Entry Thrd
充电制冷平均温度组合进入阈值</t>
    <phoneticPr fontId="43" type="noConversion"/>
  </si>
  <si>
    <t>Discharge Cooling Max Temp Comb Entry Low Thrd
放电制冷最高温度组合进入下限阈值</t>
    <phoneticPr fontId="43" type="noConversion"/>
  </si>
  <si>
    <t>Discharge Cooling Max Temp Comb Entry High Thrd
放电制冷最高温度组合进入上限阈值</t>
    <phoneticPr fontId="43" type="noConversion"/>
  </si>
  <si>
    <t>Discharge Cooling Avg Temp Comb Entry Thrd
放电制冷平均温度组合进入阈值</t>
    <phoneticPr fontId="43" type="noConversion"/>
  </si>
  <si>
    <t>Standby Cooling Max Temp Comb Entry Low Thrd
静置制冷最高温度组合进入下限阈值</t>
    <phoneticPr fontId="43" type="noConversion"/>
  </si>
  <si>
    <t>Standby Cooling Max Temp Comb Entry High Thrd
静置制冷最高温度组合进入上限阈值</t>
    <phoneticPr fontId="43" type="noConversion"/>
  </si>
  <si>
    <t>Standby Cooling Avg Temp Comb Entry Thrd
静置制冷平均温度组合进入阈值</t>
    <phoneticPr fontId="43" type="noConversion"/>
  </si>
  <si>
    <t>Standby Cooling Max Temp Exit Thrd
静置制冷最高温度退出阈值</t>
    <phoneticPr fontId="43" type="noConversion"/>
  </si>
  <si>
    <t>Standby Cooling Avg Temp Exit Thrd
静置制冷平均温度退出阈值</t>
    <phoneticPr fontId="43" type="noConversion"/>
  </si>
  <si>
    <t>Charge Heating Min Temp Entry Thrd
充电制热最低温度进入阈值</t>
    <phoneticPr fontId="43" type="noConversion"/>
  </si>
  <si>
    <t>Charge Heating Avg Temp Entry Thrd
充电制热平均温度进入阈值</t>
    <phoneticPr fontId="43" type="noConversion"/>
  </si>
  <si>
    <t>Charge Heating Min Temp Exit Thrd
充电制热最低温度退出阈值</t>
    <phoneticPr fontId="43" type="noConversion"/>
  </si>
  <si>
    <t>Charge Heating Avg Temp Exit Thrd
充电制热平均温度退出阈值</t>
    <phoneticPr fontId="43" type="noConversion"/>
  </si>
  <si>
    <t>Discharge Heating Min Temp Entry Thrd
放电制热最低温度进入阈值</t>
    <phoneticPr fontId="43" type="noConversion"/>
  </si>
  <si>
    <t>Discharge Heating Avg Temp Entry Thrd
放电制热平均温度进入阈值</t>
    <phoneticPr fontId="43" type="noConversion"/>
  </si>
  <si>
    <t>Discharge Heating Min Temp Exit Thrd
放电制热最低温度退出阈值</t>
    <phoneticPr fontId="43" type="noConversion"/>
  </si>
  <si>
    <t>Discharge Heating Avg Temp Exit Thrd
放电制热平均温度退出阈值</t>
    <phoneticPr fontId="43" type="noConversion"/>
  </si>
  <si>
    <t>Standby Heating Min Temp Entry Thrd
静置制热最低温度进入阈值</t>
    <phoneticPr fontId="43" type="noConversion"/>
  </si>
  <si>
    <t>Standby Heating Avg Temp Entry Thrd
静置制热平均温度进入阈值</t>
    <phoneticPr fontId="43" type="noConversion"/>
  </si>
  <si>
    <t>Standby Heating Min Temp Exit Thrd
静置制热最低温度退出阈值</t>
    <phoneticPr fontId="43" type="noConversion"/>
  </si>
  <si>
    <t>Standby Heating Avg Temp Exit Thrd
静置制热平均温度退出阈值</t>
    <phoneticPr fontId="43" type="noConversion"/>
  </si>
  <si>
    <t>Self-Circulating Temp Diff Entry Thrd 
自循环电芯温差进入阈值</t>
    <phoneticPr fontId="43" type="noConversion"/>
  </si>
  <si>
    <t>BSWSAFEActBalChipFltInfoNbr[RACK_AFE_NUMBER_MAX]</t>
    <phoneticPr fontId="50" type="noConversion"/>
  </si>
  <si>
    <t>AFE Active Balance HW Flt Info (up to 32 AFEs)
AFE主动均衡模块硬件故障详细信息（最多32个）</t>
    <phoneticPr fontId="50" type="noConversion"/>
  </si>
  <si>
    <t>33-64</t>
    <phoneticPr fontId="50" type="noConversion"/>
  </si>
  <si>
    <t>Sheet "Comm Matrix"：
1、BBMS_SumInfo 帧：删除信号BBMS_SetInverterSt（Byte 7）
2、ParaThr_SOX 帧：删除SOH低一、二级故障阈值（Byte 9-12）
3、HMI_TMSCtrlWord/TMS_SumInfo/ParaThr_TMS 帧：配合热管理重构优化
4、RBMS_Debug 帧：新增信号BSWSAFEActBalChipFltInfoNbr（Byte 33-64）</t>
    <phoneticPr fontId="43" type="noConversion"/>
  </si>
  <si>
    <t>Discharge Heating Tgt Water Temp
放电制热目标水温</t>
    <phoneticPr fontId="43" type="noConversion"/>
  </si>
  <si>
    <t>Enum
0x0: Cooling;制冷
0x1: Heating;制热
0x2: Self-Circulation;自循环
0x3: Shut Down;关机</t>
    <phoneticPr fontId="50" type="noConversion"/>
  </si>
  <si>
    <t>TMS_BatIStNbr</t>
    <phoneticPr fontId="50" type="noConversion"/>
  </si>
  <si>
    <r>
      <rPr>
        <sz val="10"/>
        <color theme="1"/>
        <rFont val="等线"/>
        <family val="3"/>
        <charset val="134"/>
      </rPr>
      <t>BMS Request Mode
BMS请求模式</t>
    </r>
    <phoneticPr fontId="43" type="noConversion"/>
  </si>
  <si>
    <r>
      <t>TMS Working Mode
TMS</t>
    </r>
    <r>
      <rPr>
        <sz val="10"/>
        <color rgb="FF000000"/>
        <rFont val="等线"/>
        <family val="3"/>
        <charset val="134"/>
      </rPr>
      <t>工作模式</t>
    </r>
    <phoneticPr fontId="43" type="noConversion"/>
  </si>
  <si>
    <t>ScTMCR_BatIStNbr</t>
    <phoneticPr fontId="50" type="noConversion"/>
  </si>
  <si>
    <t>TMS状态,TMS Status;[1,13]</t>
  </si>
  <si>
    <t>TMS状态,TMS Status;[1,14]</t>
  </si>
  <si>
    <t>TMS状态,TMS Status;[1,15]</t>
  </si>
  <si>
    <t>TMS Managed Rack Charge Status
TMS管理簇汇总充放电状态</t>
    <phoneticPr fontId="50" type="noConversion"/>
  </si>
  <si>
    <t>Enum
0x0: Standby;静置
0x1: Charge;充电
0x2: Discharge;放电</t>
    <phoneticPr fontId="50" type="noConversion"/>
  </si>
  <si>
    <t>ScTHMC_RqrdTMSSt</t>
    <phoneticPr fontId="50" type="noConversion"/>
  </si>
  <si>
    <t>V1.0.57</t>
    <phoneticPr fontId="43" type="noConversion"/>
  </si>
  <si>
    <t>Bit0[1]: Rack Enable Status;Rack使能状态
Signal;
0X0-Disabled;
0X1-Enabled;
Bit1[1]: Rack Online Status;Rack在线状态
Signal;
0X0-Offline;
0X1-Online;
Bit2-Bit3[1]: Rack Control Mode Status;Rack控制模式
Signal;
0X1-Debug;
0X2-BMS Control;
0X3-EMS Control;
Bit4[1]: Overall Balancing Status;均衡状态
Signal;
0X0-Stop;
0X1-Ongoing;
Bit5[1]: Green Light Status;绿灯状态
Signal;
0X0-Off;
0X1-On;
Bit6[1]: Yellow Light Status;黄灯状态
Signal;
0X0-Off;
0X1-On;
Bit7[1]: Red Light Status;红灯状态
Signal;
0X0-Off;
0X1-On;</t>
    <phoneticPr fontId="50" type="noConversion"/>
  </si>
  <si>
    <t>kWh</t>
    <phoneticPr fontId="50" type="noConversion"/>
  </si>
  <si>
    <t>RBMS_DayAccuChCapAh</t>
    <phoneticPr fontId="50" type="noConversion"/>
  </si>
  <si>
    <t>RBMS_DayAccuDchCapAh</t>
    <phoneticPr fontId="50" type="noConversion"/>
  </si>
  <si>
    <t>RBMS_DayAccuChEngkWh</t>
    <phoneticPr fontId="50" type="noConversion"/>
  </si>
  <si>
    <t>RBMS_DayAccuDchEngkWh</t>
    <phoneticPr fontId="50" type="noConversion"/>
  </si>
  <si>
    <t>Daily Accu Charge Cap (Ah)
当日累计充电容量 (Ah)</t>
    <phoneticPr fontId="50" type="noConversion"/>
  </si>
  <si>
    <t>Daily Accu Discharge Cap (Ah)
当日累计放电容量 (Ah)</t>
    <phoneticPr fontId="50" type="noConversion"/>
  </si>
  <si>
    <t>Daily Accu Charge Eng (kWh)
当日累计充电能量 (kWh)</t>
    <phoneticPr fontId="50" type="noConversion"/>
  </si>
  <si>
    <t>Daily Accu Discharge Eng (kWh)
当日累计放电能量 (kWh)</t>
    <phoneticPr fontId="50" type="noConversion"/>
  </si>
  <si>
    <t>Reserved5[36]</t>
    <phoneticPr fontId="43" type="noConversion"/>
  </si>
  <si>
    <t>75-110</t>
    <phoneticPr fontId="50" type="noConversion"/>
  </si>
  <si>
    <t>Rack历史信息,Rack History Information;累计[4,2,10]</t>
    <phoneticPr fontId="50" type="noConversion"/>
  </si>
  <si>
    <t>Rack历史信息,Rack History Information;累计[4,2,11]</t>
  </si>
  <si>
    <t>Rack历史信息,Rack History Information;累计[4,2,12]</t>
  </si>
  <si>
    <t>Rack历史信息,Rack History Information;累计[4,2,13]</t>
  </si>
  <si>
    <t>BSWSRackDayAccuChrgAh</t>
    <phoneticPr fontId="50" type="noConversion"/>
  </si>
  <si>
    <t>BSWSRackDayAccuDisChrgAh</t>
    <phoneticPr fontId="50" type="noConversion"/>
  </si>
  <si>
    <t>BSWSRackDayAccuChrgkWh</t>
    <phoneticPr fontId="50" type="noConversion"/>
  </si>
  <si>
    <t>BSWSRackDayAccuDisChrgkWh</t>
    <phoneticPr fontId="50" type="noConversion"/>
  </si>
  <si>
    <t>ScEMCT_DayAccuChCapAh</t>
    <phoneticPr fontId="50" type="noConversion"/>
  </si>
  <si>
    <t>ScEMCT_DayAccuDischCapAh</t>
    <phoneticPr fontId="50" type="noConversion"/>
  </si>
  <si>
    <t>ScEMCT_DayAccuChEngKwh</t>
    <phoneticPr fontId="50" type="noConversion"/>
  </si>
  <si>
    <t>ScEMCT_DayAccuDischEngKwh</t>
    <phoneticPr fontId="50" type="noConversion"/>
  </si>
  <si>
    <t>BBMS_DayAccuChCapAh</t>
    <phoneticPr fontId="50" type="noConversion"/>
  </si>
  <si>
    <t>BBMS_DayAccuDchCapAh</t>
    <phoneticPr fontId="50" type="noConversion"/>
  </si>
  <si>
    <t>BBMS_DayAccuChEngkWh</t>
    <phoneticPr fontId="50" type="noConversion"/>
  </si>
  <si>
    <t>BBMS_DayAccuDchEngkWh</t>
    <phoneticPr fontId="50" type="noConversion"/>
  </si>
  <si>
    <t>ScBSOX_BankDayAccuChCapAh</t>
    <phoneticPr fontId="43" type="noConversion"/>
  </si>
  <si>
    <t>ScBSOX_BankDayAccuChEngkWh</t>
    <phoneticPr fontId="43" type="noConversion"/>
  </si>
  <si>
    <t>ScBSOX_BankDayAccuDischCapAh</t>
    <phoneticPr fontId="43" type="noConversion"/>
  </si>
  <si>
    <t>ScBSOX_BankDayAccuDischEngkWh</t>
    <phoneticPr fontId="43" type="noConversion"/>
  </si>
  <si>
    <t>Bank历史信息,Bank History Information;累计[4,1,5]</t>
    <phoneticPr fontId="50" type="noConversion"/>
  </si>
  <si>
    <t>Bank历史信息,Bank History Information;累计[4,1,6]</t>
  </si>
  <si>
    <t>Bank历史信息,Bank History Information;累计[4,1,7]</t>
  </si>
  <si>
    <t>Bank历史信息,Bank History Information;累计[4,1,8]</t>
  </si>
  <si>
    <t>Sheet "Comm Matrix"：
1、RBMS_SumInfo 帧：修改 RBMS_St 信号值描述；新增当日累积充放电容量、能量（Byte 59-74）
2、BBMS_SumInfo 帧：新增当日累积充放电容量、能量（Byte 131-146）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</si>
</sst>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_);[Red]\(0\)"/>
    <numFmt numFmtId="179" formatCode="0_ "/>
  </numFmts>
  <fonts count="79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z val="9.75"/>
      <color rgb="FF1F2329"/>
      <name val="等线"/>
      <family val="2"/>
      <scheme val="minor"/>
    </font>
    <font>
      <sz val="9.75"/>
      <color rgb="FFF54A45"/>
      <name val="等线"/>
      <family val="2"/>
      <scheme val="minor"/>
    </font>
    <font>
      <sz val="9.75"/>
      <color rgb="FFFF0000"/>
      <name val="等线"/>
      <family val="2"/>
      <scheme val="minor"/>
    </font>
    <font>
      <sz val="10.5"/>
      <color rgb="FF000000"/>
      <name val="Calibri"/>
      <family val="2"/>
    </font>
    <font>
      <sz val="25.5"/>
      <color rgb="FF000000"/>
      <name val="Calibri"/>
      <family val="2"/>
    </font>
    <font>
      <b/>
      <sz val="25.5"/>
      <color rgb="FF000000"/>
      <name val="Calibri"/>
      <family val="2"/>
    </font>
    <font>
      <sz val="18"/>
      <color rgb="FF000000"/>
      <name val="Calibri"/>
      <family val="2"/>
    </font>
    <font>
      <sz val="15.75"/>
      <color rgb="FF000000"/>
      <name val="Calibri"/>
      <family val="2"/>
    </font>
    <font>
      <sz val="13.5"/>
      <color rgb="FF000000"/>
      <name val="Calibri"/>
      <family val="2"/>
    </font>
    <font>
      <b/>
      <sz val="12"/>
      <color rgb="FF000000"/>
      <name val="Calibri"/>
      <family val="2"/>
    </font>
    <font>
      <b/>
      <sz val="9.75"/>
      <color rgb="FF000000"/>
      <name val="Calibri"/>
      <family val="2"/>
    </font>
    <font>
      <sz val="9.75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theme="1"/>
      <name val="等线"/>
      <family val="2"/>
      <scheme val="minor"/>
    </font>
    <font>
      <sz val="10"/>
      <color theme="1"/>
      <name val="宋体"/>
      <family val="3"/>
      <charset val="134"/>
    </font>
    <font>
      <sz val="9.75"/>
      <name val="等线"/>
      <family val="2"/>
      <scheme val="minor"/>
    </font>
    <font>
      <sz val="9"/>
      <name val="宋体"/>
      <family val="3"/>
      <charset val="134"/>
    </font>
    <font>
      <b/>
      <sz val="9.75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2"/>
      <scheme val="minor"/>
    </font>
    <font>
      <b/>
      <sz val="9.75"/>
      <color rgb="FF000000"/>
      <name val="宋体"/>
      <family val="3"/>
      <charset val="134"/>
    </font>
    <font>
      <sz val="9.75"/>
      <color rgb="FF000000"/>
      <name val="宋体"/>
      <family val="3"/>
      <charset val="134"/>
    </font>
    <font>
      <b/>
      <sz val="9.75"/>
      <color rgb="FF000000"/>
      <name val="等线"/>
      <family val="2"/>
    </font>
    <font>
      <sz val="10"/>
      <color theme="1"/>
      <name val="等线"/>
      <family val="2"/>
      <charset val="134"/>
      <scheme val="minor"/>
    </font>
    <font>
      <sz val="9.75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.75"/>
      <name val="Calibri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9.75"/>
      <color rgb="FF000000"/>
      <name val="等线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宋体"/>
      <family val="3"/>
      <charset val="134"/>
    </font>
    <font>
      <sz val="9.75"/>
      <color theme="1"/>
      <name val="等线"/>
      <family val="2"/>
      <scheme val="minor"/>
    </font>
    <font>
      <sz val="10"/>
      <name val="等线"/>
      <family val="3"/>
      <charset val="134"/>
    </font>
    <font>
      <sz val="12"/>
      <color rgb="FF000000"/>
      <name val="宋体"/>
      <family val="3"/>
      <charset val="134"/>
    </font>
    <font>
      <sz val="9.75"/>
      <color rgb="FF000000"/>
      <name val="微软雅黑"/>
      <family val="2"/>
      <charset val="134"/>
    </font>
    <font>
      <sz val="9.75"/>
      <color rgb="FF000000"/>
      <name val="等线"/>
      <family val="2"/>
    </font>
    <font>
      <sz val="9.75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.75"/>
      <color theme="1"/>
      <name val="等线"/>
      <family val="3"/>
      <charset val="134"/>
      <scheme val="minor"/>
    </font>
    <font>
      <sz val="9.75"/>
      <color rgb="FF1F2329"/>
      <name val="等线"/>
      <family val="3"/>
      <charset val="134"/>
      <scheme val="minor"/>
    </font>
    <font>
      <sz val="9.75"/>
      <color rgb="FF00000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rgb="FF000000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EE0E3"/>
      </patternFill>
    </fill>
    <fill>
      <patternFill patternType="solid">
        <fgColor rgb="FFBACEFD"/>
      </patternFill>
    </fill>
    <fill>
      <patternFill patternType="solid">
        <fgColor rgb="FFBACE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6">
    <xf numFmtId="0" fontId="0" fillId="0" borderId="0" applyNumberFormat="0" applyFont="0" applyFill="0" applyBorder="0" applyProtection="0"/>
    <xf numFmtId="0" fontId="44" fillId="0" borderId="30"/>
    <xf numFmtId="0" fontId="46" fillId="0" borderId="30"/>
    <xf numFmtId="0" fontId="47" fillId="0" borderId="30">
      <alignment vertical="center"/>
    </xf>
    <xf numFmtId="0" fontId="57" fillId="0" borderId="30">
      <alignment vertical="center"/>
    </xf>
    <xf numFmtId="0" fontId="61" fillId="0" borderId="30" applyNumberFormat="0" applyFont="0" applyFill="0" applyBorder="0" applyProtection="0"/>
  </cellStyleXfs>
  <cellXfs count="445">
    <xf numFmtId="0" fontId="0" fillId="0" borderId="0" xfId="0" applyAlignment="1">
      <alignment vertical="center"/>
    </xf>
    <xf numFmtId="176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/>
    </xf>
    <xf numFmtId="0" fontId="15" fillId="3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center" vertical="center"/>
    </xf>
    <xf numFmtId="0" fontId="28" fillId="0" borderId="28" xfId="0" applyFont="1" applyBorder="1" applyAlignment="1">
      <alignment vertical="center"/>
    </xf>
    <xf numFmtId="0" fontId="29" fillId="0" borderId="29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49" fontId="10" fillId="9" borderId="35" xfId="0" applyNumberFormat="1" applyFont="1" applyFill="1" applyBorder="1" applyAlignment="1">
      <alignment horizontal="center" vertical="center" wrapText="1"/>
    </xf>
    <xf numFmtId="0" fontId="31" fillId="9" borderId="35" xfId="0" applyFont="1" applyFill="1" applyBorder="1" applyAlignment="1">
      <alignment horizontal="center" vertical="center" wrapText="1"/>
    </xf>
    <xf numFmtId="0" fontId="0" fillId="0" borderId="30" xfId="0" applyBorder="1"/>
    <xf numFmtId="49" fontId="10" fillId="9" borderId="34" xfId="2" applyNumberFormat="1" applyFont="1" applyFill="1" applyBorder="1" applyAlignment="1">
      <alignment horizontal="center" vertical="center" wrapText="1"/>
    </xf>
    <xf numFmtId="1" fontId="10" fillId="9" borderId="34" xfId="2" applyNumberFormat="1" applyFont="1" applyFill="1" applyBorder="1" applyAlignment="1">
      <alignment horizontal="center" vertical="center" wrapText="1"/>
    </xf>
    <xf numFmtId="0" fontId="51" fillId="9" borderId="34" xfId="2" applyFont="1" applyFill="1" applyBorder="1" applyAlignment="1">
      <alignment horizontal="center" vertical="center" wrapText="1"/>
    </xf>
    <xf numFmtId="0" fontId="3" fillId="9" borderId="34" xfId="2" applyFont="1" applyFill="1" applyBorder="1" applyAlignment="1">
      <alignment horizontal="center" vertical="center"/>
    </xf>
    <xf numFmtId="0" fontId="46" fillId="0" borderId="30" xfId="2" applyAlignment="1">
      <alignment vertical="center"/>
    </xf>
    <xf numFmtId="49" fontId="3" fillId="11" borderId="34" xfId="2" applyNumberFormat="1" applyFont="1" applyFill="1" applyBorder="1" applyAlignment="1">
      <alignment horizontal="left" vertical="center" wrapText="1"/>
    </xf>
    <xf numFmtId="0" fontId="3" fillId="10" borderId="34" xfId="2" applyFont="1" applyFill="1" applyBorder="1" applyAlignment="1">
      <alignment horizontal="center" vertical="center" wrapText="1"/>
    </xf>
    <xf numFmtId="49" fontId="3" fillId="10" borderId="34" xfId="2" applyNumberFormat="1" applyFont="1" applyFill="1" applyBorder="1" applyAlignment="1">
      <alignment horizontal="left" vertical="center" wrapText="1"/>
    </xf>
    <xf numFmtId="1" fontId="3" fillId="10" borderId="34" xfId="2" applyNumberFormat="1" applyFont="1" applyFill="1" applyBorder="1" applyAlignment="1">
      <alignment horizontal="center" vertical="center" wrapText="1"/>
    </xf>
    <xf numFmtId="49" fontId="3" fillId="10" borderId="34" xfId="2" applyNumberFormat="1" applyFont="1" applyFill="1" applyBorder="1" applyAlignment="1">
      <alignment horizontal="center" vertical="center" wrapText="1"/>
    </xf>
    <xf numFmtId="49" fontId="3" fillId="10" borderId="34" xfId="2" applyNumberFormat="1" applyFont="1" applyFill="1" applyBorder="1" applyAlignment="1">
      <alignment vertical="center" wrapText="1"/>
    </xf>
    <xf numFmtId="0" fontId="3" fillId="10" borderId="34" xfId="2" applyFont="1" applyFill="1" applyBorder="1" applyAlignment="1">
      <alignment horizontal="left" vertical="center"/>
    </xf>
    <xf numFmtId="0" fontId="3" fillId="10" borderId="34" xfId="2" applyFont="1" applyFill="1" applyBorder="1" applyAlignment="1">
      <alignment vertical="center"/>
    </xf>
    <xf numFmtId="49" fontId="3" fillId="0" borderId="34" xfId="2" applyNumberFormat="1" applyFont="1" applyBorder="1" applyAlignment="1">
      <alignment horizontal="left" vertical="center" wrapText="1"/>
    </xf>
    <xf numFmtId="49" fontId="3" fillId="0" borderId="34" xfId="2" applyNumberFormat="1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/>
    </xf>
    <xf numFmtId="1" fontId="3" fillId="0" borderId="34" xfId="2" applyNumberFormat="1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 wrapText="1"/>
    </xf>
    <xf numFmtId="49" fontId="30" fillId="0" borderId="34" xfId="2" applyNumberFormat="1" applyFont="1" applyBorder="1" applyAlignment="1">
      <alignment vertical="center" wrapText="1"/>
    </xf>
    <xf numFmtId="0" fontId="3" fillId="0" borderId="34" xfId="2" applyFont="1" applyBorder="1" applyAlignment="1">
      <alignment horizontal="left" vertical="center" wrapText="1"/>
    </xf>
    <xf numFmtId="0" fontId="3" fillId="0" borderId="34" xfId="2" applyFont="1" applyBorder="1" applyAlignment="1">
      <alignment horizontal="left" vertical="center"/>
    </xf>
    <xf numFmtId="0" fontId="3" fillId="0" borderId="34" xfId="2" applyFont="1" applyBorder="1" applyAlignment="1">
      <alignment vertical="center"/>
    </xf>
    <xf numFmtId="49" fontId="3" fillId="0" borderId="34" xfId="2" applyNumberFormat="1" applyFont="1" applyBorder="1" applyAlignment="1">
      <alignment vertical="center" wrapText="1"/>
    </xf>
    <xf numFmtId="0" fontId="3" fillId="0" borderId="34" xfId="2" applyFont="1" applyBorder="1" applyAlignment="1">
      <alignment vertical="center" wrapText="1"/>
    </xf>
    <xf numFmtId="49" fontId="30" fillId="0" borderId="34" xfId="2" applyNumberFormat="1" applyFont="1" applyBorder="1" applyAlignment="1">
      <alignment horizontal="left" vertical="center" wrapText="1"/>
    </xf>
    <xf numFmtId="0" fontId="3" fillId="11" borderId="34" xfId="2" applyFont="1" applyFill="1" applyBorder="1" applyAlignment="1">
      <alignment vertical="center" wrapText="1"/>
    </xf>
    <xf numFmtId="0" fontId="3" fillId="10" borderId="34" xfId="2" applyFont="1" applyFill="1" applyBorder="1" applyAlignment="1">
      <alignment vertical="center" wrapText="1"/>
    </xf>
    <xf numFmtId="178" fontId="3" fillId="0" borderId="34" xfId="2" applyNumberFormat="1" applyFont="1" applyBorder="1" applyAlignment="1">
      <alignment horizontal="center" vertical="center" wrapText="1"/>
    </xf>
    <xf numFmtId="49" fontId="3" fillId="0" borderId="36" xfId="2" applyNumberFormat="1" applyFont="1" applyBorder="1" applyAlignment="1">
      <alignment horizontal="left" vertical="center" wrapText="1"/>
    </xf>
    <xf numFmtId="49" fontId="3" fillId="0" borderId="36" xfId="2" applyNumberFormat="1" applyFont="1" applyBorder="1" applyAlignment="1">
      <alignment vertical="center" wrapText="1"/>
    </xf>
    <xf numFmtId="49" fontId="3" fillId="0" borderId="36" xfId="2" applyNumberFormat="1" applyFont="1" applyBorder="1" applyAlignment="1">
      <alignment horizontal="center" vertical="center" wrapText="1"/>
    </xf>
    <xf numFmtId="0" fontId="3" fillId="0" borderId="36" xfId="2" applyFont="1" applyBorder="1" applyAlignment="1">
      <alignment horizontal="left" vertical="center"/>
    </xf>
    <xf numFmtId="0" fontId="3" fillId="0" borderId="36" xfId="2" applyFont="1" applyBorder="1" applyAlignment="1">
      <alignment horizontal="center" vertical="center" wrapText="1"/>
    </xf>
    <xf numFmtId="0" fontId="3" fillId="0" borderId="36" xfId="2" applyFont="1" applyBorder="1" applyAlignment="1">
      <alignment vertical="center"/>
    </xf>
    <xf numFmtId="0" fontId="46" fillId="11" borderId="35" xfId="2" applyFill="1" applyBorder="1" applyAlignment="1">
      <alignment horizontal="center" vertical="center"/>
    </xf>
    <xf numFmtId="49" fontId="33" fillId="10" borderId="34" xfId="2" applyNumberFormat="1" applyFont="1" applyFill="1" applyBorder="1" applyAlignment="1">
      <alignment vertical="center" wrapText="1"/>
    </xf>
    <xf numFmtId="49" fontId="33" fillId="0" borderId="34" xfId="2" applyNumberFormat="1" applyFont="1" applyBorder="1" applyAlignment="1">
      <alignment vertical="center" wrapText="1"/>
    </xf>
    <xf numFmtId="49" fontId="30" fillId="0" borderId="36" xfId="2" applyNumberFormat="1" applyFont="1" applyBorder="1" applyAlignment="1">
      <alignment vertical="center" wrapText="1"/>
    </xf>
    <xf numFmtId="0" fontId="3" fillId="0" borderId="35" xfId="2" applyFont="1" applyBorder="1" applyAlignment="1">
      <alignment vertical="center"/>
    </xf>
    <xf numFmtId="0" fontId="3" fillId="0" borderId="35" xfId="2" applyFont="1" applyBorder="1" applyAlignment="1">
      <alignment horizontal="center" vertical="center"/>
    </xf>
    <xf numFmtId="0" fontId="3" fillId="0" borderId="35" xfId="2" applyFont="1" applyBorder="1" applyAlignment="1">
      <alignment horizontal="left" vertical="center"/>
    </xf>
    <xf numFmtId="0" fontId="3" fillId="0" borderId="35" xfId="2" applyFont="1" applyBorder="1" applyAlignment="1">
      <alignment horizontal="center" vertical="center" wrapText="1"/>
    </xf>
    <xf numFmtId="49" fontId="3" fillId="0" borderId="35" xfId="2" applyNumberFormat="1" applyFont="1" applyBorder="1" applyAlignment="1">
      <alignment horizontal="center" vertical="center" wrapText="1"/>
    </xf>
    <xf numFmtId="1" fontId="3" fillId="0" borderId="35" xfId="2" applyNumberFormat="1" applyFont="1" applyBorder="1" applyAlignment="1">
      <alignment horizontal="center" vertical="center" wrapText="1"/>
    </xf>
    <xf numFmtId="49" fontId="3" fillId="0" borderId="35" xfId="2" applyNumberFormat="1" applyFont="1" applyBorder="1" applyAlignment="1">
      <alignment horizontal="left" vertical="center" wrapText="1"/>
    </xf>
    <xf numFmtId="49" fontId="3" fillId="0" borderId="35" xfId="2" applyNumberFormat="1" applyFont="1" applyBorder="1" applyAlignment="1">
      <alignment vertical="center" wrapText="1"/>
    </xf>
    <xf numFmtId="49" fontId="30" fillId="0" borderId="35" xfId="2" applyNumberFormat="1" applyFont="1" applyBorder="1" applyAlignment="1">
      <alignment vertical="center" wrapText="1"/>
    </xf>
    <xf numFmtId="49" fontId="3" fillId="10" borderId="37" xfId="2" applyNumberFormat="1" applyFont="1" applyFill="1" applyBorder="1" applyAlignment="1">
      <alignment horizontal="left" vertical="center" wrapText="1"/>
    </xf>
    <xf numFmtId="0" fontId="3" fillId="0" borderId="37" xfId="2" applyFont="1" applyBorder="1" applyAlignment="1">
      <alignment vertical="center"/>
    </xf>
    <xf numFmtId="0" fontId="3" fillId="0" borderId="37" xfId="2" applyFont="1" applyBorder="1" applyAlignment="1">
      <alignment horizontal="left" vertical="center"/>
    </xf>
    <xf numFmtId="49" fontId="3" fillId="0" borderId="37" xfId="2" applyNumberFormat="1" applyFont="1" applyBorder="1" applyAlignment="1">
      <alignment horizontal="left" vertical="center" wrapText="1"/>
    </xf>
    <xf numFmtId="49" fontId="3" fillId="0" borderId="37" xfId="2" applyNumberFormat="1" applyFont="1" applyBorder="1" applyAlignment="1">
      <alignment horizontal="center" vertical="center" wrapText="1"/>
    </xf>
    <xf numFmtId="0" fontId="46" fillId="0" borderId="35" xfId="2" applyBorder="1" applyAlignment="1">
      <alignment vertical="center"/>
    </xf>
    <xf numFmtId="0" fontId="3" fillId="0" borderId="35" xfId="2" applyFont="1" applyBorder="1" applyAlignment="1">
      <alignment horizontal="left" vertical="center" wrapText="1"/>
    </xf>
    <xf numFmtId="0" fontId="46" fillId="0" borderId="35" xfId="2" applyBorder="1" applyAlignment="1">
      <alignment horizontal="left" vertical="center"/>
    </xf>
    <xf numFmtId="0" fontId="46" fillId="0" borderId="30" xfId="2" applyAlignment="1">
      <alignment vertical="center" wrapText="1"/>
    </xf>
    <xf numFmtId="0" fontId="46" fillId="0" borderId="30" xfId="2" applyAlignment="1">
      <alignment horizontal="center" vertical="center"/>
    </xf>
    <xf numFmtId="0" fontId="46" fillId="0" borderId="30" xfId="2" applyAlignment="1">
      <alignment horizontal="left" vertical="center"/>
    </xf>
    <xf numFmtId="49" fontId="56" fillId="9" borderId="35" xfId="0" applyNumberFormat="1" applyFont="1" applyFill="1" applyBorder="1" applyAlignment="1">
      <alignment horizontal="center" vertical="center" wrapText="1"/>
    </xf>
    <xf numFmtId="176" fontId="3" fillId="0" borderId="32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 wrapText="1"/>
    </xf>
    <xf numFmtId="0" fontId="3" fillId="11" borderId="34" xfId="2" applyFont="1" applyFill="1" applyBorder="1" applyAlignment="1">
      <alignment horizontal="center" vertical="center" wrapText="1"/>
    </xf>
    <xf numFmtId="0" fontId="46" fillId="11" borderId="35" xfId="2" applyFill="1" applyBorder="1" applyAlignment="1">
      <alignment vertical="center"/>
    </xf>
    <xf numFmtId="49" fontId="3" fillId="11" borderId="35" xfId="2" applyNumberFormat="1" applyFont="1" applyFill="1" applyBorder="1" applyAlignment="1">
      <alignment horizontal="center" vertical="center" wrapText="1"/>
    </xf>
    <xf numFmtId="0" fontId="3" fillId="11" borderId="35" xfId="2" applyFont="1" applyFill="1" applyBorder="1" applyAlignment="1">
      <alignment horizontal="center" vertical="center" wrapText="1"/>
    </xf>
    <xf numFmtId="0" fontId="46" fillId="11" borderId="35" xfId="2" applyFill="1" applyBorder="1" applyAlignment="1">
      <alignment vertical="center" wrapText="1"/>
    </xf>
    <xf numFmtId="0" fontId="46" fillId="11" borderId="35" xfId="2" applyFill="1" applyBorder="1" applyAlignment="1">
      <alignment horizontal="left" vertical="center"/>
    </xf>
    <xf numFmtId="49" fontId="3" fillId="11" borderId="35" xfId="2" applyNumberFormat="1" applyFont="1" applyFill="1" applyBorder="1" applyAlignment="1">
      <alignment horizontal="left" vertical="center" wrapText="1"/>
    </xf>
    <xf numFmtId="1" fontId="3" fillId="11" borderId="35" xfId="2" applyNumberFormat="1" applyFont="1" applyFill="1" applyBorder="1" applyAlignment="1">
      <alignment horizontal="center" vertical="center" wrapText="1"/>
    </xf>
    <xf numFmtId="49" fontId="3" fillId="11" borderId="35" xfId="2" applyNumberFormat="1" applyFont="1" applyFill="1" applyBorder="1" applyAlignment="1">
      <alignment vertical="center" wrapText="1"/>
    </xf>
    <xf numFmtId="0" fontId="3" fillId="11" borderId="35" xfId="2" applyFont="1" applyFill="1" applyBorder="1" applyAlignment="1">
      <alignment horizontal="left" vertical="center"/>
    </xf>
    <xf numFmtId="0" fontId="3" fillId="11" borderId="35" xfId="2" applyFont="1" applyFill="1" applyBorder="1" applyAlignment="1">
      <alignment vertical="center"/>
    </xf>
    <xf numFmtId="0" fontId="3" fillId="0" borderId="37" xfId="2" applyFont="1" applyBorder="1" applyAlignment="1">
      <alignment horizontal="left" vertical="center" wrapText="1"/>
    </xf>
    <xf numFmtId="0" fontId="3" fillId="0" borderId="37" xfId="2" applyFont="1" applyBorder="1" applyAlignment="1">
      <alignment horizontal="center" vertical="center"/>
    </xf>
    <xf numFmtId="1" fontId="3" fillId="0" borderId="37" xfId="2" applyNumberFormat="1" applyFont="1" applyBorder="1" applyAlignment="1">
      <alignment horizontal="center" vertical="center" wrapText="1"/>
    </xf>
    <xf numFmtId="0" fontId="3" fillId="0" borderId="37" xfId="2" applyFont="1" applyBorder="1" applyAlignment="1">
      <alignment horizontal="center" vertical="center" wrapText="1"/>
    </xf>
    <xf numFmtId="0" fontId="3" fillId="0" borderId="35" xfId="2" applyFont="1" applyBorder="1" applyAlignment="1">
      <alignment vertical="center" wrapText="1"/>
    </xf>
    <xf numFmtId="0" fontId="0" fillId="0" borderId="0" xfId="0" applyFill="1" applyAlignment="1">
      <alignment vertical="center"/>
    </xf>
    <xf numFmtId="49" fontId="3" fillId="0" borderId="35" xfId="0" applyNumberFormat="1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0" fillId="0" borderId="35" xfId="0" applyFont="1" applyFill="1" applyBorder="1" applyAlignment="1">
      <alignment horizontal="center" vertical="center" wrapText="1"/>
    </xf>
    <xf numFmtId="49" fontId="3" fillId="0" borderId="35" xfId="0" applyNumberFormat="1" applyFont="1" applyFill="1" applyBorder="1" applyAlignment="1">
      <alignment horizontal="center" vertical="center" wrapText="1"/>
    </xf>
    <xf numFmtId="49" fontId="3" fillId="0" borderId="35" xfId="0" applyNumberFormat="1" applyFont="1" applyFill="1" applyBorder="1" applyAlignment="1">
      <alignment vertical="center" wrapText="1"/>
    </xf>
    <xf numFmtId="0" fontId="3" fillId="0" borderId="35" xfId="0" applyFont="1" applyFill="1" applyBorder="1" applyAlignment="1">
      <alignment vertical="center" wrapText="1"/>
    </xf>
    <xf numFmtId="49" fontId="30" fillId="0" borderId="35" xfId="0" applyNumberFormat="1" applyFont="1" applyFill="1" applyBorder="1" applyAlignment="1">
      <alignment horizontal="center" vertical="center" wrapText="1"/>
    </xf>
    <xf numFmtId="49" fontId="49" fillId="0" borderId="35" xfId="0" applyNumberFormat="1" applyFont="1" applyFill="1" applyBorder="1" applyAlignment="1">
      <alignment horizontal="left" vertical="center" wrapText="1"/>
    </xf>
    <xf numFmtId="0" fontId="30" fillId="0" borderId="35" xfId="2" applyFont="1" applyBorder="1" applyAlignment="1">
      <alignment horizontal="center" vertical="center" wrapText="1"/>
    </xf>
    <xf numFmtId="0" fontId="0" fillId="0" borderId="35" xfId="0" applyFill="1" applyBorder="1" applyAlignment="1">
      <alignment vertical="center"/>
    </xf>
    <xf numFmtId="0" fontId="0" fillId="0" borderId="35" xfId="0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49" fontId="32" fillId="0" borderId="34" xfId="2" applyNumberFormat="1" applyFont="1" applyBorder="1" applyAlignment="1">
      <alignment horizontal="left" vertical="center" wrapText="1"/>
    </xf>
    <xf numFmtId="49" fontId="49" fillId="0" borderId="34" xfId="2" applyNumberFormat="1" applyFont="1" applyBorder="1" applyAlignment="1">
      <alignment horizontal="left" vertical="center" wrapText="1"/>
    </xf>
    <xf numFmtId="0" fontId="3" fillId="0" borderId="35" xfId="0" applyNumberFormat="1" applyFont="1" applyFill="1" applyBorder="1" applyAlignment="1">
      <alignment horizontal="center" vertical="center" wrapText="1"/>
    </xf>
    <xf numFmtId="49" fontId="32" fillId="0" borderId="34" xfId="2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/>
    </xf>
    <xf numFmtId="0" fontId="30" fillId="0" borderId="34" xfId="2" applyFont="1" applyBorder="1" applyAlignment="1">
      <alignment horizontal="left" vertical="center"/>
    </xf>
    <xf numFmtId="0" fontId="30" fillId="0" borderId="34" xfId="2" applyFont="1" applyBorder="1" applyAlignment="1">
      <alignment horizontal="center" vertical="center"/>
    </xf>
    <xf numFmtId="0" fontId="30" fillId="0" borderId="34" xfId="2" applyFont="1" applyBorder="1" applyAlignment="1">
      <alignment horizontal="center" vertical="center" wrapText="1"/>
    </xf>
    <xf numFmtId="49" fontId="3" fillId="0" borderId="34" xfId="2" applyNumberFormat="1" applyFont="1" applyBorder="1" applyAlignment="1">
      <alignment vertical="center"/>
    </xf>
    <xf numFmtId="0" fontId="3" fillId="11" borderId="34" xfId="2" applyFont="1" applyFill="1" applyBorder="1" applyAlignment="1">
      <alignment horizontal="left" vertical="center"/>
    </xf>
    <xf numFmtId="0" fontId="3" fillId="0" borderId="31" xfId="2" applyFont="1" applyBorder="1" applyAlignment="1">
      <alignment horizontal="center" vertical="center"/>
    </xf>
    <xf numFmtId="49" fontId="3" fillId="0" borderId="34" xfId="2" applyNumberFormat="1" applyFont="1" applyBorder="1" applyAlignment="1">
      <alignment horizontal="left" vertical="center"/>
    </xf>
    <xf numFmtId="0" fontId="3" fillId="0" borderId="33" xfId="2" applyFont="1" applyBorder="1" applyAlignment="1">
      <alignment horizontal="left" vertical="center"/>
    </xf>
    <xf numFmtId="49" fontId="10" fillId="12" borderId="34" xfId="2" applyNumberFormat="1" applyFont="1" applyFill="1" applyBorder="1" applyAlignment="1">
      <alignment horizontal="center" vertical="center" wrapText="1"/>
    </xf>
    <xf numFmtId="0" fontId="51" fillId="12" borderId="34" xfId="2" applyFont="1" applyFill="1" applyBorder="1" applyAlignment="1">
      <alignment horizontal="center" vertical="center" wrapText="1"/>
    </xf>
    <xf numFmtId="0" fontId="59" fillId="0" borderId="35" xfId="2" applyFont="1" applyBorder="1" applyAlignment="1">
      <alignment horizontal="center" vertical="center"/>
    </xf>
    <xf numFmtId="176" fontId="3" fillId="0" borderId="38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14" fontId="5" fillId="0" borderId="38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5" xfId="0" applyBorder="1" applyAlignment="1">
      <alignment horizontal="left" vertical="center" wrapText="1"/>
    </xf>
    <xf numFmtId="0" fontId="0" fillId="11" borderId="35" xfId="0" applyFill="1" applyBorder="1" applyAlignment="1">
      <alignment vertical="center" wrapText="1"/>
    </xf>
    <xf numFmtId="0" fontId="0" fillId="0" borderId="35" xfId="0" applyFill="1" applyBorder="1" applyAlignment="1">
      <alignment vertical="center" wrapText="1"/>
    </xf>
    <xf numFmtId="0" fontId="0" fillId="0" borderId="35" xfId="0" applyFill="1" applyBorder="1" applyAlignment="1">
      <alignment horizontal="center" vertical="center" wrapText="1"/>
    </xf>
    <xf numFmtId="0" fontId="30" fillId="0" borderId="34" xfId="2" applyFont="1" applyBorder="1" applyAlignment="1">
      <alignment vertical="center" wrapText="1"/>
    </xf>
    <xf numFmtId="0" fontId="30" fillId="0" borderId="33" xfId="2" applyFont="1" applyBorder="1" applyAlignment="1">
      <alignment horizontal="left" vertical="center"/>
    </xf>
    <xf numFmtId="0" fontId="30" fillId="0" borderId="39" xfId="2" applyFont="1" applyBorder="1" applyAlignment="1">
      <alignment horizontal="left" vertical="center"/>
    </xf>
    <xf numFmtId="0" fontId="0" fillId="0" borderId="30" xfId="0" applyBorder="1" applyAlignment="1">
      <alignment vertical="center"/>
    </xf>
    <xf numFmtId="0" fontId="49" fillId="0" borderId="34" xfId="2" applyFont="1" applyBorder="1" applyAlignment="1">
      <alignment vertical="center" wrapText="1"/>
    </xf>
    <xf numFmtId="0" fontId="49" fillId="0" borderId="34" xfId="2" applyFont="1" applyBorder="1" applyAlignment="1">
      <alignment horizontal="center" vertical="center" wrapText="1"/>
    </xf>
    <xf numFmtId="0" fontId="61" fillId="0" borderId="30" xfId="5" applyAlignment="1">
      <alignment vertical="center"/>
    </xf>
    <xf numFmtId="0" fontId="49" fillId="0" borderId="34" xfId="2" applyFont="1" applyBorder="1" applyAlignment="1">
      <alignment horizontal="center" vertical="center"/>
    </xf>
    <xf numFmtId="0" fontId="3" fillId="10" borderId="34" xfId="2" applyFont="1" applyFill="1" applyBorder="1" applyAlignment="1">
      <alignment vertical="top" wrapText="1"/>
    </xf>
    <xf numFmtId="0" fontId="63" fillId="11" borderId="34" xfId="2" applyFont="1" applyFill="1" applyBorder="1" applyAlignment="1">
      <alignment horizontal="left" vertical="top" wrapText="1"/>
    </xf>
    <xf numFmtId="0" fontId="3" fillId="11" borderId="35" xfId="2" applyFont="1" applyFill="1" applyBorder="1" applyAlignment="1">
      <alignment horizontal="left" vertical="center" wrapText="1"/>
    </xf>
    <xf numFmtId="49" fontId="58" fillId="0" borderId="34" xfId="2" applyNumberFormat="1" applyFont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30" fillId="0" borderId="35" xfId="0" applyNumberFormat="1" applyFont="1" applyFill="1" applyBorder="1" applyAlignment="1">
      <alignment horizontal="center" vertical="center" wrapText="1"/>
    </xf>
    <xf numFmtId="49" fontId="3" fillId="0" borderId="33" xfId="2" applyNumberFormat="1" applyFont="1" applyBorder="1" applyAlignment="1">
      <alignment horizontal="center" vertical="center" wrapText="1"/>
    </xf>
    <xf numFmtId="49" fontId="3" fillId="0" borderId="31" xfId="2" applyNumberFormat="1" applyFont="1" applyBorder="1" applyAlignment="1">
      <alignment horizontal="center" vertical="center" wrapText="1"/>
    </xf>
    <xf numFmtId="0" fontId="3" fillId="0" borderId="33" xfId="2" applyFont="1" applyBorder="1" applyAlignment="1">
      <alignment horizontal="center" vertical="center"/>
    </xf>
    <xf numFmtId="0" fontId="58" fillId="0" borderId="34" xfId="2" applyFont="1" applyBorder="1" applyAlignment="1">
      <alignment horizontal="center" vertical="center"/>
    </xf>
    <xf numFmtId="1" fontId="58" fillId="0" borderId="34" xfId="2" applyNumberFormat="1" applyFont="1" applyBorder="1" applyAlignment="1">
      <alignment horizontal="center" vertical="center" wrapText="1"/>
    </xf>
    <xf numFmtId="0" fontId="58" fillId="0" borderId="34" xfId="2" applyFont="1" applyBorder="1" applyAlignment="1">
      <alignment horizontal="center" vertical="center" wrapText="1"/>
    </xf>
    <xf numFmtId="0" fontId="58" fillId="0" borderId="34" xfId="2" applyFont="1" applyBorder="1" applyAlignment="1">
      <alignment horizontal="left" vertical="center"/>
    </xf>
    <xf numFmtId="0" fontId="58" fillId="0" borderId="33" xfId="2" applyFont="1" applyBorder="1" applyAlignment="1">
      <alignment horizontal="left" vertical="center"/>
    </xf>
    <xf numFmtId="0" fontId="58" fillId="0" borderId="31" xfId="2" applyFont="1" applyBorder="1" applyAlignment="1">
      <alignment horizontal="center" vertical="center"/>
    </xf>
    <xf numFmtId="49" fontId="3" fillId="0" borderId="40" xfId="2" applyNumberFormat="1" applyFont="1" applyBorder="1" applyAlignment="1">
      <alignment horizontal="center" vertical="center" wrapText="1"/>
    </xf>
    <xf numFmtId="0" fontId="3" fillId="0" borderId="40" xfId="2" applyFont="1" applyBorder="1" applyAlignment="1">
      <alignment horizontal="center" vertical="center"/>
    </xf>
    <xf numFmtId="49" fontId="58" fillId="0" borderId="36" xfId="2" applyNumberFormat="1" applyFont="1" applyBorder="1" applyAlignment="1">
      <alignment horizontal="left" vertical="center" wrapText="1"/>
    </xf>
    <xf numFmtId="0" fontId="3" fillId="0" borderId="37" xfId="2" applyFont="1" applyBorder="1" applyAlignment="1">
      <alignment vertical="center" wrapText="1"/>
    </xf>
    <xf numFmtId="49" fontId="58" fillId="0" borderId="37" xfId="2" applyNumberFormat="1" applyFont="1" applyBorder="1" applyAlignment="1">
      <alignment horizontal="left" vertical="center" wrapText="1"/>
    </xf>
    <xf numFmtId="14" fontId="0" fillId="0" borderId="35" xfId="0" applyNumberFormat="1" applyFill="1" applyBorder="1" applyAlignment="1">
      <alignment horizontal="center" vertical="center"/>
    </xf>
    <xf numFmtId="0" fontId="0" fillId="0" borderId="35" xfId="0" applyFill="1" applyBorder="1" applyAlignment="1">
      <alignment horizontal="left" vertical="center" wrapText="1"/>
    </xf>
    <xf numFmtId="49" fontId="30" fillId="0" borderId="34" xfId="2" applyNumberFormat="1" applyFont="1" applyBorder="1" applyAlignment="1">
      <alignment horizontal="center" vertical="center" wrapText="1"/>
    </xf>
    <xf numFmtId="49" fontId="3" fillId="0" borderId="31" xfId="2" applyNumberFormat="1" applyFont="1" applyBorder="1" applyAlignment="1">
      <alignment horizontal="center" vertical="center"/>
    </xf>
    <xf numFmtId="0" fontId="3" fillId="0" borderId="31" xfId="2" applyFont="1" applyBorder="1" applyAlignment="1">
      <alignment horizontal="center" vertical="center" wrapText="1"/>
    </xf>
    <xf numFmtId="49" fontId="30" fillId="0" borderId="36" xfId="2" applyNumberFormat="1" applyFont="1" applyBorder="1" applyAlignment="1">
      <alignment horizontal="center" vertical="center" wrapText="1"/>
    </xf>
    <xf numFmtId="0" fontId="46" fillId="11" borderId="30" xfId="2" applyFill="1" applyAlignment="1">
      <alignment horizontal="center" vertical="center"/>
    </xf>
    <xf numFmtId="49" fontId="30" fillId="0" borderId="35" xfId="2" applyNumberFormat="1" applyFont="1" applyBorder="1" applyAlignment="1">
      <alignment horizontal="center" vertical="center" wrapText="1"/>
    </xf>
    <xf numFmtId="0" fontId="66" fillId="0" borderId="34" xfId="2" applyFont="1" applyBorder="1" applyAlignment="1">
      <alignment vertical="center" wrapText="1"/>
    </xf>
    <xf numFmtId="0" fontId="10" fillId="9" borderId="35" xfId="0" applyNumberFormat="1" applyFont="1" applyFill="1" applyBorder="1" applyAlignment="1">
      <alignment horizontal="center" vertical="center" wrapText="1"/>
    </xf>
    <xf numFmtId="49" fontId="51" fillId="9" borderId="35" xfId="0" applyNumberFormat="1" applyFont="1" applyFill="1" applyBorder="1" applyAlignment="1">
      <alignment horizontal="center" vertical="center" wrapText="1"/>
    </xf>
    <xf numFmtId="0" fontId="10" fillId="9" borderId="34" xfId="2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62" fillId="0" borderId="0" xfId="0" applyFont="1" applyAlignment="1">
      <alignment vertical="center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62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3" fillId="13" borderId="34" xfId="2" applyFont="1" applyFill="1" applyBorder="1" applyAlignment="1">
      <alignment horizontal="center" vertical="center" wrapText="1"/>
    </xf>
    <xf numFmtId="0" fontId="3" fillId="13" borderId="35" xfId="2" applyFont="1" applyFill="1" applyBorder="1" applyAlignment="1">
      <alignment horizontal="center" vertical="center" wrapText="1"/>
    </xf>
    <xf numFmtId="0" fontId="3" fillId="13" borderId="34" xfId="2" applyFont="1" applyFill="1" applyBorder="1" applyAlignment="1">
      <alignment horizontal="left" vertical="center"/>
    </xf>
    <xf numFmtId="0" fontId="3" fillId="13" borderId="34" xfId="2" applyFont="1" applyFill="1" applyBorder="1" applyAlignment="1">
      <alignment vertical="center"/>
    </xf>
    <xf numFmtId="0" fontId="30" fillId="13" borderId="33" xfId="2" applyFont="1" applyFill="1" applyBorder="1" applyAlignment="1">
      <alignment horizontal="left" vertical="center"/>
    </xf>
    <xf numFmtId="0" fontId="3" fillId="13" borderId="34" xfId="2" applyFont="1" applyFill="1" applyBorder="1" applyAlignment="1">
      <alignment horizontal="center" vertical="center"/>
    </xf>
    <xf numFmtId="49" fontId="3" fillId="13" borderId="34" xfId="2" applyNumberFormat="1" applyFont="1" applyFill="1" applyBorder="1" applyAlignment="1">
      <alignment horizontal="center" vertical="center" wrapText="1"/>
    </xf>
    <xf numFmtId="0" fontId="3" fillId="13" borderId="34" xfId="2" applyFont="1" applyFill="1" applyBorder="1" applyAlignment="1">
      <alignment vertical="center" wrapText="1"/>
    </xf>
    <xf numFmtId="0" fontId="3" fillId="13" borderId="31" xfId="2" applyFont="1" applyFill="1" applyBorder="1" applyAlignment="1">
      <alignment horizontal="center" vertical="center" wrapText="1"/>
    </xf>
    <xf numFmtId="49" fontId="3" fillId="13" borderId="34" xfId="2" applyNumberFormat="1" applyFont="1" applyFill="1" applyBorder="1" applyAlignment="1">
      <alignment horizontal="left" vertical="center"/>
    </xf>
    <xf numFmtId="0" fontId="3" fillId="13" borderId="33" xfId="2" applyFont="1" applyFill="1" applyBorder="1" applyAlignment="1">
      <alignment horizontal="left" vertical="center"/>
    </xf>
    <xf numFmtId="0" fontId="46" fillId="13" borderId="30" xfId="2" applyFill="1" applyAlignment="1">
      <alignment vertical="center"/>
    </xf>
    <xf numFmtId="0" fontId="59" fillId="13" borderId="35" xfId="2" applyFont="1" applyFill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14" borderId="34" xfId="2" applyFont="1" applyFill="1" applyBorder="1" applyAlignment="1">
      <alignment horizontal="center" vertical="center"/>
    </xf>
    <xf numFmtId="0" fontId="3" fillId="14" borderId="34" xfId="2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vertical="center" wrapText="1"/>
    </xf>
    <xf numFmtId="0" fontId="21" fillId="0" borderId="21" xfId="0" applyFont="1" applyFill="1" applyBorder="1" applyAlignment="1">
      <alignment vertical="center" wrapText="1"/>
    </xf>
    <xf numFmtId="0" fontId="19" fillId="14" borderId="19" xfId="0" applyFont="1" applyFill="1" applyBorder="1" applyAlignment="1">
      <alignment horizontal="center" vertical="center" wrapText="1"/>
    </xf>
    <xf numFmtId="0" fontId="22" fillId="14" borderId="22" xfId="0" applyFont="1" applyFill="1" applyBorder="1" applyAlignment="1">
      <alignment horizontal="center" vertical="center" wrapText="1"/>
    </xf>
    <xf numFmtId="0" fontId="67" fillId="13" borderId="35" xfId="2" applyFont="1" applyFill="1" applyBorder="1" applyAlignment="1">
      <alignment horizontal="center" vertical="center"/>
    </xf>
    <xf numFmtId="0" fontId="46" fillId="14" borderId="35" xfId="2" applyFill="1" applyBorder="1" applyAlignment="1">
      <alignment vertical="center"/>
    </xf>
    <xf numFmtId="49" fontId="3" fillId="14" borderId="35" xfId="2" applyNumberFormat="1" applyFont="1" applyFill="1" applyBorder="1" applyAlignment="1">
      <alignment horizontal="center" vertical="center" wrapText="1"/>
    </xf>
    <xf numFmtId="0" fontId="3" fillId="14" borderId="35" xfId="2" applyFont="1" applyFill="1" applyBorder="1" applyAlignment="1">
      <alignment horizontal="center" vertical="center"/>
    </xf>
    <xf numFmtId="0" fontId="3" fillId="14" borderId="35" xfId="2" applyFont="1" applyFill="1" applyBorder="1" applyAlignment="1">
      <alignment horizontal="left" vertical="center" wrapText="1"/>
    </xf>
    <xf numFmtId="1" fontId="3" fillId="14" borderId="35" xfId="2" applyNumberFormat="1" applyFont="1" applyFill="1" applyBorder="1" applyAlignment="1">
      <alignment horizontal="center" vertical="center" wrapText="1"/>
    </xf>
    <xf numFmtId="0" fontId="3" fillId="14" borderId="35" xfId="2" applyFont="1" applyFill="1" applyBorder="1" applyAlignment="1">
      <alignment horizontal="center" vertical="center" wrapText="1"/>
    </xf>
    <xf numFmtId="0" fontId="59" fillId="14" borderId="35" xfId="2" applyFont="1" applyFill="1" applyBorder="1" applyAlignment="1">
      <alignment horizontal="center" vertical="center"/>
    </xf>
    <xf numFmtId="0" fontId="46" fillId="14" borderId="35" xfId="2" applyFill="1" applyBorder="1" applyAlignment="1">
      <alignment horizontal="left" vertical="center"/>
    </xf>
    <xf numFmtId="1" fontId="3" fillId="14" borderId="34" xfId="2" applyNumberFormat="1" applyFont="1" applyFill="1" applyBorder="1" applyAlignment="1">
      <alignment horizontal="center" vertical="center" wrapText="1"/>
    </xf>
    <xf numFmtId="49" fontId="3" fillId="14" borderId="34" xfId="2" applyNumberFormat="1" applyFont="1" applyFill="1" applyBorder="1" applyAlignment="1">
      <alignment horizontal="left" vertical="center" wrapText="1"/>
    </xf>
    <xf numFmtId="49" fontId="3" fillId="14" borderId="34" xfId="2" applyNumberFormat="1" applyFont="1" applyFill="1" applyBorder="1" applyAlignment="1">
      <alignment horizontal="center" vertical="center" wrapText="1"/>
    </xf>
    <xf numFmtId="0" fontId="3" fillId="14" borderId="34" xfId="2" applyFont="1" applyFill="1" applyBorder="1" applyAlignment="1">
      <alignment horizontal="left" vertical="center" wrapText="1"/>
    </xf>
    <xf numFmtId="0" fontId="46" fillId="14" borderId="30" xfId="2" applyFill="1" applyAlignment="1">
      <alignment vertical="center"/>
    </xf>
    <xf numFmtId="0" fontId="3" fillId="14" borderId="34" xfId="2" applyFont="1" applyFill="1" applyBorder="1" applyAlignment="1">
      <alignment horizontal="left" vertical="center"/>
    </xf>
    <xf numFmtId="0" fontId="3" fillId="14" borderId="34" xfId="2" applyFont="1" applyFill="1" applyBorder="1" applyAlignment="1">
      <alignment vertical="center"/>
    </xf>
    <xf numFmtId="49" fontId="3" fillId="14" borderId="35" xfId="2" applyNumberFormat="1" applyFont="1" applyFill="1" applyBorder="1" applyAlignment="1">
      <alignment horizontal="center" vertical="center"/>
    </xf>
    <xf numFmtId="0" fontId="3" fillId="0" borderId="40" xfId="2" applyFont="1" applyBorder="1" applyAlignment="1">
      <alignment horizontal="left" vertical="center" wrapText="1"/>
    </xf>
    <xf numFmtId="0" fontId="3" fillId="0" borderId="40" xfId="2" applyFont="1" applyBorder="1" applyAlignment="1">
      <alignment horizontal="center" vertical="center" wrapText="1"/>
    </xf>
    <xf numFmtId="1" fontId="3" fillId="10" borderId="37" xfId="2" applyNumberFormat="1" applyFont="1" applyFill="1" applyBorder="1" applyAlignment="1">
      <alignment horizontal="center" vertical="center" wrapText="1"/>
    </xf>
    <xf numFmtId="49" fontId="3" fillId="10" borderId="37" xfId="2" applyNumberFormat="1" applyFont="1" applyFill="1" applyBorder="1" applyAlignment="1">
      <alignment horizontal="center" vertical="center" wrapText="1"/>
    </xf>
    <xf numFmtId="0" fontId="3" fillId="11" borderId="37" xfId="2" applyFont="1" applyFill="1" applyBorder="1" applyAlignment="1">
      <alignment horizontal="center" vertical="center" wrapText="1"/>
    </xf>
    <xf numFmtId="49" fontId="3" fillId="10" borderId="37" xfId="2" applyNumberFormat="1" applyFont="1" applyFill="1" applyBorder="1" applyAlignment="1">
      <alignment vertical="center" wrapText="1"/>
    </xf>
    <xf numFmtId="0" fontId="3" fillId="11" borderId="37" xfId="2" applyFont="1" applyFill="1" applyBorder="1" applyAlignment="1">
      <alignment horizontal="left" vertical="center"/>
    </xf>
    <xf numFmtId="0" fontId="3" fillId="10" borderId="37" xfId="2" applyFont="1" applyFill="1" applyBorder="1" applyAlignment="1">
      <alignment horizontal="left" vertical="center"/>
    </xf>
    <xf numFmtId="0" fontId="3" fillId="10" borderId="37" xfId="2" applyFont="1" applyFill="1" applyBorder="1" applyAlignment="1">
      <alignment vertical="center"/>
    </xf>
    <xf numFmtId="0" fontId="58" fillId="0" borderId="34" xfId="2" applyFont="1" applyBorder="1" applyAlignment="1">
      <alignment vertical="center" wrapText="1"/>
    </xf>
    <xf numFmtId="0" fontId="0" fillId="14" borderId="0" xfId="0" applyNumberFormat="1" applyFill="1" applyAlignment="1">
      <alignment horizontal="center" vertical="center"/>
    </xf>
    <xf numFmtId="0" fontId="46" fillId="0" borderId="35" xfId="2" applyBorder="1" applyAlignment="1">
      <alignment horizontal="left" vertical="center" wrapText="1"/>
    </xf>
    <xf numFmtId="49" fontId="3" fillId="14" borderId="34" xfId="2" applyNumberFormat="1" applyFont="1" applyFill="1" applyBorder="1" applyAlignment="1">
      <alignment horizontal="center" vertical="center"/>
    </xf>
    <xf numFmtId="0" fontId="30" fillId="14" borderId="35" xfId="2" applyFont="1" applyFill="1" applyBorder="1" applyAlignment="1">
      <alignment horizontal="left" wrapText="1"/>
    </xf>
    <xf numFmtId="0" fontId="3" fillId="14" borderId="37" xfId="2" applyFont="1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/>
    </xf>
    <xf numFmtId="0" fontId="0" fillId="15" borderId="35" xfId="0" applyFill="1" applyBorder="1" applyAlignment="1">
      <alignment horizontal="center" vertical="center"/>
    </xf>
    <xf numFmtId="0" fontId="68" fillId="14" borderId="35" xfId="2" applyFont="1" applyFill="1" applyBorder="1" applyAlignment="1">
      <alignment horizontal="left" vertical="center" wrapText="1"/>
    </xf>
    <xf numFmtId="0" fontId="3" fillId="10" borderId="36" xfId="2" applyFont="1" applyFill="1" applyBorder="1" applyAlignment="1">
      <alignment vertical="center" wrapText="1"/>
    </xf>
    <xf numFmtId="49" fontId="3" fillId="10" borderId="36" xfId="2" applyNumberFormat="1" applyFont="1" applyFill="1" applyBorder="1" applyAlignment="1">
      <alignment horizontal="left" vertical="center" wrapText="1"/>
    </xf>
    <xf numFmtId="49" fontId="3" fillId="10" borderId="36" xfId="2" applyNumberFormat="1" applyFont="1" applyFill="1" applyBorder="1" applyAlignment="1">
      <alignment horizontal="center" vertical="center" wrapText="1"/>
    </xf>
    <xf numFmtId="0" fontId="3" fillId="11" borderId="36" xfId="2" applyFont="1" applyFill="1" applyBorder="1" applyAlignment="1">
      <alignment horizontal="center" vertical="center" wrapText="1"/>
    </xf>
    <xf numFmtId="0" fontId="3" fillId="11" borderId="36" xfId="2" applyFont="1" applyFill="1" applyBorder="1" applyAlignment="1">
      <alignment horizontal="left" vertical="center"/>
    </xf>
    <xf numFmtId="0" fontId="3" fillId="10" borderId="36" xfId="2" applyFont="1" applyFill="1" applyBorder="1" applyAlignment="1">
      <alignment horizontal="left" vertical="center"/>
    </xf>
    <xf numFmtId="0" fontId="3" fillId="10" borderId="36" xfId="2" applyFont="1" applyFill="1" applyBorder="1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35" xfId="0" applyFill="1" applyBorder="1"/>
    <xf numFmtId="0" fontId="0" fillId="0" borderId="35" xfId="0" applyFill="1" applyBorder="1" applyAlignment="1">
      <alignment wrapText="1"/>
    </xf>
    <xf numFmtId="179" fontId="3" fillId="0" borderId="35" xfId="2" applyNumberFormat="1" applyFont="1" applyBorder="1" applyAlignment="1">
      <alignment horizontal="center" vertical="center" wrapText="1"/>
    </xf>
    <xf numFmtId="0" fontId="58" fillId="0" borderId="34" xfId="2" applyFont="1" applyBorder="1" applyAlignment="1">
      <alignment horizontal="left" vertical="center" wrapText="1"/>
    </xf>
    <xf numFmtId="0" fontId="30" fillId="0" borderId="35" xfId="2" applyFont="1" applyBorder="1" applyAlignment="1">
      <alignment horizontal="left" wrapText="1"/>
    </xf>
    <xf numFmtId="0" fontId="30" fillId="0" borderId="35" xfId="2" applyFont="1" applyBorder="1" applyAlignment="1">
      <alignment horizontal="left" vertical="center" wrapText="1"/>
    </xf>
    <xf numFmtId="0" fontId="30" fillId="0" borderId="40" xfId="2" applyFont="1" applyBorder="1" applyAlignment="1">
      <alignment horizontal="left" vertical="center" wrapText="1"/>
    </xf>
    <xf numFmtId="49" fontId="3" fillId="0" borderId="33" xfId="2" applyNumberFormat="1" applyFont="1" applyBorder="1" applyAlignment="1">
      <alignment horizontal="left" vertical="center" wrapText="1"/>
    </xf>
    <xf numFmtId="0" fontId="30" fillId="0" borderId="34" xfId="2" applyFont="1" applyBorder="1" applyAlignment="1">
      <alignment horizontal="left" vertical="center" wrapText="1"/>
    </xf>
    <xf numFmtId="49" fontId="70" fillId="0" borderId="34" xfId="2" applyNumberFormat="1" applyFont="1" applyBorder="1" applyAlignment="1">
      <alignment horizontal="left" vertical="center" wrapText="1"/>
    </xf>
    <xf numFmtId="0" fontId="71" fillId="0" borderId="35" xfId="2" applyFont="1" applyBorder="1" applyAlignment="1">
      <alignment horizontal="left" vertical="center" wrapText="1"/>
    </xf>
    <xf numFmtId="0" fontId="72" fillId="0" borderId="35" xfId="0" applyFont="1" applyFill="1" applyBorder="1" applyAlignment="1">
      <alignment horizontal="left" vertical="center" wrapText="1"/>
    </xf>
    <xf numFmtId="0" fontId="73" fillId="0" borderId="35" xfId="0" applyFont="1" applyFill="1" applyBorder="1" applyAlignment="1">
      <alignment wrapText="1"/>
    </xf>
    <xf numFmtId="49" fontId="3" fillId="0" borderId="37" xfId="2" applyNumberFormat="1" applyFont="1" applyBorder="1" applyAlignment="1">
      <alignment vertical="center" wrapText="1"/>
    </xf>
    <xf numFmtId="0" fontId="0" fillId="0" borderId="35" xfId="0" applyFill="1" applyBorder="1" applyAlignment="1">
      <alignment horizontal="left" vertical="center"/>
    </xf>
    <xf numFmtId="49" fontId="3" fillId="10" borderId="35" xfId="2" applyNumberFormat="1" applyFont="1" applyFill="1" applyBorder="1" applyAlignment="1">
      <alignment horizontal="center" vertical="center" wrapText="1"/>
    </xf>
    <xf numFmtId="1" fontId="3" fillId="10" borderId="35" xfId="2" applyNumberFormat="1" applyFont="1" applyFill="1" applyBorder="1" applyAlignment="1">
      <alignment horizontal="center" vertical="center" wrapText="1"/>
    </xf>
    <xf numFmtId="49" fontId="49" fillId="0" borderId="35" xfId="0" applyNumberFormat="1" applyFont="1" applyFill="1" applyBorder="1" applyAlignment="1">
      <alignment horizontal="center" vertical="center" wrapText="1"/>
    </xf>
    <xf numFmtId="49" fontId="58" fillId="0" borderId="35" xfId="2" applyNumberFormat="1" applyFont="1" applyBorder="1" applyAlignment="1">
      <alignment horizontal="left" vertical="center" wrapText="1"/>
    </xf>
    <xf numFmtId="49" fontId="49" fillId="0" borderId="34" xfId="2" applyNumberFormat="1" applyFont="1" applyBorder="1" applyAlignment="1">
      <alignment vertical="center" wrapText="1"/>
    </xf>
    <xf numFmtId="49" fontId="3" fillId="0" borderId="40" xfId="2" applyNumberFormat="1" applyFont="1" applyBorder="1" applyAlignment="1">
      <alignment horizontal="left" vertical="center" wrapText="1"/>
    </xf>
    <xf numFmtId="49" fontId="32" fillId="0" borderId="36" xfId="2" applyNumberFormat="1" applyFont="1" applyBorder="1" applyAlignment="1">
      <alignment horizontal="left" vertical="center" wrapText="1"/>
    </xf>
    <xf numFmtId="49" fontId="49" fillId="0" borderId="37" xfId="2" applyNumberFormat="1" applyFont="1" applyBorder="1" applyAlignment="1">
      <alignment horizontal="left" vertical="center" wrapText="1"/>
    </xf>
    <xf numFmtId="49" fontId="3" fillId="10" borderId="35" xfId="2" applyNumberFormat="1" applyFont="1" applyFill="1" applyBorder="1" applyAlignment="1">
      <alignment horizontal="left" vertical="center" wrapText="1"/>
    </xf>
    <xf numFmtId="49" fontId="3" fillId="10" borderId="35" xfId="2" applyNumberFormat="1" applyFont="1" applyFill="1" applyBorder="1" applyAlignment="1">
      <alignment vertical="center" wrapText="1"/>
    </xf>
    <xf numFmtId="0" fontId="3" fillId="10" borderId="35" xfId="2" applyFont="1" applyFill="1" applyBorder="1" applyAlignment="1">
      <alignment horizontal="left" vertical="center"/>
    </xf>
    <xf numFmtId="0" fontId="3" fillId="10" borderId="35" xfId="2" applyFont="1" applyFill="1" applyBorder="1" applyAlignment="1">
      <alignment vertical="center"/>
    </xf>
    <xf numFmtId="49" fontId="32" fillId="0" borderId="35" xfId="2" applyNumberFormat="1" applyFont="1" applyBorder="1" applyAlignment="1">
      <alignment horizontal="left" vertical="center" wrapText="1"/>
    </xf>
    <xf numFmtId="0" fontId="3" fillId="0" borderId="40" xfId="2" applyFont="1" applyBorder="1" applyAlignment="1">
      <alignment horizontal="left" vertical="center"/>
    </xf>
    <xf numFmtId="0" fontId="3" fillId="14" borderId="33" xfId="2" applyFont="1" applyFill="1" applyBorder="1" applyAlignment="1">
      <alignment horizontal="center" vertical="center" wrapText="1"/>
    </xf>
    <xf numFmtId="49" fontId="3" fillId="14" borderId="31" xfId="2" applyNumberFormat="1" applyFont="1" applyFill="1" applyBorder="1" applyAlignment="1">
      <alignment horizontal="center" vertical="center" wrapText="1"/>
    </xf>
    <xf numFmtId="0" fontId="58" fillId="0" borderId="35" xfId="2" applyFont="1" applyBorder="1" applyAlignment="1">
      <alignment horizontal="left" wrapText="1"/>
    </xf>
    <xf numFmtId="0" fontId="3" fillId="0" borderId="33" xfId="2" applyFont="1" applyBorder="1" applyAlignment="1">
      <alignment horizontal="center" vertical="center" wrapText="1"/>
    </xf>
    <xf numFmtId="14" fontId="0" fillId="15" borderId="35" xfId="0" applyNumberFormat="1" applyFill="1" applyBorder="1" applyAlignment="1">
      <alignment horizontal="center" vertical="center"/>
    </xf>
    <xf numFmtId="0" fontId="3" fillId="0" borderId="36" xfId="2" applyFont="1" applyBorder="1" applyAlignment="1">
      <alignment horizontal="center" vertical="center"/>
    </xf>
    <xf numFmtId="1" fontId="3" fillId="0" borderId="36" xfId="2" applyNumberFormat="1" applyFont="1" applyBorder="1" applyAlignment="1">
      <alignment horizontal="center" vertical="center" wrapText="1"/>
    </xf>
    <xf numFmtId="0" fontId="46" fillId="11" borderId="42" xfId="2" applyFill="1" applyBorder="1" applyAlignment="1">
      <alignment vertical="center"/>
    </xf>
    <xf numFmtId="0" fontId="46" fillId="11" borderId="42" xfId="2" applyFill="1" applyBorder="1" applyAlignment="1">
      <alignment vertical="center" wrapText="1"/>
    </xf>
    <xf numFmtId="0" fontId="46" fillId="11" borderId="42" xfId="2" applyFill="1" applyBorder="1" applyAlignment="1">
      <alignment horizontal="center" vertical="center"/>
    </xf>
    <xf numFmtId="0" fontId="46" fillId="11" borderId="42" xfId="2" applyFill="1" applyBorder="1" applyAlignment="1">
      <alignment horizontal="left" vertical="center"/>
    </xf>
    <xf numFmtId="0" fontId="3" fillId="0" borderId="31" xfId="2" applyFont="1" applyBorder="1" applyAlignment="1">
      <alignment horizontal="left" vertical="center"/>
    </xf>
    <xf numFmtId="49" fontId="58" fillId="14" borderId="35" xfId="2" applyNumberFormat="1" applyFont="1" applyFill="1" applyBorder="1" applyAlignment="1">
      <alignment horizontal="left" vertical="center" wrapText="1"/>
    </xf>
    <xf numFmtId="49" fontId="3" fillId="14" borderId="35" xfId="2" applyNumberFormat="1" applyFont="1" applyFill="1" applyBorder="1" applyAlignment="1">
      <alignment vertical="center" wrapText="1"/>
    </xf>
    <xf numFmtId="49" fontId="32" fillId="14" borderId="35" xfId="2" applyNumberFormat="1" applyFont="1" applyFill="1" applyBorder="1" applyAlignment="1">
      <alignment horizontal="left" vertical="center" wrapText="1"/>
    </xf>
    <xf numFmtId="0" fontId="0" fillId="14" borderId="0" xfId="0" applyFill="1" applyAlignment="1">
      <alignment horizontal="center" vertical="center"/>
    </xf>
    <xf numFmtId="0" fontId="3" fillId="0" borderId="40" xfId="2" applyFont="1" applyBorder="1" applyAlignment="1">
      <alignment vertical="center"/>
    </xf>
    <xf numFmtId="0" fontId="3" fillId="14" borderId="40" xfId="2" applyFont="1" applyFill="1" applyBorder="1" applyAlignment="1">
      <alignment horizontal="center" vertical="center" wrapText="1"/>
    </xf>
    <xf numFmtId="0" fontId="52" fillId="11" borderId="42" xfId="2" applyFont="1" applyFill="1" applyBorder="1" applyAlignment="1">
      <alignment horizontal="center" vertical="center"/>
    </xf>
    <xf numFmtId="49" fontId="3" fillId="11" borderId="43" xfId="2" applyNumberFormat="1" applyFont="1" applyFill="1" applyBorder="1" applyAlignment="1">
      <alignment horizontal="left" vertical="center" wrapText="1"/>
    </xf>
    <xf numFmtId="0" fontId="3" fillId="10" borderId="43" xfId="2" applyFont="1" applyFill="1" applyBorder="1" applyAlignment="1">
      <alignment vertical="center" wrapText="1"/>
    </xf>
    <xf numFmtId="49" fontId="3" fillId="10" borderId="43" xfId="2" applyNumberFormat="1" applyFont="1" applyFill="1" applyBorder="1" applyAlignment="1">
      <alignment horizontal="left" vertical="center" wrapText="1"/>
    </xf>
    <xf numFmtId="0" fontId="3" fillId="11" borderId="43" xfId="2" applyFont="1" applyFill="1" applyBorder="1" applyAlignment="1">
      <alignment horizontal="center" vertical="center" wrapText="1"/>
    </xf>
    <xf numFmtId="49" fontId="3" fillId="10" borderId="43" xfId="2" applyNumberFormat="1" applyFont="1" applyFill="1" applyBorder="1" applyAlignment="1">
      <alignment horizontal="center" vertical="center" wrapText="1"/>
    </xf>
    <xf numFmtId="0" fontId="3" fillId="11" borderId="43" xfId="2" applyFont="1" applyFill="1" applyBorder="1" applyAlignment="1">
      <alignment horizontal="left" vertical="center"/>
    </xf>
    <xf numFmtId="0" fontId="3" fillId="10" borderId="43" xfId="2" applyFont="1" applyFill="1" applyBorder="1" applyAlignment="1">
      <alignment horizontal="left" vertical="center"/>
    </xf>
    <xf numFmtId="0" fontId="3" fillId="10" borderId="44" xfId="2" applyFont="1" applyFill="1" applyBorder="1" applyAlignment="1">
      <alignment vertical="center"/>
    </xf>
    <xf numFmtId="0" fontId="3" fillId="10" borderId="35" xfId="2" applyFont="1" applyFill="1" applyBorder="1" applyAlignment="1">
      <alignment vertical="center" wrapText="1"/>
    </xf>
    <xf numFmtId="49" fontId="75" fillId="0" borderId="35" xfId="2" applyNumberFormat="1" applyFont="1" applyBorder="1" applyAlignment="1">
      <alignment horizontal="center" vertical="center" wrapText="1"/>
    </xf>
    <xf numFmtId="0" fontId="58" fillId="0" borderId="35" xfId="2" applyFont="1" applyBorder="1" applyAlignment="1">
      <alignment horizontal="center" vertical="center" wrapText="1"/>
    </xf>
    <xf numFmtId="49" fontId="58" fillId="0" borderId="35" xfId="2" applyNumberFormat="1" applyFont="1" applyBorder="1" applyAlignment="1">
      <alignment horizontal="center" vertical="center" wrapText="1"/>
    </xf>
    <xf numFmtId="49" fontId="71" fillId="0" borderId="35" xfId="2" applyNumberFormat="1" applyFont="1" applyBorder="1" applyAlignment="1">
      <alignment horizontal="center" vertical="center" wrapText="1"/>
    </xf>
    <xf numFmtId="0" fontId="71" fillId="0" borderId="35" xfId="2" applyFont="1" applyBorder="1" applyAlignment="1">
      <alignment horizontal="center" vertical="center" wrapText="1"/>
    </xf>
    <xf numFmtId="0" fontId="75" fillId="0" borderId="34" xfId="2" applyFont="1" applyBorder="1" applyAlignment="1">
      <alignment horizontal="center" vertical="center" wrapText="1"/>
    </xf>
    <xf numFmtId="49" fontId="71" fillId="0" borderId="34" xfId="2" applyNumberFormat="1" applyFont="1" applyBorder="1" applyAlignment="1">
      <alignment horizontal="center" vertical="center" wrapText="1"/>
    </xf>
    <xf numFmtId="0" fontId="71" fillId="0" borderId="34" xfId="2" applyFont="1" applyBorder="1" applyAlignment="1">
      <alignment horizontal="center" vertical="center" wrapText="1"/>
    </xf>
    <xf numFmtId="49" fontId="3" fillId="14" borderId="34" xfId="2" applyNumberFormat="1" applyFont="1" applyFill="1" applyBorder="1" applyAlignment="1">
      <alignment vertical="center" wrapText="1"/>
    </xf>
    <xf numFmtId="0" fontId="72" fillId="0" borderId="34" xfId="2" applyFont="1" applyBorder="1" applyAlignment="1">
      <alignment vertical="center"/>
    </xf>
    <xf numFmtId="0" fontId="59" fillId="0" borderId="35" xfId="2" applyFont="1" applyBorder="1" applyAlignment="1">
      <alignment vertical="center"/>
    </xf>
    <xf numFmtId="0" fontId="59" fillId="0" borderId="30" xfId="2" applyFont="1" applyAlignment="1">
      <alignment vertical="center"/>
    </xf>
    <xf numFmtId="0" fontId="0" fillId="0" borderId="41" xfId="0" applyNumberFormat="1" applyFill="1" applyBorder="1" applyAlignment="1">
      <alignment horizontal="center" vertical="center"/>
    </xf>
    <xf numFmtId="0" fontId="0" fillId="0" borderId="35" xfId="0" applyNumberForma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49" fontId="10" fillId="14" borderId="35" xfId="0" applyNumberFormat="1" applyFont="1" applyFill="1" applyBorder="1" applyAlignment="1">
      <alignment horizontal="center" vertical="center" wrapText="1"/>
    </xf>
    <xf numFmtId="0" fontId="62" fillId="14" borderId="35" xfId="0" applyFont="1" applyFill="1" applyBorder="1" applyAlignment="1">
      <alignment horizontal="center" vertical="center"/>
    </xf>
    <xf numFmtId="0" fontId="62" fillId="14" borderId="35" xfId="0" applyFont="1" applyFill="1" applyBorder="1" applyAlignment="1">
      <alignment horizontal="center" vertical="center" wrapText="1"/>
    </xf>
    <xf numFmtId="0" fontId="62" fillId="14" borderId="30" xfId="0" applyFont="1" applyFill="1" applyBorder="1" applyAlignment="1">
      <alignment horizontal="center" vertical="center" wrapText="1"/>
    </xf>
    <xf numFmtId="0" fontId="3" fillId="0" borderId="35" xfId="0" applyNumberFormat="1" applyFont="1" applyFill="1" applyBorder="1" applyAlignment="1">
      <alignment horizontal="left" vertical="center" wrapText="1"/>
    </xf>
    <xf numFmtId="49" fontId="56" fillId="14" borderId="35" xfId="0" applyNumberFormat="1" applyFont="1" applyFill="1" applyBorder="1" applyAlignment="1">
      <alignment horizontal="center" vertical="center" wrapText="1"/>
    </xf>
    <xf numFmtId="49" fontId="10" fillId="14" borderId="34" xfId="2" applyNumberFormat="1" applyFont="1" applyFill="1" applyBorder="1" applyAlignment="1">
      <alignment horizontal="center" vertical="center" wrapText="1"/>
    </xf>
    <xf numFmtId="0" fontId="0" fillId="15" borderId="35" xfId="0" applyFill="1" applyBorder="1" applyAlignment="1">
      <alignment horizontal="left" vertical="center" wrapText="1"/>
    </xf>
    <xf numFmtId="49" fontId="58" fillId="0" borderId="34" xfId="2" applyNumberFormat="1" applyFont="1" applyBorder="1" applyAlignment="1">
      <alignment vertical="center" wrapText="1"/>
    </xf>
    <xf numFmtId="0" fontId="3" fillId="11" borderId="35" xfId="2" applyFont="1" applyFill="1" applyBorder="1" applyAlignment="1">
      <alignment horizontal="center" vertical="center"/>
    </xf>
    <xf numFmtId="49" fontId="3" fillId="0" borderId="31" xfId="2" applyNumberFormat="1" applyFont="1" applyBorder="1" applyAlignment="1">
      <alignment horizontal="left" vertical="center" wrapText="1"/>
    </xf>
    <xf numFmtId="0" fontId="3" fillId="0" borderId="33" xfId="2" applyFont="1" applyBorder="1" applyAlignment="1">
      <alignment vertical="center" wrapText="1"/>
    </xf>
    <xf numFmtId="0" fontId="3" fillId="0" borderId="36" xfId="2" applyFont="1" applyBorder="1" applyAlignment="1">
      <alignment horizontal="left" vertical="center" wrapText="1"/>
    </xf>
    <xf numFmtId="0" fontId="71" fillId="0" borderId="40" xfId="2" applyFont="1" applyBorder="1" applyAlignment="1">
      <alignment horizontal="center" vertical="center" wrapText="1"/>
    </xf>
    <xf numFmtId="0" fontId="72" fillId="0" borderId="36" xfId="2" applyFont="1" applyBorder="1" applyAlignment="1">
      <alignment vertical="center"/>
    </xf>
    <xf numFmtId="49" fontId="71" fillId="0" borderId="42" xfId="2" applyNumberFormat="1" applyFont="1" applyBorder="1" applyAlignment="1">
      <alignment horizontal="center" vertical="center" wrapText="1"/>
    </xf>
    <xf numFmtId="0" fontId="3" fillId="0" borderId="43" xfId="2" applyFont="1" applyBorder="1" applyAlignment="1">
      <alignment horizontal="left" vertical="center"/>
    </xf>
    <xf numFmtId="0" fontId="46" fillId="11" borderId="30" xfId="2" applyFill="1" applyAlignment="1">
      <alignment vertical="center"/>
    </xf>
    <xf numFmtId="0" fontId="3" fillId="0" borderId="30" xfId="2" applyFont="1" applyAlignment="1">
      <alignment vertical="center"/>
    </xf>
    <xf numFmtId="0" fontId="3" fillId="0" borderId="36" xfId="2" applyFont="1" applyBorder="1" applyAlignment="1">
      <alignment vertical="center" wrapText="1"/>
    </xf>
    <xf numFmtId="49" fontId="3" fillId="14" borderId="36" xfId="2" applyNumberFormat="1" applyFont="1" applyFill="1" applyBorder="1" applyAlignment="1">
      <alignment horizontal="center" vertical="center" wrapText="1"/>
    </xf>
    <xf numFmtId="1" fontId="3" fillId="14" borderId="36" xfId="2" applyNumberFormat="1" applyFont="1" applyFill="1" applyBorder="1" applyAlignment="1">
      <alignment horizontal="center" vertical="center" wrapText="1"/>
    </xf>
    <xf numFmtId="0" fontId="3" fillId="14" borderId="36" xfId="2" applyFont="1" applyFill="1" applyBorder="1" applyAlignment="1">
      <alignment horizontal="center" vertical="center" wrapText="1"/>
    </xf>
    <xf numFmtId="49" fontId="3" fillId="11" borderId="37" xfId="2" applyNumberFormat="1" applyFont="1" applyFill="1" applyBorder="1" applyAlignment="1">
      <alignment horizontal="left" vertical="center" wrapText="1"/>
    </xf>
    <xf numFmtId="0" fontId="3" fillId="10" borderId="37" xfId="2" applyFont="1" applyFill="1" applyBorder="1" applyAlignment="1">
      <alignment vertical="top" wrapText="1"/>
    </xf>
    <xf numFmtId="0" fontId="72" fillId="0" borderId="35" xfId="2" applyFont="1" applyBorder="1" applyAlignment="1">
      <alignment vertical="center"/>
    </xf>
    <xf numFmtId="0" fontId="59" fillId="0" borderId="42" xfId="2" applyFont="1" applyBorder="1" applyAlignment="1">
      <alignment vertical="center"/>
    </xf>
    <xf numFmtId="0" fontId="58" fillId="0" borderId="35" xfId="2" applyFont="1" applyBorder="1" applyAlignment="1">
      <alignment horizontal="left" vertical="center" wrapText="1"/>
    </xf>
    <xf numFmtId="49" fontId="49" fillId="0" borderId="35" xfId="2" applyNumberFormat="1" applyFont="1" applyBorder="1" applyAlignment="1">
      <alignment horizontal="left" vertical="center" wrapText="1"/>
    </xf>
    <xf numFmtId="0" fontId="30" fillId="0" borderId="35" xfId="2" applyFont="1" applyBorder="1" applyAlignment="1">
      <alignment horizontal="left" vertical="center"/>
    </xf>
    <xf numFmtId="0" fontId="3" fillId="10" borderId="35" xfId="2" applyFont="1" applyFill="1" applyBorder="1" applyAlignment="1">
      <alignment horizontal="left" vertical="center" wrapText="1"/>
    </xf>
    <xf numFmtId="177" fontId="3" fillId="0" borderId="35" xfId="2" applyNumberFormat="1" applyFont="1" applyBorder="1" applyAlignment="1">
      <alignment horizontal="center" vertical="center"/>
    </xf>
    <xf numFmtId="0" fontId="3" fillId="11" borderId="35" xfId="2" applyFont="1" applyFill="1" applyBorder="1" applyAlignment="1">
      <alignment vertical="center" wrapText="1"/>
    </xf>
    <xf numFmtId="0" fontId="49" fillId="0" borderId="35" xfId="2" applyFont="1" applyBorder="1" applyAlignment="1">
      <alignment horizontal="left" vertical="center" wrapText="1"/>
    </xf>
    <xf numFmtId="49" fontId="30" fillId="0" borderId="35" xfId="2" applyNumberFormat="1" applyFont="1" applyBorder="1" applyAlignment="1">
      <alignment horizontal="left" vertical="center" wrapText="1"/>
    </xf>
    <xf numFmtId="49" fontId="3" fillId="11" borderId="42" xfId="2" applyNumberFormat="1" applyFont="1" applyFill="1" applyBorder="1" applyAlignment="1">
      <alignment horizontal="left" vertical="center" wrapText="1"/>
    </xf>
    <xf numFmtId="0" fontId="3" fillId="10" borderId="42" xfId="2" applyFont="1" applyFill="1" applyBorder="1" applyAlignment="1">
      <alignment vertical="top" wrapText="1"/>
    </xf>
    <xf numFmtId="49" fontId="3" fillId="10" borderId="42" xfId="2" applyNumberFormat="1" applyFont="1" applyFill="1" applyBorder="1" applyAlignment="1">
      <alignment horizontal="left" vertical="center" wrapText="1"/>
    </xf>
    <xf numFmtId="0" fontId="3" fillId="11" borderId="42" xfId="2" applyFont="1" applyFill="1" applyBorder="1" applyAlignment="1">
      <alignment horizontal="center" vertical="center" wrapText="1"/>
    </xf>
    <xf numFmtId="1" fontId="3" fillId="10" borderId="42" xfId="2" applyNumberFormat="1" applyFont="1" applyFill="1" applyBorder="1" applyAlignment="1">
      <alignment horizontal="center" vertical="center" wrapText="1"/>
    </xf>
    <xf numFmtId="49" fontId="3" fillId="10" borderId="42" xfId="2" applyNumberFormat="1" applyFont="1" applyFill="1" applyBorder="1" applyAlignment="1">
      <alignment horizontal="center" vertical="center" wrapText="1"/>
    </xf>
    <xf numFmtId="49" fontId="3" fillId="10" borderId="42" xfId="2" applyNumberFormat="1" applyFont="1" applyFill="1" applyBorder="1" applyAlignment="1">
      <alignment vertical="center" wrapText="1"/>
    </xf>
    <xf numFmtId="0" fontId="3" fillId="11" borderId="42" xfId="2" applyFont="1" applyFill="1" applyBorder="1" applyAlignment="1">
      <alignment horizontal="left" vertical="center"/>
    </xf>
    <xf numFmtId="0" fontId="3" fillId="10" borderId="42" xfId="2" applyFont="1" applyFill="1" applyBorder="1" applyAlignment="1">
      <alignment horizontal="left" vertical="center"/>
    </xf>
    <xf numFmtId="0" fontId="3" fillId="10" borderId="42" xfId="2" applyFont="1" applyFill="1" applyBorder="1" applyAlignment="1">
      <alignment vertical="center"/>
    </xf>
    <xf numFmtId="0" fontId="3" fillId="14" borderId="35" xfId="2" applyFont="1" applyFill="1" applyBorder="1" applyAlignment="1">
      <alignment horizontal="left" vertical="center"/>
    </xf>
    <xf numFmtId="0" fontId="3" fillId="0" borderId="33" xfId="2" applyFont="1" applyBorder="1" applyAlignment="1">
      <alignment vertical="center"/>
    </xf>
    <xf numFmtId="0" fontId="3" fillId="14" borderId="33" xfId="2" applyFont="1" applyFill="1" applyBorder="1" applyAlignment="1">
      <alignment vertical="center"/>
    </xf>
    <xf numFmtId="0" fontId="3" fillId="14" borderId="30" xfId="2" applyFont="1" applyFill="1" applyAlignment="1">
      <alignment vertical="center"/>
    </xf>
    <xf numFmtId="0" fontId="3" fillId="14" borderId="35" xfId="2" applyFont="1" applyFill="1" applyBorder="1" applyAlignment="1">
      <alignment vertical="center"/>
    </xf>
    <xf numFmtId="49" fontId="3" fillId="0" borderId="44" xfId="2" applyNumberFormat="1" applyFont="1" applyBorder="1" applyAlignment="1">
      <alignment horizontal="center" vertical="center" wrapText="1"/>
    </xf>
    <xf numFmtId="49" fontId="3" fillId="0" borderId="45" xfId="2" applyNumberFormat="1" applyFont="1" applyBorder="1" applyAlignment="1">
      <alignment horizontal="center" vertical="center" wrapText="1"/>
    </xf>
    <xf numFmtId="49" fontId="3" fillId="0" borderId="44" xfId="2" applyNumberFormat="1" applyFont="1" applyBorder="1" applyAlignment="1">
      <alignment horizontal="left" vertical="center" wrapText="1"/>
    </xf>
    <xf numFmtId="49" fontId="3" fillId="14" borderId="35" xfId="2" applyNumberFormat="1" applyFont="1" applyFill="1" applyBorder="1" applyAlignment="1">
      <alignment horizontal="left" vertical="center" wrapText="1"/>
    </xf>
    <xf numFmtId="0" fontId="71" fillId="14" borderId="35" xfId="2" applyFont="1" applyFill="1" applyBorder="1" applyAlignment="1">
      <alignment horizontal="center" vertical="center" wrapText="1"/>
    </xf>
    <xf numFmtId="0" fontId="72" fillId="14" borderId="35" xfId="2" applyFont="1" applyFill="1" applyBorder="1" applyAlignment="1">
      <alignment vertical="center"/>
    </xf>
    <xf numFmtId="0" fontId="71" fillId="0" borderId="34" xfId="2" applyFont="1" applyBorder="1" applyAlignment="1">
      <alignment vertical="center" wrapText="1"/>
    </xf>
    <xf numFmtId="0" fontId="46" fillId="0" borderId="42" xfId="2" applyBorder="1" applyAlignment="1">
      <alignment vertical="center"/>
    </xf>
    <xf numFmtId="49" fontId="58" fillId="0" borderId="42" xfId="2" applyNumberFormat="1" applyFont="1" applyBorder="1" applyAlignment="1">
      <alignment horizontal="left" vertical="center" wrapText="1"/>
    </xf>
    <xf numFmtId="49" fontId="3" fillId="0" borderId="42" xfId="2" applyNumberFormat="1" applyFont="1" applyBorder="1" applyAlignment="1">
      <alignment horizontal="left" vertical="center" wrapText="1"/>
    </xf>
    <xf numFmtId="0" fontId="3" fillId="0" borderId="42" xfId="2" applyFont="1" applyBorder="1" applyAlignment="1">
      <alignment horizontal="center" vertical="center" wrapText="1"/>
    </xf>
    <xf numFmtId="49" fontId="3" fillId="0" borderId="42" xfId="2" applyNumberFormat="1" applyFont="1" applyBorder="1" applyAlignment="1">
      <alignment horizontal="center" vertical="center" wrapText="1"/>
    </xf>
    <xf numFmtId="49" fontId="3" fillId="0" borderId="42" xfId="2" applyNumberFormat="1" applyFont="1" applyBorder="1" applyAlignment="1">
      <alignment vertical="center" wrapText="1"/>
    </xf>
    <xf numFmtId="49" fontId="32" fillId="0" borderId="42" xfId="2" applyNumberFormat="1" applyFont="1" applyBorder="1" applyAlignment="1">
      <alignment horizontal="left" vertical="center" wrapText="1"/>
    </xf>
    <xf numFmtId="0" fontId="3" fillId="0" borderId="42" xfId="2" applyFont="1" applyBorder="1" applyAlignment="1">
      <alignment horizontal="left" vertical="center"/>
    </xf>
    <xf numFmtId="49" fontId="3" fillId="11" borderId="36" xfId="2" applyNumberFormat="1" applyFont="1" applyFill="1" applyBorder="1" applyAlignment="1">
      <alignment horizontal="left" vertical="center" wrapText="1"/>
    </xf>
    <xf numFmtId="0" fontId="75" fillId="14" borderId="34" xfId="2" applyFont="1" applyFill="1" applyBorder="1" applyAlignment="1">
      <alignment horizontal="center" vertical="center" wrapText="1"/>
    </xf>
    <xf numFmtId="0" fontId="30" fillId="14" borderId="34" xfId="2" applyFont="1" applyFill="1" applyBorder="1" applyAlignment="1">
      <alignment horizontal="center" vertical="center" wrapText="1"/>
    </xf>
    <xf numFmtId="0" fontId="3" fillId="14" borderId="34" xfId="2" applyFont="1" applyFill="1" applyBorder="1" applyAlignment="1">
      <alignment vertical="center" wrapText="1"/>
    </xf>
    <xf numFmtId="0" fontId="3" fillId="14" borderId="37" xfId="2" applyFont="1" applyFill="1" applyBorder="1" applyAlignment="1">
      <alignment horizontal="left" vertical="center"/>
    </xf>
    <xf numFmtId="0" fontId="72" fillId="0" borderId="40" xfId="0" applyFont="1" applyFill="1" applyBorder="1" applyAlignment="1">
      <alignment horizontal="left" vertical="center" wrapText="1"/>
    </xf>
    <xf numFmtId="0" fontId="46" fillId="15" borderId="30" xfId="2" applyFill="1" applyAlignment="1">
      <alignment vertical="center"/>
    </xf>
    <xf numFmtId="49" fontId="3" fillId="0" borderId="40" xfId="2" applyNumberFormat="1" applyFont="1" applyBorder="1" applyAlignment="1">
      <alignment vertical="center" wrapText="1"/>
    </xf>
    <xf numFmtId="49" fontId="49" fillId="0" borderId="40" xfId="2" applyNumberFormat="1" applyFont="1" applyBorder="1" applyAlignment="1">
      <alignment vertical="center" wrapText="1"/>
    </xf>
    <xf numFmtId="0" fontId="46" fillId="0" borderId="40" xfId="2" applyBorder="1" applyAlignment="1">
      <alignment vertical="center"/>
    </xf>
    <xf numFmtId="1" fontId="3" fillId="14" borderId="42" xfId="2" applyNumberFormat="1" applyFont="1" applyFill="1" applyBorder="1" applyAlignment="1">
      <alignment horizontal="center" vertical="center" wrapText="1"/>
    </xf>
    <xf numFmtId="49" fontId="3" fillId="15" borderId="34" xfId="2" applyNumberFormat="1" applyFont="1" applyFill="1" applyBorder="1" applyAlignment="1">
      <alignment horizontal="left" vertical="center" wrapText="1"/>
    </xf>
    <xf numFmtId="0" fontId="0" fillId="0" borderId="35" xfId="0" applyFill="1" applyBorder="1" applyAlignment="1">
      <alignment horizontal="left" wrapText="1"/>
    </xf>
    <xf numFmtId="0" fontId="49" fillId="0" borderId="35" xfId="2" applyFont="1" applyBorder="1" applyAlignment="1">
      <alignment horizontal="center" vertical="center"/>
    </xf>
    <xf numFmtId="0" fontId="3" fillId="0" borderId="42" xfId="2" applyFont="1" applyBorder="1" applyAlignment="1">
      <alignment horizontal="left" vertical="center" wrapText="1"/>
    </xf>
    <xf numFmtId="0" fontId="72" fillId="0" borderId="42" xfId="0" applyFont="1" applyFill="1" applyBorder="1" applyAlignment="1">
      <alignment horizontal="left" vertical="center" wrapText="1"/>
    </xf>
    <xf numFmtId="0" fontId="3" fillId="0" borderId="42" xfId="2" applyFont="1" applyBorder="1" applyAlignment="1">
      <alignment horizontal="center" vertical="center"/>
    </xf>
    <xf numFmtId="0" fontId="3" fillId="0" borderId="42" xfId="2" applyFont="1" applyBorder="1" applyAlignment="1">
      <alignment vertical="center"/>
    </xf>
    <xf numFmtId="0" fontId="3" fillId="15" borderId="34" xfId="2" applyFont="1" applyFill="1" applyBorder="1" applyAlignment="1">
      <alignment horizontal="center" vertical="center"/>
    </xf>
    <xf numFmtId="1" fontId="3" fillId="15" borderId="34" xfId="2" applyNumberFormat="1" applyFont="1" applyFill="1" applyBorder="1" applyAlignment="1">
      <alignment horizontal="center" vertical="center" wrapText="1"/>
    </xf>
    <xf numFmtId="0" fontId="3" fillId="15" borderId="34" xfId="2" applyFont="1" applyFill="1" applyBorder="1" applyAlignment="1">
      <alignment horizontal="center" vertical="center" wrapText="1"/>
    </xf>
    <xf numFmtId="49" fontId="3" fillId="15" borderId="34" xfId="2" applyNumberFormat="1" applyFont="1" applyFill="1" applyBorder="1" applyAlignment="1">
      <alignment horizontal="center" vertical="center" wrapText="1"/>
    </xf>
    <xf numFmtId="0" fontId="3" fillId="15" borderId="34" xfId="2" applyFont="1" applyFill="1" applyBorder="1" applyAlignment="1">
      <alignment horizontal="left" vertical="center"/>
    </xf>
    <xf numFmtId="0" fontId="3" fillId="15" borderId="34" xfId="2" applyFont="1" applyFill="1" applyBorder="1" applyAlignment="1">
      <alignment vertical="center"/>
    </xf>
    <xf numFmtId="49" fontId="3" fillId="15" borderId="34" xfId="2" applyNumberFormat="1" applyFont="1" applyFill="1" applyBorder="1" applyAlignment="1">
      <alignment vertical="center" wrapText="1"/>
    </xf>
    <xf numFmtId="0" fontId="76" fillId="0" borderId="35" xfId="2" applyFont="1" applyBorder="1" applyAlignment="1">
      <alignment horizontal="left" vertical="center" wrapText="1"/>
    </xf>
    <xf numFmtId="0" fontId="67" fillId="14" borderId="35" xfId="2" applyFont="1" applyFill="1" applyBorder="1" applyAlignment="1">
      <alignment horizontal="center" vertical="center"/>
    </xf>
    <xf numFmtId="1" fontId="3" fillId="0" borderId="35" xfId="2" applyNumberFormat="1" applyFont="1" applyBorder="1" applyAlignment="1">
      <alignment horizontal="center" vertical="center"/>
    </xf>
    <xf numFmtId="0" fontId="46" fillId="0" borderId="35" xfId="2" applyBorder="1" applyAlignment="1">
      <alignment horizontal="center" vertical="center"/>
    </xf>
    <xf numFmtId="0" fontId="67" fillId="0" borderId="42" xfId="2" applyFont="1" applyBorder="1" applyAlignment="1">
      <alignment vertical="center"/>
    </xf>
    <xf numFmtId="1" fontId="3" fillId="0" borderId="40" xfId="2" applyNumberFormat="1" applyFont="1" applyBorder="1" applyAlignment="1">
      <alignment horizontal="center" vertical="center" wrapText="1"/>
    </xf>
    <xf numFmtId="0" fontId="67" fillId="11" borderId="42" xfId="2" applyFont="1" applyFill="1" applyBorder="1" applyAlignment="1">
      <alignment horizontal="center" vertical="center"/>
    </xf>
    <xf numFmtId="49" fontId="30" fillId="15" borderId="34" xfId="2" applyNumberFormat="1" applyFont="1" applyFill="1" applyBorder="1" applyAlignment="1">
      <alignment vertical="center" wrapText="1"/>
    </xf>
    <xf numFmtId="49" fontId="71" fillId="15" borderId="35" xfId="2" applyNumberFormat="1" applyFont="1" applyFill="1" applyBorder="1" applyAlignment="1">
      <alignment horizontal="center" vertical="center" wrapText="1"/>
    </xf>
    <xf numFmtId="49" fontId="3" fillId="15" borderId="35" xfId="2" applyNumberFormat="1" applyFont="1" applyFill="1" applyBorder="1" applyAlignment="1">
      <alignment horizontal="left" vertical="center" wrapText="1"/>
    </xf>
    <xf numFmtId="0" fontId="49" fillId="15" borderId="35" xfId="2" applyFont="1" applyFill="1" applyBorder="1" applyAlignment="1">
      <alignment horizontal="center" vertical="center"/>
    </xf>
    <xf numFmtId="0" fontId="3" fillId="15" borderId="34" xfId="2" applyFont="1" applyFill="1" applyBorder="1" applyAlignment="1">
      <alignment vertical="center" wrapText="1"/>
    </xf>
    <xf numFmtId="0" fontId="58" fillId="15" borderId="34" xfId="2" applyFont="1" applyFill="1" applyBorder="1" applyAlignment="1">
      <alignment horizontal="left" vertical="center" wrapText="1"/>
    </xf>
    <xf numFmtId="0" fontId="71" fillId="15" borderId="34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6" fillId="7" borderId="26" xfId="0" applyFont="1" applyFill="1" applyBorder="1" applyAlignment="1">
      <alignment horizontal="center" vertical="center" wrapText="1"/>
    </xf>
    <xf numFmtId="0" fontId="27" fillId="8" borderId="2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</cellXfs>
  <cellStyles count="6">
    <cellStyle name="常规" xfId="0" builtinId="0"/>
    <cellStyle name="常规 2" xfId="2" xr:uid="{00000000-0005-0000-0000-000001000000}"/>
    <cellStyle name="常规 2 2" xfId="3" xr:uid="{00000000-0005-0000-0000-000002000000}"/>
    <cellStyle name="常规 3" xfId="1" xr:uid="{00000000-0005-0000-0000-000003000000}"/>
    <cellStyle name="常规 3 2" xfId="4" xr:uid="{00000000-0005-0000-0000-000004000000}"/>
    <cellStyle name="常规 4" xfId="5" xr:uid="{00000000-0005-0000-0000-000005000000}"/>
  </cellStyles>
  <dxfs count="863"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DBDBDB"/>
      <color rgb="FFBACE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487680</xdr:colOff>
      <xdr:row>16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徐楚" id="{25D71842-8BB3-4430-89D9-A1E9F3D01EE6}" userId="S::xuc01@hithium.cn::eeacdb06-5c28-42f5-b68b-729d2ce7dd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08-29T02:05:07.00" personId="{25D71842-8BB3-4430-89D9-A1E9F3D01EE6}" id="{A673FCDD-E191-4E34-A626-D35EB367539F}">
    <text>@易旺 @万大鹏 三级板需要定义一下端口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"/>
  <sheetViews>
    <sheetView workbookViewId="0">
      <selection sqref="A1:I27"/>
    </sheetView>
  </sheetViews>
  <sheetFormatPr defaultColWidth="14" defaultRowHeight="12.75" x14ac:dyDescent="0.35"/>
  <cols>
    <col min="1" max="20" width="10" customWidth="1"/>
  </cols>
  <sheetData>
    <row r="1" spans="1:9" ht="15" customHeight="1" x14ac:dyDescent="0.35">
      <c r="A1" s="439" t="s">
        <v>0</v>
      </c>
      <c r="B1" s="439"/>
      <c r="C1" s="439"/>
      <c r="D1" s="439"/>
      <c r="E1" s="439"/>
      <c r="F1" s="439"/>
      <c r="G1" s="439"/>
      <c r="H1" s="439"/>
      <c r="I1" s="439"/>
    </row>
    <row r="2" spans="1:9" ht="16.25" customHeight="1" x14ac:dyDescent="0.35">
      <c r="A2" s="440"/>
      <c r="B2" s="440"/>
      <c r="C2" s="440"/>
      <c r="D2" s="440"/>
      <c r="E2" s="440"/>
      <c r="F2" s="440"/>
      <c r="G2" s="440"/>
      <c r="H2" s="440"/>
      <c r="I2" s="440"/>
    </row>
    <row r="3" spans="1:9" ht="16.25" customHeight="1" x14ac:dyDescent="0.35">
      <c r="A3" s="440"/>
      <c r="B3" s="440"/>
      <c r="C3" s="440"/>
      <c r="D3" s="440"/>
      <c r="E3" s="440"/>
      <c r="F3" s="440"/>
      <c r="G3" s="440"/>
      <c r="H3" s="440"/>
      <c r="I3" s="440"/>
    </row>
    <row r="4" spans="1:9" ht="16.25" customHeight="1" x14ac:dyDescent="0.35">
      <c r="A4" s="440"/>
      <c r="B4" s="440"/>
      <c r="C4" s="440"/>
      <c r="D4" s="440"/>
      <c r="E4" s="440"/>
      <c r="F4" s="440"/>
      <c r="G4" s="440"/>
      <c r="H4" s="440"/>
      <c r="I4" s="440"/>
    </row>
    <row r="5" spans="1:9" ht="16.25" customHeight="1" x14ac:dyDescent="0.35">
      <c r="A5" s="440"/>
      <c r="B5" s="440"/>
      <c r="C5" s="440"/>
      <c r="D5" s="440"/>
      <c r="E5" s="440"/>
      <c r="F5" s="440"/>
      <c r="G5" s="440"/>
      <c r="H5" s="440"/>
      <c r="I5" s="440"/>
    </row>
    <row r="6" spans="1:9" ht="16.25" customHeight="1" x14ac:dyDescent="0.35">
      <c r="A6" s="440"/>
      <c r="B6" s="440"/>
      <c r="C6" s="440"/>
      <c r="D6" s="440"/>
      <c r="E6" s="440"/>
      <c r="F6" s="440"/>
      <c r="G6" s="440"/>
      <c r="H6" s="440"/>
      <c r="I6" s="440"/>
    </row>
    <row r="7" spans="1:9" ht="16.25" customHeight="1" x14ac:dyDescent="0.35">
      <c r="A7" s="440"/>
      <c r="B7" s="440"/>
      <c r="C7" s="440"/>
      <c r="D7" s="440"/>
      <c r="E7" s="440"/>
      <c r="F7" s="440"/>
      <c r="G7" s="440"/>
      <c r="H7" s="440"/>
      <c r="I7" s="440"/>
    </row>
    <row r="8" spans="1:9" ht="16.25" customHeight="1" x14ac:dyDescent="0.35">
      <c r="A8" s="440"/>
      <c r="B8" s="440"/>
      <c r="C8" s="440"/>
      <c r="D8" s="440"/>
      <c r="E8" s="440"/>
      <c r="F8" s="440"/>
      <c r="G8" s="440"/>
      <c r="H8" s="440"/>
      <c r="I8" s="440"/>
    </row>
    <row r="9" spans="1:9" ht="16.25" customHeight="1" x14ac:dyDescent="0.35">
      <c r="A9" s="440"/>
      <c r="B9" s="440"/>
      <c r="C9" s="440"/>
      <c r="D9" s="440"/>
      <c r="E9" s="440"/>
      <c r="F9" s="440"/>
      <c r="G9" s="440"/>
      <c r="H9" s="440"/>
      <c r="I9" s="440"/>
    </row>
    <row r="10" spans="1:9" ht="16.25" customHeight="1" x14ac:dyDescent="0.35">
      <c r="A10" s="440"/>
      <c r="B10" s="440"/>
      <c r="C10" s="440"/>
      <c r="D10" s="440"/>
      <c r="E10" s="440"/>
      <c r="F10" s="440"/>
      <c r="G10" s="440"/>
      <c r="H10" s="440"/>
      <c r="I10" s="440"/>
    </row>
    <row r="11" spans="1:9" ht="16.25" customHeight="1" x14ac:dyDescent="0.35">
      <c r="A11" s="440"/>
      <c r="B11" s="440"/>
      <c r="C11" s="440"/>
      <c r="D11" s="440"/>
      <c r="E11" s="440"/>
      <c r="F11" s="440"/>
      <c r="G11" s="440"/>
      <c r="H11" s="440"/>
      <c r="I11" s="440"/>
    </row>
    <row r="12" spans="1:9" ht="16.25" customHeight="1" x14ac:dyDescent="0.35">
      <c r="A12" s="440"/>
      <c r="B12" s="440"/>
      <c r="C12" s="440"/>
      <c r="D12" s="440"/>
      <c r="E12" s="440"/>
      <c r="F12" s="440"/>
      <c r="G12" s="440"/>
      <c r="H12" s="440"/>
      <c r="I12" s="440"/>
    </row>
    <row r="13" spans="1:9" ht="16.25" customHeight="1" x14ac:dyDescent="0.35">
      <c r="A13" s="440"/>
      <c r="B13" s="440"/>
      <c r="C13" s="440"/>
      <c r="D13" s="440"/>
      <c r="E13" s="440"/>
      <c r="F13" s="440"/>
      <c r="G13" s="440"/>
      <c r="H13" s="440"/>
      <c r="I13" s="440"/>
    </row>
    <row r="14" spans="1:9" ht="16.25" customHeight="1" x14ac:dyDescent="0.35">
      <c r="A14" s="440"/>
      <c r="B14" s="440"/>
      <c r="C14" s="440"/>
      <c r="D14" s="440"/>
      <c r="E14" s="440"/>
      <c r="F14" s="440"/>
      <c r="G14" s="440"/>
      <c r="H14" s="440"/>
      <c r="I14" s="440"/>
    </row>
    <row r="15" spans="1:9" ht="16.25" customHeight="1" x14ac:dyDescent="0.35">
      <c r="A15" s="440"/>
      <c r="B15" s="440"/>
      <c r="C15" s="440"/>
      <c r="D15" s="440"/>
      <c r="E15" s="440"/>
      <c r="F15" s="440"/>
      <c r="G15" s="440"/>
      <c r="H15" s="440"/>
      <c r="I15" s="440"/>
    </row>
    <row r="16" spans="1:9" ht="16.25" customHeight="1" x14ac:dyDescent="0.35">
      <c r="A16" s="440"/>
      <c r="B16" s="440"/>
      <c r="C16" s="440"/>
      <c r="D16" s="440"/>
      <c r="E16" s="440"/>
      <c r="F16" s="440"/>
      <c r="G16" s="440"/>
      <c r="H16" s="440"/>
      <c r="I16" s="440"/>
    </row>
    <row r="17" spans="1:9" ht="16.25" customHeight="1" x14ac:dyDescent="0.35">
      <c r="A17" s="440"/>
      <c r="B17" s="440"/>
      <c r="C17" s="440"/>
      <c r="D17" s="440"/>
      <c r="E17" s="440"/>
      <c r="F17" s="440"/>
      <c r="G17" s="440"/>
      <c r="H17" s="440"/>
      <c r="I17" s="440"/>
    </row>
    <row r="18" spans="1:9" ht="16.25" customHeight="1" x14ac:dyDescent="0.35">
      <c r="A18" s="440"/>
      <c r="B18" s="440"/>
      <c r="C18" s="440"/>
      <c r="D18" s="440"/>
      <c r="E18" s="440"/>
      <c r="F18" s="440"/>
      <c r="G18" s="440"/>
      <c r="H18" s="440"/>
      <c r="I18" s="440"/>
    </row>
    <row r="19" spans="1:9" ht="16.25" customHeight="1" x14ac:dyDescent="0.35">
      <c r="A19" s="440"/>
      <c r="B19" s="440"/>
      <c r="C19" s="440"/>
      <c r="D19" s="440"/>
      <c r="E19" s="440"/>
      <c r="F19" s="440"/>
      <c r="G19" s="440"/>
      <c r="H19" s="440"/>
      <c r="I19" s="440"/>
    </row>
    <row r="20" spans="1:9" ht="16.25" customHeight="1" x14ac:dyDescent="0.35">
      <c r="A20" s="440"/>
      <c r="B20" s="440"/>
      <c r="C20" s="440"/>
      <c r="D20" s="440"/>
      <c r="E20" s="440"/>
      <c r="F20" s="440"/>
      <c r="G20" s="440"/>
      <c r="H20" s="440"/>
      <c r="I20" s="440"/>
    </row>
    <row r="21" spans="1:9" ht="16.25" customHeight="1" x14ac:dyDescent="0.35">
      <c r="A21" s="440"/>
      <c r="B21" s="440"/>
      <c r="C21" s="440"/>
      <c r="D21" s="440"/>
      <c r="E21" s="440"/>
      <c r="F21" s="440"/>
      <c r="G21" s="440"/>
      <c r="H21" s="440"/>
      <c r="I21" s="440"/>
    </row>
    <row r="22" spans="1:9" ht="16.25" customHeight="1" x14ac:dyDescent="0.35">
      <c r="A22" s="440"/>
      <c r="B22" s="440"/>
      <c r="C22" s="440"/>
      <c r="D22" s="440"/>
      <c r="E22" s="440"/>
      <c r="F22" s="440"/>
      <c r="G22" s="440"/>
      <c r="H22" s="440"/>
      <c r="I22" s="440"/>
    </row>
    <row r="23" spans="1:9" ht="16.25" customHeight="1" x14ac:dyDescent="0.35">
      <c r="A23" s="440"/>
      <c r="B23" s="440"/>
      <c r="C23" s="440"/>
      <c r="D23" s="440"/>
      <c r="E23" s="440"/>
      <c r="F23" s="440"/>
      <c r="G23" s="440"/>
      <c r="H23" s="440"/>
      <c r="I23" s="440"/>
    </row>
    <row r="24" spans="1:9" ht="16.25" customHeight="1" x14ac:dyDescent="0.35">
      <c r="A24" s="440"/>
      <c r="B24" s="440"/>
      <c r="C24" s="440"/>
      <c r="D24" s="440"/>
      <c r="E24" s="440"/>
      <c r="F24" s="440"/>
      <c r="G24" s="440"/>
      <c r="H24" s="440"/>
      <c r="I24" s="440"/>
    </row>
    <row r="25" spans="1:9" ht="16.25" customHeight="1" x14ac:dyDescent="0.35">
      <c r="A25" s="440"/>
      <c r="B25" s="440"/>
      <c r="C25" s="440"/>
      <c r="D25" s="440"/>
      <c r="E25" s="440"/>
      <c r="F25" s="440"/>
      <c r="G25" s="440"/>
      <c r="H25" s="440"/>
      <c r="I25" s="440"/>
    </row>
    <row r="26" spans="1:9" ht="16.25" customHeight="1" x14ac:dyDescent="0.35">
      <c r="A26" s="440"/>
      <c r="B26" s="440"/>
      <c r="C26" s="440"/>
      <c r="D26" s="440"/>
      <c r="E26" s="440"/>
      <c r="F26" s="440"/>
      <c r="G26" s="440"/>
      <c r="H26" s="440"/>
      <c r="I26" s="440"/>
    </row>
    <row r="27" spans="1:9" ht="16.25" customHeight="1" x14ac:dyDescent="0.35">
      <c r="A27" s="440"/>
      <c r="B27" s="440"/>
      <c r="C27" s="440"/>
      <c r="D27" s="440"/>
      <c r="E27" s="440"/>
      <c r="F27" s="440"/>
      <c r="G27" s="440"/>
      <c r="H27" s="440"/>
      <c r="I27" s="440"/>
    </row>
  </sheetData>
  <mergeCells count="1">
    <mergeCell ref="A1:I27"/>
  </mergeCells>
  <phoneticPr fontId="43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5"/>
  <sheetViews>
    <sheetView tabSelected="1" topLeftCell="A52" workbookViewId="0">
      <selection activeCell="E53" sqref="E53"/>
    </sheetView>
  </sheetViews>
  <sheetFormatPr defaultColWidth="14" defaultRowHeight="12.75" x14ac:dyDescent="0.35"/>
  <cols>
    <col min="1" max="1" width="11" customWidth="1"/>
    <col min="2" max="3" width="12" customWidth="1"/>
    <col min="4" max="4" width="13" customWidth="1"/>
    <col min="5" max="5" width="101.640625" customWidth="1"/>
    <col min="6" max="17" width="9" customWidth="1"/>
  </cols>
  <sheetData>
    <row r="1" spans="1:5" ht="20" customHeight="1" x14ac:dyDescent="0.35">
      <c r="A1" s="332" t="s">
        <v>2227</v>
      </c>
      <c r="B1" s="333" t="s">
        <v>2228</v>
      </c>
      <c r="C1" s="333" t="s">
        <v>2229</v>
      </c>
      <c r="D1" s="333" t="s">
        <v>2230</v>
      </c>
      <c r="E1" s="334" t="s">
        <v>2231</v>
      </c>
    </row>
    <row r="2" spans="1:5" ht="17" customHeight="1" x14ac:dyDescent="0.35">
      <c r="A2" s="1" t="s">
        <v>35</v>
      </c>
      <c r="B2" s="2" t="s">
        <v>36</v>
      </c>
      <c r="C2" s="3" t="s">
        <v>37</v>
      </c>
      <c r="D2" s="3"/>
      <c r="E2" s="4" t="s">
        <v>38</v>
      </c>
    </row>
    <row r="3" spans="1:5" ht="88.25" customHeight="1" x14ac:dyDescent="0.35">
      <c r="A3" s="1" t="s">
        <v>39</v>
      </c>
      <c r="B3" s="2" t="s">
        <v>40</v>
      </c>
      <c r="C3" s="3" t="s">
        <v>41</v>
      </c>
      <c r="D3" s="3"/>
      <c r="E3" s="4" t="s">
        <v>42</v>
      </c>
    </row>
    <row r="4" spans="1:5" ht="44" customHeight="1" x14ac:dyDescent="0.35">
      <c r="A4" s="1" t="s">
        <v>43</v>
      </c>
      <c r="B4" s="2" t="s">
        <v>44</v>
      </c>
      <c r="C4" s="3" t="s">
        <v>45</v>
      </c>
      <c r="D4" s="3"/>
      <c r="E4" s="5" t="s">
        <v>46</v>
      </c>
    </row>
    <row r="5" spans="1:5" ht="148.5" x14ac:dyDescent="0.35">
      <c r="A5" s="1" t="s">
        <v>47</v>
      </c>
      <c r="B5" s="2" t="s">
        <v>48</v>
      </c>
      <c r="C5" s="3" t="s">
        <v>41</v>
      </c>
      <c r="D5" s="3"/>
      <c r="E5" s="20" t="s">
        <v>335</v>
      </c>
    </row>
    <row r="6" spans="1:5" ht="17" customHeight="1" x14ac:dyDescent="0.35">
      <c r="A6" s="1" t="s">
        <v>338</v>
      </c>
      <c r="B6" s="21" t="s">
        <v>339</v>
      </c>
      <c r="C6" s="3" t="s">
        <v>41</v>
      </c>
      <c r="D6" s="3"/>
      <c r="E6" s="20" t="s">
        <v>337</v>
      </c>
    </row>
    <row r="7" spans="1:5" ht="30.95" customHeight="1" x14ac:dyDescent="0.35">
      <c r="A7" s="1" t="s">
        <v>340</v>
      </c>
      <c r="B7" s="21" t="s">
        <v>341</v>
      </c>
      <c r="C7" s="3" t="s">
        <v>41</v>
      </c>
      <c r="D7" s="3"/>
      <c r="E7" s="20" t="s">
        <v>342</v>
      </c>
    </row>
    <row r="8" spans="1:5" ht="27" customHeight="1" x14ac:dyDescent="0.35">
      <c r="A8" s="1" t="s">
        <v>343</v>
      </c>
      <c r="B8" s="21" t="s">
        <v>344</v>
      </c>
      <c r="C8" s="3" t="s">
        <v>41</v>
      </c>
      <c r="D8" s="3"/>
      <c r="E8" s="20" t="s">
        <v>436</v>
      </c>
    </row>
    <row r="9" spans="1:5" s="22" customFormat="1" ht="161" customHeight="1" x14ac:dyDescent="0.35">
      <c r="A9" s="1" t="s">
        <v>437</v>
      </c>
      <c r="B9" s="21" t="s">
        <v>438</v>
      </c>
      <c r="C9" s="23" t="s">
        <v>439</v>
      </c>
      <c r="D9" s="3"/>
      <c r="E9" s="20" t="s">
        <v>674</v>
      </c>
    </row>
    <row r="10" spans="1:5" ht="332" customHeight="1" x14ac:dyDescent="0.35">
      <c r="A10" s="86" t="s">
        <v>676</v>
      </c>
      <c r="B10" s="87" t="s">
        <v>695</v>
      </c>
      <c r="C10" s="88" t="s">
        <v>677</v>
      </c>
      <c r="D10" s="88"/>
      <c r="E10" s="89" t="s">
        <v>694</v>
      </c>
    </row>
    <row r="11" spans="1:5" ht="74.55" customHeight="1" x14ac:dyDescent="0.35">
      <c r="A11" s="1" t="s">
        <v>737</v>
      </c>
      <c r="B11" s="21" t="s">
        <v>768</v>
      </c>
      <c r="C11" s="23" t="s">
        <v>677</v>
      </c>
      <c r="D11" s="3"/>
      <c r="E11" s="20" t="s">
        <v>770</v>
      </c>
    </row>
    <row r="12" spans="1:5" ht="65" customHeight="1" x14ac:dyDescent="0.35">
      <c r="A12" s="1" t="s">
        <v>769</v>
      </c>
      <c r="B12" s="21" t="s">
        <v>771</v>
      </c>
      <c r="C12" s="23" t="s">
        <v>677</v>
      </c>
      <c r="D12" s="3"/>
      <c r="E12" s="20" t="s">
        <v>772</v>
      </c>
    </row>
    <row r="13" spans="1:5" ht="143.55000000000001" customHeight="1" x14ac:dyDescent="0.35">
      <c r="A13" s="1" t="s">
        <v>773</v>
      </c>
      <c r="B13" s="21" t="s">
        <v>790</v>
      </c>
      <c r="C13" s="23" t="s">
        <v>677</v>
      </c>
      <c r="D13" s="3"/>
      <c r="E13" s="20" t="s">
        <v>818</v>
      </c>
    </row>
    <row r="14" spans="1:5" ht="243.5" customHeight="1" x14ac:dyDescent="0.35">
      <c r="A14" s="1" t="s">
        <v>819</v>
      </c>
      <c r="B14" s="21" t="s">
        <v>831</v>
      </c>
      <c r="C14" s="23" t="s">
        <v>820</v>
      </c>
      <c r="D14" s="3"/>
      <c r="E14" s="20" t="s">
        <v>833</v>
      </c>
    </row>
    <row r="15" spans="1:5" ht="110.55" customHeight="1" x14ac:dyDescent="0.35">
      <c r="A15" s="1" t="s">
        <v>834</v>
      </c>
      <c r="B15" s="21" t="s">
        <v>878</v>
      </c>
      <c r="C15" s="23" t="s">
        <v>677</v>
      </c>
      <c r="D15" s="3"/>
      <c r="E15" s="20" t="s">
        <v>877</v>
      </c>
    </row>
    <row r="16" spans="1:5" ht="34.049999999999997" customHeight="1" x14ac:dyDescent="0.35">
      <c r="A16" s="135" t="s">
        <v>879</v>
      </c>
      <c r="B16" s="136" t="s">
        <v>880</v>
      </c>
      <c r="C16" s="137" t="s">
        <v>677</v>
      </c>
      <c r="D16" s="138"/>
      <c r="E16" s="139" t="s">
        <v>881</v>
      </c>
    </row>
    <row r="17" spans="1:5" ht="31.5" customHeight="1" x14ac:dyDescent="0.35">
      <c r="A17" s="140" t="s">
        <v>882</v>
      </c>
      <c r="B17" s="141">
        <v>45713</v>
      </c>
      <c r="C17" s="140" t="s">
        <v>677</v>
      </c>
      <c r="D17" s="140"/>
      <c r="E17" s="143" t="s">
        <v>883</v>
      </c>
    </row>
    <row r="18" spans="1:5" ht="145.05000000000001" customHeight="1" x14ac:dyDescent="0.35">
      <c r="A18" s="140" t="s">
        <v>890</v>
      </c>
      <c r="B18" s="141">
        <v>45727</v>
      </c>
      <c r="C18" s="140" t="s">
        <v>677</v>
      </c>
      <c r="D18" s="140"/>
      <c r="E18" s="143" t="s">
        <v>901</v>
      </c>
    </row>
    <row r="19" spans="1:5" ht="123" customHeight="1" x14ac:dyDescent="0.35">
      <c r="A19" s="140" t="s">
        <v>902</v>
      </c>
      <c r="B19" s="141">
        <v>45737</v>
      </c>
      <c r="C19" s="140" t="s">
        <v>677</v>
      </c>
      <c r="D19" s="140"/>
      <c r="E19" s="143" t="s">
        <v>933</v>
      </c>
    </row>
    <row r="20" spans="1:5" ht="109.5" customHeight="1" x14ac:dyDescent="0.35">
      <c r="A20" s="140" t="s">
        <v>935</v>
      </c>
      <c r="B20" s="141">
        <v>45744</v>
      </c>
      <c r="C20" s="140" t="s">
        <v>677</v>
      </c>
      <c r="D20" s="140"/>
      <c r="E20" s="143" t="s">
        <v>936</v>
      </c>
    </row>
    <row r="21" spans="1:5" ht="46.05" customHeight="1" x14ac:dyDescent="0.35">
      <c r="A21" s="140" t="s">
        <v>937</v>
      </c>
      <c r="B21" s="141">
        <v>45748</v>
      </c>
      <c r="C21" s="140" t="s">
        <v>677</v>
      </c>
      <c r="D21" s="140"/>
      <c r="E21" s="143" t="s">
        <v>939</v>
      </c>
    </row>
    <row r="22" spans="1:5" ht="24" customHeight="1" x14ac:dyDescent="0.35">
      <c r="A22" s="140" t="s">
        <v>940</v>
      </c>
      <c r="B22" s="141">
        <v>45754</v>
      </c>
      <c r="C22" s="140" t="s">
        <v>820</v>
      </c>
      <c r="D22" s="140"/>
      <c r="E22" s="143" t="s">
        <v>941</v>
      </c>
    </row>
    <row r="23" spans="1:5" ht="91.5" customHeight="1" x14ac:dyDescent="0.35">
      <c r="A23" s="140" t="s">
        <v>945</v>
      </c>
      <c r="B23" s="141">
        <v>45763</v>
      </c>
      <c r="C23" s="140" t="s">
        <v>820</v>
      </c>
      <c r="D23" s="140"/>
      <c r="E23" s="143" t="s">
        <v>968</v>
      </c>
    </row>
    <row r="24" spans="1:5" ht="45" customHeight="1" x14ac:dyDescent="0.35">
      <c r="A24" s="140" t="s">
        <v>970</v>
      </c>
      <c r="B24" s="141">
        <v>45776</v>
      </c>
      <c r="C24" s="140" t="s">
        <v>820</v>
      </c>
      <c r="D24" s="140"/>
      <c r="E24" s="143" t="s">
        <v>975</v>
      </c>
    </row>
    <row r="25" spans="1:5" ht="82.5" customHeight="1" x14ac:dyDescent="0.35">
      <c r="A25" s="140" t="s">
        <v>976</v>
      </c>
      <c r="B25" s="141">
        <v>45789</v>
      </c>
      <c r="C25" s="140" t="s">
        <v>820</v>
      </c>
      <c r="D25" s="140"/>
      <c r="E25" s="143" t="s">
        <v>981</v>
      </c>
    </row>
    <row r="26" spans="1:5" ht="117.5" customHeight="1" x14ac:dyDescent="0.35">
      <c r="A26" s="140" t="s">
        <v>982</v>
      </c>
      <c r="B26" s="141">
        <v>45791</v>
      </c>
      <c r="C26" s="140" t="s">
        <v>820</v>
      </c>
      <c r="D26" s="140"/>
      <c r="E26" s="143" t="s">
        <v>1009</v>
      </c>
    </row>
    <row r="27" spans="1:5" x14ac:dyDescent="0.35">
      <c r="A27" s="140" t="s">
        <v>1010</v>
      </c>
      <c r="B27" s="141">
        <v>45798</v>
      </c>
      <c r="C27" s="140" t="s">
        <v>820</v>
      </c>
      <c r="D27" s="140"/>
      <c r="E27" s="143" t="s">
        <v>1011</v>
      </c>
    </row>
    <row r="28" spans="1:5" ht="236.55" customHeight="1" x14ac:dyDescent="0.35">
      <c r="A28" s="140" t="s">
        <v>1016</v>
      </c>
      <c r="B28" s="141">
        <v>45807</v>
      </c>
      <c r="C28" s="140" t="s">
        <v>820</v>
      </c>
      <c r="D28" s="140"/>
      <c r="E28" s="143" t="s">
        <v>1058</v>
      </c>
    </row>
    <row r="29" spans="1:5" ht="165.75" x14ac:dyDescent="0.35">
      <c r="A29" s="117" t="s">
        <v>1061</v>
      </c>
      <c r="B29" s="175">
        <v>45819</v>
      </c>
      <c r="C29" s="117" t="s">
        <v>820</v>
      </c>
      <c r="D29" s="117"/>
      <c r="E29" s="176" t="s">
        <v>1090</v>
      </c>
    </row>
    <row r="30" spans="1:5" ht="25.5" x14ac:dyDescent="0.35">
      <c r="A30" s="140" t="s">
        <v>1095</v>
      </c>
      <c r="B30" s="141">
        <v>45821</v>
      </c>
      <c r="C30" s="117" t="s">
        <v>677</v>
      </c>
      <c r="D30" s="140"/>
      <c r="E30" s="143" t="s">
        <v>1097</v>
      </c>
    </row>
    <row r="31" spans="1:5" ht="94.05" customHeight="1" x14ac:dyDescent="0.35">
      <c r="A31" s="140" t="s">
        <v>1109</v>
      </c>
      <c r="B31" s="141">
        <v>45838</v>
      </c>
      <c r="C31" s="146" t="s">
        <v>1110</v>
      </c>
      <c r="D31" s="140"/>
      <c r="E31" s="143" t="s">
        <v>1136</v>
      </c>
    </row>
    <row r="32" spans="1:5" ht="229.5" x14ac:dyDescent="0.35">
      <c r="A32" s="117" t="s">
        <v>1139</v>
      </c>
      <c r="B32" s="175">
        <v>45852</v>
      </c>
      <c r="C32" s="117" t="s">
        <v>677</v>
      </c>
      <c r="D32" s="117"/>
      <c r="E32" s="176" t="s">
        <v>1229</v>
      </c>
    </row>
    <row r="33" spans="1:5" ht="306" x14ac:dyDescent="0.35">
      <c r="A33" s="117" t="s">
        <v>1237</v>
      </c>
      <c r="B33" s="175">
        <v>45873</v>
      </c>
      <c r="C33" s="117" t="s">
        <v>677</v>
      </c>
      <c r="D33" s="117"/>
      <c r="E33" s="176" t="s">
        <v>1506</v>
      </c>
    </row>
    <row r="34" spans="1:5" x14ac:dyDescent="0.35">
      <c r="A34" s="117" t="s">
        <v>1507</v>
      </c>
      <c r="B34" s="175">
        <v>45876</v>
      </c>
      <c r="C34" s="117" t="s">
        <v>677</v>
      </c>
      <c r="D34" s="117"/>
      <c r="E34" s="275" t="s">
        <v>1508</v>
      </c>
    </row>
    <row r="35" spans="1:5" ht="140.25" x14ac:dyDescent="0.35">
      <c r="A35" s="117" t="s">
        <v>1509</v>
      </c>
      <c r="B35" s="175">
        <v>45890</v>
      </c>
      <c r="C35" s="117" t="s">
        <v>677</v>
      </c>
      <c r="D35" s="117"/>
      <c r="E35" s="176" t="s">
        <v>1546</v>
      </c>
    </row>
    <row r="36" spans="1:5" ht="102" x14ac:dyDescent="0.35">
      <c r="A36" s="117" t="s">
        <v>1564</v>
      </c>
      <c r="B36" s="175">
        <v>45896</v>
      </c>
      <c r="C36" s="117" t="s">
        <v>677</v>
      </c>
      <c r="D36" s="117"/>
      <c r="E36" s="176" t="s">
        <v>1585</v>
      </c>
    </row>
    <row r="37" spans="1:5" ht="25.5" x14ac:dyDescent="0.35">
      <c r="A37" s="117" t="s">
        <v>1586</v>
      </c>
      <c r="B37" s="175">
        <v>45905</v>
      </c>
      <c r="C37" s="117" t="s">
        <v>677</v>
      </c>
      <c r="D37" s="117"/>
      <c r="E37" s="176" t="s">
        <v>1599</v>
      </c>
    </row>
    <row r="38" spans="1:5" ht="76.5" x14ac:dyDescent="0.35">
      <c r="A38" s="117" t="s">
        <v>1600</v>
      </c>
      <c r="B38" s="175">
        <v>45910</v>
      </c>
      <c r="C38" s="117" t="s">
        <v>677</v>
      </c>
      <c r="D38" s="117"/>
      <c r="E38" s="176" t="s">
        <v>1616</v>
      </c>
    </row>
    <row r="39" spans="1:5" ht="178.5" x14ac:dyDescent="0.35">
      <c r="A39" s="117" t="s">
        <v>1617</v>
      </c>
      <c r="B39" s="175">
        <v>45919</v>
      </c>
      <c r="C39" s="117" t="s">
        <v>677</v>
      </c>
      <c r="D39" s="117"/>
      <c r="E39" s="176" t="s">
        <v>1675</v>
      </c>
    </row>
    <row r="40" spans="1:5" ht="25.5" x14ac:dyDescent="0.35">
      <c r="A40" s="117" t="s">
        <v>1676</v>
      </c>
      <c r="B40" s="175">
        <v>45945</v>
      </c>
      <c r="C40" s="117" t="s">
        <v>677</v>
      </c>
      <c r="D40" s="117"/>
      <c r="E40" s="176" t="s">
        <v>1688</v>
      </c>
    </row>
    <row r="41" spans="1:5" s="106" customFormat="1" ht="38.25" x14ac:dyDescent="0.35">
      <c r="A41" s="117" t="s">
        <v>1689</v>
      </c>
      <c r="B41" s="175">
        <v>45951</v>
      </c>
      <c r="C41" s="117" t="s">
        <v>677</v>
      </c>
      <c r="D41" s="117"/>
      <c r="E41" s="176" t="s">
        <v>1700</v>
      </c>
    </row>
    <row r="42" spans="1:5" ht="102" x14ac:dyDescent="0.35">
      <c r="A42" s="117" t="s">
        <v>1702</v>
      </c>
      <c r="B42" s="175">
        <v>45965</v>
      </c>
      <c r="C42" s="117" t="s">
        <v>677</v>
      </c>
      <c r="D42" s="117"/>
      <c r="E42" s="176" t="s">
        <v>1748</v>
      </c>
    </row>
    <row r="43" spans="1:5" ht="102" x14ac:dyDescent="0.35">
      <c r="A43" s="117" t="s">
        <v>1749</v>
      </c>
      <c r="B43" s="175">
        <v>45974</v>
      </c>
      <c r="C43" s="117" t="s">
        <v>677</v>
      </c>
      <c r="D43" s="117"/>
      <c r="E43" s="176" t="s">
        <v>1777</v>
      </c>
    </row>
    <row r="44" spans="1:5" ht="140.25" x14ac:dyDescent="0.35">
      <c r="A44" s="117" t="s">
        <v>1778</v>
      </c>
      <c r="B44" s="175">
        <v>45988</v>
      </c>
      <c r="C44" s="117" t="s">
        <v>677</v>
      </c>
      <c r="D44" s="117"/>
      <c r="E44" s="176" t="s">
        <v>1803</v>
      </c>
    </row>
    <row r="45" spans="1:5" ht="89.25" x14ac:dyDescent="0.35">
      <c r="A45" s="117" t="s">
        <v>1805</v>
      </c>
      <c r="B45" s="175">
        <v>46009</v>
      </c>
      <c r="C45" s="117" t="s">
        <v>677</v>
      </c>
      <c r="D45" s="117"/>
      <c r="E45" s="176" t="s">
        <v>1873</v>
      </c>
    </row>
    <row r="46" spans="1:5" ht="25.5" x14ac:dyDescent="0.35">
      <c r="A46" s="117" t="s">
        <v>1874</v>
      </c>
      <c r="B46" s="175">
        <v>46027</v>
      </c>
      <c r="C46" s="117" t="s">
        <v>677</v>
      </c>
      <c r="D46" s="117"/>
      <c r="E46" s="176" t="s">
        <v>1875</v>
      </c>
    </row>
    <row r="47" spans="1:5" s="106" customFormat="1" ht="89.25" x14ac:dyDescent="0.35">
      <c r="A47" s="117" t="s">
        <v>1876</v>
      </c>
      <c r="B47" s="175">
        <v>46058</v>
      </c>
      <c r="C47" s="117" t="s">
        <v>677</v>
      </c>
      <c r="D47" s="117"/>
      <c r="E47" s="176" t="s">
        <v>1888</v>
      </c>
    </row>
    <row r="48" spans="1:5" ht="63.75" x14ac:dyDescent="0.35">
      <c r="A48" s="117" t="s">
        <v>1901</v>
      </c>
      <c r="B48" s="175">
        <v>46099</v>
      </c>
      <c r="C48" s="117" t="s">
        <v>1902</v>
      </c>
      <c r="D48" s="117"/>
      <c r="E48" s="176" t="s">
        <v>1904</v>
      </c>
    </row>
    <row r="49" spans="1:5" ht="102" x14ac:dyDescent="0.35">
      <c r="A49" s="117" t="s">
        <v>1905</v>
      </c>
      <c r="B49" s="175">
        <v>46106</v>
      </c>
      <c r="C49" s="117" t="s">
        <v>677</v>
      </c>
      <c r="D49" s="117"/>
      <c r="E49" s="176" t="s">
        <v>1914</v>
      </c>
    </row>
    <row r="50" spans="1:5" ht="89.25" x14ac:dyDescent="0.35">
      <c r="A50" s="117" t="s">
        <v>2190</v>
      </c>
      <c r="B50" s="175">
        <v>46133</v>
      </c>
      <c r="C50" s="117" t="s">
        <v>677</v>
      </c>
      <c r="D50" s="117"/>
      <c r="E50" s="176" t="s">
        <v>2219</v>
      </c>
    </row>
    <row r="51" spans="1:5" x14ac:dyDescent="0.35">
      <c r="A51" s="117" t="s">
        <v>2232</v>
      </c>
      <c r="B51" s="175">
        <v>46162</v>
      </c>
      <c r="C51" s="117" t="s">
        <v>677</v>
      </c>
      <c r="D51" s="117"/>
      <c r="E51" s="275" t="s">
        <v>2235</v>
      </c>
    </row>
    <row r="52" spans="1:5" ht="102" x14ac:dyDescent="0.35">
      <c r="A52" s="117" t="s">
        <v>2236</v>
      </c>
      <c r="B52" s="175">
        <v>46170</v>
      </c>
      <c r="C52" s="117" t="s">
        <v>677</v>
      </c>
      <c r="D52" s="117"/>
      <c r="E52" s="176" t="s">
        <v>2266</v>
      </c>
    </row>
    <row r="53" spans="1:5" ht="63.75" x14ac:dyDescent="0.35">
      <c r="A53" s="117" t="s">
        <v>2270</v>
      </c>
      <c r="B53" s="175">
        <v>46184</v>
      </c>
      <c r="C53" s="117" t="s">
        <v>677</v>
      </c>
      <c r="D53" s="117"/>
      <c r="E53" s="176" t="s">
        <v>2279</v>
      </c>
    </row>
    <row r="54" spans="1:5" ht="38.25" x14ac:dyDescent="0.35">
      <c r="A54" s="117" t="s">
        <v>2280</v>
      </c>
      <c r="B54" s="175">
        <v>46190</v>
      </c>
      <c r="C54" s="117" t="s">
        <v>677</v>
      </c>
      <c r="D54" s="117"/>
      <c r="E54" s="176" t="s">
        <v>2290</v>
      </c>
    </row>
    <row r="55" spans="1:5" ht="178.5" x14ac:dyDescent="0.35">
      <c r="A55" s="117" t="s">
        <v>2294</v>
      </c>
      <c r="B55" s="175">
        <v>46209</v>
      </c>
      <c r="C55" s="117" t="s">
        <v>677</v>
      </c>
      <c r="D55" s="117"/>
      <c r="E55" s="176" t="s">
        <v>2327</v>
      </c>
    </row>
    <row r="56" spans="1:5" ht="25.5" x14ac:dyDescent="0.35">
      <c r="A56" s="117" t="s">
        <v>2331</v>
      </c>
      <c r="B56" s="175">
        <v>46224</v>
      </c>
      <c r="C56" s="117" t="s">
        <v>677</v>
      </c>
      <c r="D56" s="117"/>
      <c r="E56" s="176" t="s">
        <v>2335</v>
      </c>
    </row>
    <row r="57" spans="1:5" ht="89.25" x14ac:dyDescent="0.35">
      <c r="A57" s="117" t="s">
        <v>2338</v>
      </c>
      <c r="B57" s="175">
        <v>46233</v>
      </c>
      <c r="C57" s="117" t="s">
        <v>677</v>
      </c>
      <c r="D57" s="117"/>
      <c r="E57" s="176" t="s">
        <v>2365</v>
      </c>
    </row>
    <row r="58" spans="1:5" ht="63.75" x14ac:dyDescent="0.35">
      <c r="A58" s="117" t="s">
        <v>2368</v>
      </c>
      <c r="B58" s="175">
        <v>46260</v>
      </c>
      <c r="C58" s="117" t="s">
        <v>677</v>
      </c>
      <c r="D58" s="117"/>
      <c r="E58" s="176" t="s">
        <v>2467</v>
      </c>
    </row>
    <row r="59" spans="1:5" ht="38.25" x14ac:dyDescent="0.35">
      <c r="A59" s="251" t="s">
        <v>2480</v>
      </c>
      <c r="B59" s="294">
        <v>46267</v>
      </c>
      <c r="C59" s="251" t="s">
        <v>677</v>
      </c>
      <c r="D59" s="251"/>
      <c r="E59" s="342" t="s">
        <v>2517</v>
      </c>
    </row>
    <row r="60" spans="1:5" x14ac:dyDescent="0.35">
      <c r="A60" s="140"/>
      <c r="B60" s="140"/>
      <c r="C60" s="140"/>
      <c r="D60" s="140"/>
      <c r="E60" s="142"/>
    </row>
    <row r="61" spans="1:5" x14ac:dyDescent="0.35">
      <c r="A61" s="140"/>
      <c r="B61" s="140"/>
      <c r="C61" s="140"/>
      <c r="D61" s="140"/>
      <c r="E61" s="142"/>
    </row>
    <row r="62" spans="1:5" x14ac:dyDescent="0.35">
      <c r="A62" s="140"/>
      <c r="B62" s="140"/>
      <c r="C62" s="140"/>
      <c r="D62" s="140"/>
      <c r="E62" s="142"/>
    </row>
    <row r="63" spans="1:5" x14ac:dyDescent="0.35">
      <c r="A63" s="140"/>
      <c r="B63" s="140"/>
      <c r="C63" s="140"/>
      <c r="D63" s="140"/>
      <c r="E63" s="142"/>
    </row>
    <row r="64" spans="1:5" x14ac:dyDescent="0.35">
      <c r="A64" s="140"/>
      <c r="B64" s="140"/>
      <c r="C64" s="140"/>
      <c r="D64" s="140"/>
      <c r="E64" s="142"/>
    </row>
    <row r="65" spans="1:5" x14ac:dyDescent="0.35">
      <c r="A65" s="140"/>
      <c r="B65" s="140"/>
      <c r="C65" s="140"/>
      <c r="D65" s="140"/>
      <c r="E65" s="142"/>
    </row>
  </sheetData>
  <phoneticPr fontId="43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22"/>
  <sheetViews>
    <sheetView workbookViewId="0">
      <selection activeCell="H4" sqref="H4"/>
    </sheetView>
  </sheetViews>
  <sheetFormatPr defaultColWidth="14" defaultRowHeight="12.75" x14ac:dyDescent="0.35"/>
  <cols>
    <col min="1" max="1" width="21" customWidth="1"/>
    <col min="2" max="2" width="43" customWidth="1"/>
    <col min="3" max="3" width="20" customWidth="1"/>
    <col min="4" max="4" width="27" customWidth="1"/>
    <col min="5" max="5" width="48" customWidth="1"/>
    <col min="6" max="6" width="11.35546875" customWidth="1"/>
    <col min="7" max="13" width="5" customWidth="1"/>
    <col min="14" max="15" width="4" customWidth="1"/>
    <col min="16" max="16" width="5" customWidth="1"/>
    <col min="17" max="20" width="9" customWidth="1"/>
  </cols>
  <sheetData>
    <row r="1" spans="1:20" ht="16.899999999999999" x14ac:dyDescent="0.35">
      <c r="A1" s="441" t="s">
        <v>49</v>
      </c>
      <c r="B1" s="442"/>
      <c r="C1" s="17"/>
      <c r="D1" s="441" t="s">
        <v>50</v>
      </c>
      <c r="E1" s="442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25.5" x14ac:dyDescent="0.35">
      <c r="A2" s="11" t="s">
        <v>14</v>
      </c>
      <c r="B2" s="12" t="s">
        <v>15</v>
      </c>
      <c r="D2" s="11" t="s">
        <v>14</v>
      </c>
      <c r="E2" s="12" t="s">
        <v>15</v>
      </c>
    </row>
    <row r="3" spans="1:20" ht="25.15" x14ac:dyDescent="0.35">
      <c r="A3" s="13" t="s">
        <v>51</v>
      </c>
      <c r="B3" s="14" t="s">
        <v>16</v>
      </c>
      <c r="D3" s="216" t="s">
        <v>17</v>
      </c>
      <c r="E3" s="214" t="s">
        <v>52</v>
      </c>
    </row>
    <row r="4" spans="1:20" ht="140.25" x14ac:dyDescent="0.35">
      <c r="A4" s="6" t="s">
        <v>53</v>
      </c>
      <c r="B4" s="7" t="s">
        <v>18</v>
      </c>
      <c r="D4" s="217" t="s">
        <v>54</v>
      </c>
      <c r="E4" s="215" t="s">
        <v>55</v>
      </c>
    </row>
    <row r="5" spans="1:20" ht="38.25" x14ac:dyDescent="0.35">
      <c r="A5" s="6" t="s">
        <v>2</v>
      </c>
      <c r="B5" s="7" t="s">
        <v>3</v>
      </c>
      <c r="C5" s="8"/>
      <c r="D5" s="443" t="s">
        <v>1</v>
      </c>
      <c r="E5" s="444"/>
    </row>
    <row r="6" spans="1:20" ht="25.5" x14ac:dyDescent="0.35">
      <c r="A6" s="6" t="s">
        <v>30</v>
      </c>
      <c r="B6" s="14" t="s">
        <v>31</v>
      </c>
    </row>
    <row r="7" spans="1:20" ht="25.5" x14ac:dyDescent="0.35">
      <c r="A7" s="6" t="s">
        <v>32</v>
      </c>
      <c r="B7" s="9"/>
    </row>
    <row r="8" spans="1:20" ht="25.5" x14ac:dyDescent="0.35">
      <c r="A8" s="6" t="s">
        <v>23</v>
      </c>
      <c r="B8" s="9" t="s">
        <v>56</v>
      </c>
    </row>
    <row r="9" spans="1:20" ht="25.5" x14ac:dyDescent="0.35">
      <c r="A9" s="6" t="s">
        <v>8</v>
      </c>
      <c r="B9" s="9" t="s">
        <v>57</v>
      </c>
    </row>
    <row r="10" spans="1:20" ht="49.5" x14ac:dyDescent="0.35">
      <c r="A10" s="6" t="s">
        <v>24</v>
      </c>
      <c r="B10" s="7" t="s">
        <v>58</v>
      </c>
    </row>
    <row r="11" spans="1:20" ht="25.5" x14ac:dyDescent="0.35">
      <c r="A11" s="6" t="s">
        <v>27</v>
      </c>
      <c r="B11" s="9"/>
    </row>
    <row r="12" spans="1:20" ht="76.5" x14ac:dyDescent="0.35">
      <c r="A12" s="6" t="s">
        <v>4</v>
      </c>
      <c r="B12" s="7" t="s">
        <v>5</v>
      </c>
    </row>
    <row r="13" spans="1:20" ht="25.5" x14ac:dyDescent="0.35">
      <c r="A13" s="6" t="s">
        <v>9</v>
      </c>
      <c r="B13" s="9" t="s">
        <v>10</v>
      </c>
    </row>
    <row r="14" spans="1:20" ht="37.5" x14ac:dyDescent="0.35">
      <c r="A14" s="6" t="s">
        <v>25</v>
      </c>
      <c r="B14" s="9" t="s">
        <v>26</v>
      </c>
    </row>
    <row r="15" spans="1:20" ht="25.5" x14ac:dyDescent="0.35">
      <c r="A15" s="6" t="s">
        <v>20</v>
      </c>
      <c r="B15" s="9" t="s">
        <v>21</v>
      </c>
      <c r="D15" s="10"/>
      <c r="E15" s="10"/>
    </row>
    <row r="16" spans="1:20" ht="25.5" x14ac:dyDescent="0.35">
      <c r="A16" s="6" t="s">
        <v>29</v>
      </c>
      <c r="B16" s="9" t="s">
        <v>28</v>
      </c>
      <c r="D16" s="10"/>
      <c r="E16" s="10"/>
    </row>
    <row r="17" spans="1:5" ht="38.25" x14ac:dyDescent="0.35">
      <c r="A17" s="6" t="s">
        <v>59</v>
      </c>
      <c r="B17" s="9" t="s">
        <v>11</v>
      </c>
      <c r="C17" s="10"/>
      <c r="D17" s="10"/>
      <c r="E17" s="10"/>
    </row>
    <row r="18" spans="1:5" ht="25.5" x14ac:dyDescent="0.35">
      <c r="A18" s="6" t="s">
        <v>6</v>
      </c>
      <c r="B18" s="9" t="s">
        <v>7</v>
      </c>
      <c r="C18" s="10"/>
      <c r="D18" s="10"/>
      <c r="E18" s="10"/>
    </row>
    <row r="19" spans="1:5" ht="37.15" x14ac:dyDescent="0.35">
      <c r="A19" s="6" t="s">
        <v>60</v>
      </c>
      <c r="B19" s="9" t="s">
        <v>12</v>
      </c>
      <c r="C19" s="10"/>
      <c r="D19" s="10"/>
      <c r="E19" s="10"/>
    </row>
    <row r="20" spans="1:5" ht="49.5" x14ac:dyDescent="0.35">
      <c r="A20" s="6" t="s">
        <v>61</v>
      </c>
      <c r="B20" s="9" t="s">
        <v>13</v>
      </c>
      <c r="C20" s="10"/>
      <c r="D20" s="10"/>
      <c r="E20" s="10"/>
    </row>
    <row r="21" spans="1:5" ht="38.25" x14ac:dyDescent="0.35">
      <c r="A21" s="6" t="s">
        <v>62</v>
      </c>
      <c r="B21" s="9" t="s">
        <v>19</v>
      </c>
      <c r="C21" s="10"/>
      <c r="D21" s="10"/>
      <c r="E21" s="10"/>
    </row>
    <row r="22" spans="1:5" ht="38.25" x14ac:dyDescent="0.35">
      <c r="A22" s="15" t="s">
        <v>63</v>
      </c>
      <c r="B22" s="16" t="s">
        <v>22</v>
      </c>
      <c r="C22" s="10"/>
      <c r="D22" s="10"/>
      <c r="E22" s="10"/>
    </row>
  </sheetData>
  <mergeCells count="3">
    <mergeCell ref="A1:B1"/>
    <mergeCell ref="D1:E1"/>
    <mergeCell ref="D5:E5"/>
  </mergeCells>
  <phoneticPr fontId="43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D17"/>
  <sheetViews>
    <sheetView workbookViewId="0">
      <selection activeCell="I11" sqref="I11"/>
    </sheetView>
  </sheetViews>
  <sheetFormatPr defaultColWidth="14" defaultRowHeight="12.75" x14ac:dyDescent="0.35"/>
  <cols>
    <col min="1" max="1" width="2" customWidth="1"/>
    <col min="2" max="2" width="24" customWidth="1"/>
    <col min="3" max="3" width="28" customWidth="1"/>
    <col min="4" max="4" width="10" style="106" customWidth="1"/>
    <col min="5" max="20" width="10" customWidth="1"/>
  </cols>
  <sheetData>
    <row r="1" spans="2:3" ht="16.25" customHeight="1" x14ac:dyDescent="0.35"/>
    <row r="2" spans="2:3" ht="16.25" customHeight="1" x14ac:dyDescent="0.35">
      <c r="B2" s="18" t="s">
        <v>64</v>
      </c>
      <c r="C2" s="18" t="s">
        <v>65</v>
      </c>
    </row>
    <row r="3" spans="2:3" ht="16.25" customHeight="1" x14ac:dyDescent="0.35">
      <c r="B3" s="19" t="s">
        <v>66</v>
      </c>
      <c r="C3" s="123" t="s">
        <v>753</v>
      </c>
    </row>
    <row r="4" spans="2:3" ht="16.25" customHeight="1" x14ac:dyDescent="0.35">
      <c r="B4" s="19" t="s">
        <v>67</v>
      </c>
      <c r="C4" s="123" t="s">
        <v>754</v>
      </c>
    </row>
    <row r="5" spans="2:3" ht="16.25" customHeight="1" x14ac:dyDescent="0.35">
      <c r="B5" s="19" t="s">
        <v>68</v>
      </c>
      <c r="C5" s="123" t="s">
        <v>755</v>
      </c>
    </row>
    <row r="6" spans="2:3" ht="16.25" customHeight="1" x14ac:dyDescent="0.35">
      <c r="B6" s="19" t="s">
        <v>69</v>
      </c>
      <c r="C6" s="123" t="s">
        <v>756</v>
      </c>
    </row>
    <row r="7" spans="2:3" ht="16.25" customHeight="1" x14ac:dyDescent="0.35">
      <c r="B7" s="19" t="s">
        <v>70</v>
      </c>
      <c r="C7" s="123" t="s">
        <v>757</v>
      </c>
    </row>
    <row r="8" spans="2:3" ht="16.25" customHeight="1" x14ac:dyDescent="0.35">
      <c r="B8" s="19" t="s">
        <v>71</v>
      </c>
      <c r="C8" s="123" t="s">
        <v>758</v>
      </c>
    </row>
    <row r="9" spans="2:3" ht="16.25" customHeight="1" x14ac:dyDescent="0.35">
      <c r="B9" s="19" t="s">
        <v>72</v>
      </c>
      <c r="C9" s="123" t="s">
        <v>759</v>
      </c>
    </row>
    <row r="10" spans="2:3" ht="16.25" customHeight="1" x14ac:dyDescent="0.35">
      <c r="B10" s="19" t="s">
        <v>73</v>
      </c>
      <c r="C10" s="123" t="s">
        <v>760</v>
      </c>
    </row>
    <row r="11" spans="2:3" ht="16.25" customHeight="1" x14ac:dyDescent="0.35">
      <c r="B11" s="19" t="s">
        <v>74</v>
      </c>
      <c r="C11" s="123" t="s">
        <v>761</v>
      </c>
    </row>
    <row r="12" spans="2:3" ht="16.25" customHeight="1" x14ac:dyDescent="0.35">
      <c r="B12" s="19" t="s">
        <v>75</v>
      </c>
      <c r="C12" s="123" t="s">
        <v>762</v>
      </c>
    </row>
    <row r="13" spans="2:3" ht="16.25" customHeight="1" x14ac:dyDescent="0.35">
      <c r="B13" s="19" t="s">
        <v>76</v>
      </c>
      <c r="C13" s="123" t="s">
        <v>763</v>
      </c>
    </row>
    <row r="14" spans="2:3" ht="16.25" customHeight="1" x14ac:dyDescent="0.35">
      <c r="B14" s="19" t="s">
        <v>77</v>
      </c>
      <c r="C14" s="123" t="s">
        <v>764</v>
      </c>
    </row>
    <row r="15" spans="2:3" ht="16.25" customHeight="1" x14ac:dyDescent="0.35">
      <c r="B15" s="19" t="s">
        <v>78</v>
      </c>
      <c r="C15" s="123" t="s">
        <v>765</v>
      </c>
    </row>
    <row r="16" spans="2:3" ht="16.25" customHeight="1" x14ac:dyDescent="0.35">
      <c r="B16" s="123" t="s">
        <v>767</v>
      </c>
      <c r="C16" s="123" t="s">
        <v>766</v>
      </c>
    </row>
    <row r="17" spans="2:3" ht="16.25" customHeight="1" x14ac:dyDescent="0.35">
      <c r="B17" s="19"/>
      <c r="C17" s="19"/>
    </row>
  </sheetData>
  <phoneticPr fontId="43" type="noConversion"/>
  <pageMargins left="0.7" right="0.7" top="0.75" bottom="0.75" header="0.3" footer="0.3"/>
  <drawing r:id="rId1"/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201"/>
  <sheetViews>
    <sheetView zoomScale="80" zoomScaleNormal="80" workbookViewId="0">
      <pane ySplit="1" topLeftCell="A32" activePane="bottomLeft" state="frozen"/>
      <selection activeCell="B1" sqref="B1"/>
      <selection pane="bottomLeft" activeCell="H64" sqref="H64"/>
    </sheetView>
  </sheetViews>
  <sheetFormatPr defaultColWidth="14" defaultRowHeight="12.75" x14ac:dyDescent="0.35"/>
  <cols>
    <col min="1" max="1" width="25.2109375" customWidth="1"/>
    <col min="2" max="2" width="43" customWidth="1"/>
    <col min="3" max="3" width="13.0703125" customWidth="1"/>
    <col min="4" max="4" width="17" customWidth="1"/>
    <col min="5" max="5" width="12.35546875" customWidth="1"/>
    <col min="6" max="6" width="8.42578125" customWidth="1"/>
    <col min="7" max="7" width="21.42578125" customWidth="1"/>
    <col min="8" max="8" width="28" customWidth="1"/>
    <col min="9" max="9" width="26.92578125" customWidth="1"/>
    <col min="10" max="10" width="28.78515625" customWidth="1"/>
    <col min="11" max="11" width="21.78515625" customWidth="1"/>
    <col min="12" max="12" width="5" customWidth="1"/>
    <col min="13" max="15" width="6" customWidth="1"/>
    <col min="16" max="16" width="27.7109375" style="159" customWidth="1"/>
    <col min="17" max="18" width="14" style="159" customWidth="1"/>
    <col min="19" max="19" width="15.78515625" customWidth="1"/>
    <col min="20" max="20" width="14" style="106" customWidth="1"/>
    <col min="21" max="21" width="14" style="190" customWidth="1"/>
    <col min="22" max="22" width="19.7109375" style="190" customWidth="1"/>
    <col min="23" max="23" width="14" customWidth="1"/>
    <col min="24" max="24" width="14" style="190"/>
  </cols>
  <sheetData>
    <row r="1" spans="1:24" ht="51.75" x14ac:dyDescent="0.35">
      <c r="A1" s="185" t="s">
        <v>1122</v>
      </c>
      <c r="B1" s="24" t="s">
        <v>1111</v>
      </c>
      <c r="C1" s="184" t="s">
        <v>1112</v>
      </c>
      <c r="D1" s="25" t="s">
        <v>1113</v>
      </c>
      <c r="E1" s="24" t="s">
        <v>79</v>
      </c>
      <c r="F1" s="24" t="s">
        <v>80</v>
      </c>
      <c r="G1" s="85" t="s">
        <v>675</v>
      </c>
      <c r="H1" s="340" t="s">
        <v>2205</v>
      </c>
      <c r="I1" s="24" t="s">
        <v>1065</v>
      </c>
      <c r="J1" s="24" t="s">
        <v>1066</v>
      </c>
      <c r="K1" s="335" t="s">
        <v>2207</v>
      </c>
      <c r="L1" s="336" t="s">
        <v>1023</v>
      </c>
      <c r="M1" s="337" t="s">
        <v>740</v>
      </c>
      <c r="N1" s="337" t="s">
        <v>741</v>
      </c>
      <c r="O1" s="336" t="s">
        <v>1024</v>
      </c>
      <c r="P1" s="338" t="s">
        <v>1217</v>
      </c>
      <c r="Q1" s="336" t="s">
        <v>1033</v>
      </c>
      <c r="R1" s="336" t="s">
        <v>1085</v>
      </c>
      <c r="S1" s="336" t="s">
        <v>2238</v>
      </c>
      <c r="T1" s="336" t="s">
        <v>1787</v>
      </c>
      <c r="U1" s="336" t="s">
        <v>2191</v>
      </c>
      <c r="V1" s="336" t="s">
        <v>2192</v>
      </c>
      <c r="W1" s="336" t="s">
        <v>2201</v>
      </c>
      <c r="X1" s="336" t="s">
        <v>2310</v>
      </c>
    </row>
    <row r="2" spans="1:24" s="106" customFormat="1" ht="51" x14ac:dyDescent="0.35">
      <c r="A2" s="107" t="s">
        <v>81</v>
      </c>
      <c r="B2" s="107" t="s">
        <v>33</v>
      </c>
      <c r="C2" s="108" t="s">
        <v>82</v>
      </c>
      <c r="D2" s="160">
        <v>1000</v>
      </c>
      <c r="E2" s="110" t="s">
        <v>440</v>
      </c>
      <c r="F2" s="121">
        <v>1</v>
      </c>
      <c r="G2" s="110" t="s">
        <v>84</v>
      </c>
      <c r="H2" s="339" t="str" cm="1">
        <f t="array" ref="H2">_xlfn.SWITCH(G2,"0x01","YCP_TRANSPORT_UNNEED_ACK","0x02","YCP_TRANSPORT_NEED_ACK","")</f>
        <v>YCP_TRANSPORT_UNNEED_ACK</v>
      </c>
      <c r="I2" s="111" t="s">
        <v>441</v>
      </c>
      <c r="J2" s="110" t="s">
        <v>85</v>
      </c>
      <c r="K2" s="121" t="str">
        <f>IFERROR(MID(I2, FIND("struct ",I2)+7, LEN(I2)),IFERROR(MID(J2, FIND("struct ",J2)+7, LEN(J2)), ""))</f>
        <v>RBMS_SumInfo</v>
      </c>
      <c r="L2" s="110" t="s">
        <v>86</v>
      </c>
      <c r="M2" s="110" t="s">
        <v>353</v>
      </c>
      <c r="N2" s="110" t="s">
        <v>353</v>
      </c>
      <c r="O2" s="110" t="s">
        <v>87</v>
      </c>
      <c r="P2" s="330" t="s">
        <v>1034</v>
      </c>
      <c r="Q2" s="117">
        <v>1</v>
      </c>
      <c r="R2" s="117">
        <v>1</v>
      </c>
      <c r="S2" s="116" t="s">
        <v>2237</v>
      </c>
      <c r="T2" s="117">
        <f t="shared" ref="T2:T33" si="0">COUNTIF(A:A, A2)</f>
        <v>2</v>
      </c>
      <c r="U2" s="117">
        <v>1</v>
      </c>
      <c r="V2" s="117" t="s">
        <v>2193</v>
      </c>
      <c r="W2" s="116" t="s">
        <v>2203</v>
      </c>
      <c r="X2" s="117">
        <v>1</v>
      </c>
    </row>
    <row r="3" spans="1:24" s="106" customFormat="1" ht="24.75" x14ac:dyDescent="0.35">
      <c r="A3" s="107" t="s">
        <v>486</v>
      </c>
      <c r="B3" s="107" t="s">
        <v>2341</v>
      </c>
      <c r="C3" s="108" t="s">
        <v>93</v>
      </c>
      <c r="D3" s="160" t="s">
        <v>352</v>
      </c>
      <c r="E3" s="110" t="s">
        <v>744</v>
      </c>
      <c r="F3" s="121">
        <v>36</v>
      </c>
      <c r="G3" s="110" t="s">
        <v>84</v>
      </c>
      <c r="H3" s="339" t="s">
        <v>2340</v>
      </c>
      <c r="I3" s="111" t="s">
        <v>2343</v>
      </c>
      <c r="J3" s="110" t="s">
        <v>85</v>
      </c>
      <c r="K3" s="121" t="str">
        <f>IFERROR(MID(I3, FIND("struct ",I3)+7, LEN(I3)),IFERROR(MID(J3, FIND("struct ",J3)+7, LEN(J3)), ""))</f>
        <v>RBMS_SumInfo_OtherBank</v>
      </c>
      <c r="L3" s="110" t="s">
        <v>352</v>
      </c>
      <c r="M3" s="110" t="s">
        <v>352</v>
      </c>
      <c r="N3" s="110" t="s">
        <v>353</v>
      </c>
      <c r="O3" s="110" t="s">
        <v>352</v>
      </c>
      <c r="P3" s="330" t="s">
        <v>2339</v>
      </c>
      <c r="Q3" s="117">
        <v>0</v>
      </c>
      <c r="R3" s="117">
        <v>0</v>
      </c>
      <c r="S3" s="116" t="s">
        <v>352</v>
      </c>
      <c r="T3" s="117">
        <f t="shared" si="0"/>
        <v>2</v>
      </c>
      <c r="U3" s="117">
        <v>0</v>
      </c>
      <c r="V3" s="117" t="s">
        <v>2193</v>
      </c>
      <c r="W3" s="116" t="s">
        <v>352</v>
      </c>
      <c r="X3" s="117">
        <v>0</v>
      </c>
    </row>
    <row r="4" spans="1:24" s="106" customFormat="1" x14ac:dyDescent="0.35">
      <c r="A4" s="116" t="s">
        <v>1039</v>
      </c>
      <c r="B4" s="116" t="s">
        <v>1041</v>
      </c>
      <c r="C4" s="108" t="s">
        <v>82</v>
      </c>
      <c r="D4" s="109">
        <v>1000</v>
      </c>
      <c r="E4" s="110" t="s">
        <v>440</v>
      </c>
      <c r="F4" s="117">
        <v>2</v>
      </c>
      <c r="G4" s="110" t="s">
        <v>84</v>
      </c>
      <c r="H4" s="339" t="str" cm="1">
        <f t="array" ref="H4">_xlfn.SWITCH(G4,"0x01","YCP_TRANSPORT_UNNEED_ACK","0x02","YCP_TRANSPORT_NEED_ACK","")</f>
        <v>YCP_TRANSPORT_UNNEED_ACK</v>
      </c>
      <c r="I4" s="116" t="s">
        <v>1043</v>
      </c>
      <c r="J4" s="110" t="s">
        <v>85</v>
      </c>
      <c r="K4" s="121" t="str">
        <f t="shared" ref="K4:K55" si="1">IFERROR(MID(I4, FIND("struct ",I4)+7, LEN(I4)),IFERROR(MID(J4, FIND("struct ",J4)+7, LEN(J4)), ""))</f>
        <v>RBMS_Volt</v>
      </c>
      <c r="L4" s="110" t="s">
        <v>86</v>
      </c>
      <c r="M4" s="110" t="s">
        <v>86</v>
      </c>
      <c r="N4" s="110" t="s">
        <v>352</v>
      </c>
      <c r="O4" s="110" t="s">
        <v>87</v>
      </c>
      <c r="P4" s="331" t="s">
        <v>1034</v>
      </c>
      <c r="Q4" s="117">
        <v>1</v>
      </c>
      <c r="R4" s="117">
        <v>1</v>
      </c>
      <c r="S4" s="116" t="s">
        <v>2239</v>
      </c>
      <c r="T4" s="117">
        <f t="shared" si="0"/>
        <v>1</v>
      </c>
      <c r="U4" s="117">
        <v>0</v>
      </c>
      <c r="V4" s="117" t="s">
        <v>2193</v>
      </c>
      <c r="W4" s="116" t="s">
        <v>2203</v>
      </c>
      <c r="X4" s="117">
        <v>0</v>
      </c>
    </row>
    <row r="5" spans="1:24" s="106" customFormat="1" ht="25.5" x14ac:dyDescent="0.35">
      <c r="A5" s="116" t="s">
        <v>1040</v>
      </c>
      <c r="B5" s="145" t="s">
        <v>1042</v>
      </c>
      <c r="C5" s="108" t="s">
        <v>82</v>
      </c>
      <c r="D5" s="109">
        <v>1000</v>
      </c>
      <c r="E5" s="110" t="s">
        <v>440</v>
      </c>
      <c r="F5" s="117">
        <v>3</v>
      </c>
      <c r="G5" s="110" t="s">
        <v>84</v>
      </c>
      <c r="H5" s="339" t="str" cm="1">
        <f t="array" ref="H5">_xlfn.SWITCH(G5,"0x01","YCP_TRANSPORT_UNNEED_ACK","0x02","YCP_TRANSPORT_NEED_ACK","")</f>
        <v>YCP_TRANSPORT_UNNEED_ACK</v>
      </c>
      <c r="I5" s="116" t="s">
        <v>2206</v>
      </c>
      <c r="J5" s="110" t="s">
        <v>85</v>
      </c>
      <c r="K5" s="121" t="str">
        <f t="shared" si="1"/>
        <v>RBMS_Temp</v>
      </c>
      <c r="L5" s="110" t="s">
        <v>86</v>
      </c>
      <c r="M5" s="110" t="s">
        <v>86</v>
      </c>
      <c r="N5" s="110" t="s">
        <v>352</v>
      </c>
      <c r="O5" s="110" t="s">
        <v>87</v>
      </c>
      <c r="P5" s="331" t="s">
        <v>1034</v>
      </c>
      <c r="Q5" s="117">
        <v>1</v>
      </c>
      <c r="R5" s="117">
        <v>1</v>
      </c>
      <c r="S5" s="116" t="s">
        <v>2239</v>
      </c>
      <c r="T5" s="117">
        <f t="shared" si="0"/>
        <v>1</v>
      </c>
      <c r="U5" s="117">
        <v>0</v>
      </c>
      <c r="V5" s="117" t="s">
        <v>2193</v>
      </c>
      <c r="W5" s="116" t="s">
        <v>2203</v>
      </c>
      <c r="X5" s="117">
        <v>0</v>
      </c>
    </row>
    <row r="6" spans="1:24" s="106" customFormat="1" ht="25.5" x14ac:dyDescent="0.35">
      <c r="A6" s="107" t="s">
        <v>971</v>
      </c>
      <c r="B6" s="112" t="s">
        <v>34</v>
      </c>
      <c r="C6" s="108" t="s">
        <v>82</v>
      </c>
      <c r="D6" s="109">
        <v>10000</v>
      </c>
      <c r="E6" s="110" t="s">
        <v>440</v>
      </c>
      <c r="F6" s="121">
        <v>4</v>
      </c>
      <c r="G6" s="110" t="s">
        <v>84</v>
      </c>
      <c r="H6" s="339" t="str" cm="1">
        <f t="array" ref="H6">_xlfn.SWITCH(G6,"0x01","YCP_TRANSPORT_UNNEED_ACK","0x02","YCP_TRANSPORT_NEED_ACK","")</f>
        <v>YCP_TRANSPORT_UNNEED_ACK</v>
      </c>
      <c r="I6" s="111" t="s">
        <v>442</v>
      </c>
      <c r="J6" s="110" t="s">
        <v>85</v>
      </c>
      <c r="K6" s="121" t="str">
        <f t="shared" si="1"/>
        <v>RBMS_CellBalSt</v>
      </c>
      <c r="L6" s="110" t="s">
        <v>86</v>
      </c>
      <c r="M6" s="110" t="s">
        <v>86</v>
      </c>
      <c r="N6" s="110" t="s">
        <v>738</v>
      </c>
      <c r="O6" s="110" t="s">
        <v>87</v>
      </c>
      <c r="P6" s="331" t="s">
        <v>1034</v>
      </c>
      <c r="Q6" s="117">
        <v>1</v>
      </c>
      <c r="R6" s="117">
        <v>1</v>
      </c>
      <c r="S6" s="116" t="s">
        <v>2239</v>
      </c>
      <c r="T6" s="117">
        <f t="shared" si="0"/>
        <v>1</v>
      </c>
      <c r="U6" s="117">
        <v>0</v>
      </c>
      <c r="V6" s="117" t="s">
        <v>2193</v>
      </c>
      <c r="W6" s="116" t="s">
        <v>2203</v>
      </c>
      <c r="X6" s="117">
        <v>0</v>
      </c>
    </row>
    <row r="7" spans="1:24" s="106" customFormat="1" x14ac:dyDescent="0.35">
      <c r="A7" s="107" t="s">
        <v>972</v>
      </c>
      <c r="B7" s="112" t="s">
        <v>88</v>
      </c>
      <c r="C7" s="108" t="s">
        <v>82</v>
      </c>
      <c r="D7" s="109">
        <v>30000</v>
      </c>
      <c r="E7" s="110" t="s">
        <v>440</v>
      </c>
      <c r="F7" s="121">
        <v>5</v>
      </c>
      <c r="G7" s="110" t="s">
        <v>84</v>
      </c>
      <c r="H7" s="339" t="str" cm="1">
        <f t="array" ref="H7">_xlfn.SWITCH(G7,"0x01","YCP_TRANSPORT_UNNEED_ACK","0x02","YCP_TRANSPORT_NEED_ACK","")</f>
        <v>YCP_TRANSPORT_UNNEED_ACK</v>
      </c>
      <c r="I7" s="111" t="s">
        <v>443</v>
      </c>
      <c r="J7" s="110" t="s">
        <v>85</v>
      </c>
      <c r="K7" s="121" t="str">
        <f t="shared" si="1"/>
        <v>RBMS_CellSdr</v>
      </c>
      <c r="L7" s="110" t="s">
        <v>86</v>
      </c>
      <c r="M7" s="110" t="s">
        <v>86</v>
      </c>
      <c r="N7" s="110" t="s">
        <v>738</v>
      </c>
      <c r="O7" s="110" t="s">
        <v>87</v>
      </c>
      <c r="P7" s="331" t="s">
        <v>1034</v>
      </c>
      <c r="Q7" s="117">
        <v>0</v>
      </c>
      <c r="R7" s="117">
        <v>0</v>
      </c>
      <c r="S7" s="116" t="s">
        <v>352</v>
      </c>
      <c r="T7" s="117">
        <f t="shared" si="0"/>
        <v>1</v>
      </c>
      <c r="U7" s="117">
        <v>0</v>
      </c>
      <c r="V7" s="117" t="s">
        <v>2193</v>
      </c>
      <c r="W7" s="116" t="s">
        <v>2203</v>
      </c>
      <c r="X7" s="117">
        <v>0</v>
      </c>
    </row>
    <row r="8" spans="1:24" s="106" customFormat="1" x14ac:dyDescent="0.35">
      <c r="A8" s="107" t="s">
        <v>444</v>
      </c>
      <c r="B8" s="107" t="s">
        <v>89</v>
      </c>
      <c r="C8" s="110" t="s">
        <v>82</v>
      </c>
      <c r="D8" s="113">
        <v>1000</v>
      </c>
      <c r="E8" s="110" t="s">
        <v>745</v>
      </c>
      <c r="F8" s="121">
        <v>41</v>
      </c>
      <c r="G8" s="110" t="s">
        <v>84</v>
      </c>
      <c r="H8" s="339" t="str" cm="1">
        <f t="array" ref="H8">_xlfn.SWITCH(G8,"0x01","YCP_TRANSPORT_UNNEED_ACK","0x02","YCP_TRANSPORT_NEED_ACK","")</f>
        <v>YCP_TRANSPORT_UNNEED_ACK</v>
      </c>
      <c r="I8" s="107" t="s">
        <v>1906</v>
      </c>
      <c r="J8" s="110" t="s">
        <v>85</v>
      </c>
      <c r="K8" s="121" t="str">
        <f t="shared" si="1"/>
        <v>RBMS_Fault</v>
      </c>
      <c r="L8" s="110" t="s">
        <v>86</v>
      </c>
      <c r="M8" s="110" t="s">
        <v>739</v>
      </c>
      <c r="N8" s="110" t="s">
        <v>352</v>
      </c>
      <c r="O8" s="110" t="s">
        <v>87</v>
      </c>
      <c r="P8" s="331" t="s">
        <v>1034</v>
      </c>
      <c r="Q8" s="117">
        <v>1</v>
      </c>
      <c r="R8" s="117">
        <v>1</v>
      </c>
      <c r="S8" s="116" t="s">
        <v>2240</v>
      </c>
      <c r="T8" s="117">
        <f t="shared" si="0"/>
        <v>1</v>
      </c>
      <c r="U8" s="117">
        <v>0</v>
      </c>
      <c r="V8" s="117" t="s">
        <v>2193</v>
      </c>
      <c r="W8" s="116" t="s">
        <v>2203</v>
      </c>
      <c r="X8" s="117">
        <v>0</v>
      </c>
    </row>
    <row r="9" spans="1:24" s="106" customFormat="1" x14ac:dyDescent="0.35">
      <c r="A9" s="107" t="s">
        <v>90</v>
      </c>
      <c r="B9" s="112" t="s">
        <v>91</v>
      </c>
      <c r="C9" s="108" t="s">
        <v>82</v>
      </c>
      <c r="D9" s="109">
        <v>1000</v>
      </c>
      <c r="E9" s="110" t="s">
        <v>446</v>
      </c>
      <c r="F9" s="121">
        <v>1</v>
      </c>
      <c r="G9" s="110" t="s">
        <v>84</v>
      </c>
      <c r="H9" s="339" t="str" cm="1">
        <f t="array" ref="H9">_xlfn.SWITCH(G9,"0x01","YCP_TRANSPORT_UNNEED_ACK","0x02","YCP_TRANSPORT_NEED_ACK","")</f>
        <v>YCP_TRANSPORT_UNNEED_ACK</v>
      </c>
      <c r="I9" s="107" t="s">
        <v>447</v>
      </c>
      <c r="J9" s="110" t="s">
        <v>85</v>
      </c>
      <c r="K9" s="121" t="str">
        <f t="shared" si="1"/>
        <v>BBMS_SumInfo</v>
      </c>
      <c r="L9" s="110" t="s">
        <v>86</v>
      </c>
      <c r="M9" s="110" t="s">
        <v>353</v>
      </c>
      <c r="N9" s="110" t="s">
        <v>87</v>
      </c>
      <c r="O9" s="110" t="s">
        <v>85</v>
      </c>
      <c r="P9" s="331" t="s">
        <v>1034</v>
      </c>
      <c r="Q9" s="117">
        <v>1</v>
      </c>
      <c r="R9" s="117">
        <v>1</v>
      </c>
      <c r="S9" s="116" t="s">
        <v>2237</v>
      </c>
      <c r="T9" s="117">
        <f t="shared" si="0"/>
        <v>2</v>
      </c>
      <c r="U9" s="117">
        <v>1</v>
      </c>
      <c r="V9" s="117" t="s">
        <v>2193</v>
      </c>
      <c r="W9" s="116" t="s">
        <v>352</v>
      </c>
      <c r="X9" s="117">
        <v>1</v>
      </c>
    </row>
    <row r="10" spans="1:24" s="106" customFormat="1" ht="24.75" x14ac:dyDescent="0.35">
      <c r="A10" s="107" t="s">
        <v>90</v>
      </c>
      <c r="B10" s="112" t="s">
        <v>2342</v>
      </c>
      <c r="C10" s="108" t="s">
        <v>93</v>
      </c>
      <c r="D10" s="109" t="s">
        <v>352</v>
      </c>
      <c r="E10" s="110" t="s">
        <v>744</v>
      </c>
      <c r="F10" s="121">
        <v>37</v>
      </c>
      <c r="G10" s="110" t="s">
        <v>84</v>
      </c>
      <c r="H10" s="339" t="str" cm="1">
        <f t="array" ref="H10">_xlfn.SWITCH(G10,"0x01","YCP_TRANSPORT_UNNEED_ACK","0x02","YCP_TRANSPORT_NEED_ACK","")</f>
        <v>YCP_TRANSPORT_UNNEED_ACK</v>
      </c>
      <c r="I10" s="107" t="s">
        <v>2344</v>
      </c>
      <c r="J10" s="110" t="s">
        <v>85</v>
      </c>
      <c r="K10" s="121" t="str">
        <f t="shared" ref="K10" si="2">IFERROR(MID(I10, FIND("struct ",I10)+7, LEN(I10)),IFERROR(MID(J10, FIND("struct ",J10)+7, LEN(J10)), ""))</f>
        <v>BBMS_SumInfo_OtherBank</v>
      </c>
      <c r="L10" s="110" t="s">
        <v>352</v>
      </c>
      <c r="M10" s="110" t="s">
        <v>352</v>
      </c>
      <c r="N10" s="110" t="s">
        <v>353</v>
      </c>
      <c r="O10" s="110" t="s">
        <v>85</v>
      </c>
      <c r="P10" s="331" t="s">
        <v>1034</v>
      </c>
      <c r="Q10" s="117">
        <v>0</v>
      </c>
      <c r="R10" s="117">
        <v>0</v>
      </c>
      <c r="S10" s="116" t="s">
        <v>352</v>
      </c>
      <c r="T10" s="117">
        <f t="shared" si="0"/>
        <v>2</v>
      </c>
      <c r="U10" s="117">
        <v>0</v>
      </c>
      <c r="V10" s="117" t="s">
        <v>2193</v>
      </c>
      <c r="W10" s="116" t="s">
        <v>352</v>
      </c>
      <c r="X10" s="117">
        <v>0</v>
      </c>
    </row>
    <row r="11" spans="1:24" s="106" customFormat="1" x14ac:dyDescent="0.35">
      <c r="A11" s="107" t="s">
        <v>448</v>
      </c>
      <c r="B11" s="107" t="s">
        <v>92</v>
      </c>
      <c r="C11" s="110" t="s">
        <v>82</v>
      </c>
      <c r="D11" s="113">
        <v>1000</v>
      </c>
      <c r="E11" s="110" t="s">
        <v>453</v>
      </c>
      <c r="F11" s="121">
        <v>19</v>
      </c>
      <c r="G11" s="110" t="s">
        <v>84</v>
      </c>
      <c r="H11" s="339" t="str" cm="1">
        <f t="array" ref="H11">_xlfn.SWITCH(G11,"0x01","YCP_TRANSPORT_UNNEED_ACK","0x02","YCP_TRANSPORT_NEED_ACK","")</f>
        <v>YCP_TRANSPORT_UNNEED_ACK</v>
      </c>
      <c r="I11" s="107" t="s">
        <v>1907</v>
      </c>
      <c r="J11" s="110" t="s">
        <v>85</v>
      </c>
      <c r="K11" s="121" t="str">
        <f t="shared" si="1"/>
        <v>BBMS_Fault</v>
      </c>
      <c r="L11" s="110" t="s">
        <v>86</v>
      </c>
      <c r="M11" s="110" t="s">
        <v>353</v>
      </c>
      <c r="N11" s="110" t="s">
        <v>87</v>
      </c>
      <c r="O11" s="110" t="s">
        <v>85</v>
      </c>
      <c r="P11" s="331" t="s">
        <v>1034</v>
      </c>
      <c r="Q11" s="117">
        <v>1</v>
      </c>
      <c r="R11" s="117">
        <v>1</v>
      </c>
      <c r="S11" s="116" t="s">
        <v>2240</v>
      </c>
      <c r="T11" s="117">
        <f t="shared" si="0"/>
        <v>1</v>
      </c>
      <c r="U11" s="117">
        <v>1</v>
      </c>
      <c r="V11" s="117" t="s">
        <v>2193</v>
      </c>
      <c r="W11" s="116" t="s">
        <v>352</v>
      </c>
      <c r="X11" s="117">
        <v>0</v>
      </c>
    </row>
    <row r="12" spans="1:24" s="106" customFormat="1" ht="49.5" x14ac:dyDescent="0.35">
      <c r="A12" s="107" t="s">
        <v>449</v>
      </c>
      <c r="B12" s="107" t="s">
        <v>450</v>
      </c>
      <c r="C12" s="110" t="s">
        <v>82</v>
      </c>
      <c r="D12" s="109">
        <v>1000</v>
      </c>
      <c r="E12" s="110" t="s">
        <v>440</v>
      </c>
      <c r="F12" s="121">
        <v>7</v>
      </c>
      <c r="G12" s="110" t="s">
        <v>83</v>
      </c>
      <c r="H12" s="339" t="str" cm="1">
        <f t="array" ref="H12">_xlfn.SWITCH(G12,"0x01","YCP_TRANSPORT_UNNEED_ACK","0x02","YCP_TRANSPORT_NEED_ACK","")</f>
        <v>YCP_TRANSPORT_NEED_ACK</v>
      </c>
      <c r="I12" s="107" t="s">
        <v>451</v>
      </c>
      <c r="J12" s="114" t="s">
        <v>452</v>
      </c>
      <c r="K12" s="121" t="str">
        <f t="shared" si="1"/>
        <v>BBMS_CtlWord</v>
      </c>
      <c r="L12" s="110" t="s">
        <v>352</v>
      </c>
      <c r="M12" s="110" t="s">
        <v>352</v>
      </c>
      <c r="N12" s="110" t="s">
        <v>87</v>
      </c>
      <c r="O12" s="110" t="s">
        <v>86</v>
      </c>
      <c r="P12" s="330" t="s">
        <v>1034</v>
      </c>
      <c r="Q12" s="117">
        <v>0</v>
      </c>
      <c r="R12" s="117">
        <v>0</v>
      </c>
      <c r="S12" s="116" t="s">
        <v>352</v>
      </c>
      <c r="T12" s="117">
        <f t="shared" si="0"/>
        <v>2</v>
      </c>
      <c r="U12" s="117">
        <v>1</v>
      </c>
      <c r="V12" s="117" t="s">
        <v>2193</v>
      </c>
      <c r="W12" s="116" t="s">
        <v>2204</v>
      </c>
      <c r="X12" s="117">
        <v>0</v>
      </c>
    </row>
    <row r="13" spans="1:24" s="106" customFormat="1" x14ac:dyDescent="0.35">
      <c r="A13" s="116" t="s">
        <v>449</v>
      </c>
      <c r="B13" s="116" t="s">
        <v>1082</v>
      </c>
      <c r="C13" s="117" t="s">
        <v>82</v>
      </c>
      <c r="D13" s="117">
        <v>1000</v>
      </c>
      <c r="E13" s="117" t="s">
        <v>453</v>
      </c>
      <c r="F13" s="117">
        <v>12</v>
      </c>
      <c r="G13" s="117" t="s">
        <v>744</v>
      </c>
      <c r="H13" s="339" t="str" cm="1">
        <f t="array" ref="H13">_xlfn.SWITCH(G13,"0x01","YCP_TRANSPORT_UNNEED_ACK","0x02","YCP_TRANSPORT_NEED_ACK","")</f>
        <v>YCP_TRANSPORT_UNNEED_ACK</v>
      </c>
      <c r="I13" s="116" t="s">
        <v>1064</v>
      </c>
      <c r="J13" s="110" t="s">
        <v>352</v>
      </c>
      <c r="K13" s="121" t="str">
        <f t="shared" si="1"/>
        <v>BBMS_CtlWordAllRack</v>
      </c>
      <c r="L13" s="117" t="s">
        <v>353</v>
      </c>
      <c r="M13" s="117" t="s">
        <v>353</v>
      </c>
      <c r="N13" s="117" t="s">
        <v>87</v>
      </c>
      <c r="O13" s="117" t="s">
        <v>352</v>
      </c>
      <c r="P13" s="331" t="s">
        <v>1034</v>
      </c>
      <c r="Q13" s="117">
        <v>1</v>
      </c>
      <c r="R13" s="117">
        <v>1</v>
      </c>
      <c r="S13" s="116" t="s">
        <v>2237</v>
      </c>
      <c r="T13" s="117">
        <f t="shared" si="0"/>
        <v>2</v>
      </c>
      <c r="U13" s="117">
        <v>1</v>
      </c>
      <c r="V13" s="117" t="s">
        <v>2193</v>
      </c>
      <c r="W13" s="116" t="s">
        <v>2204</v>
      </c>
      <c r="X13" s="117">
        <v>0</v>
      </c>
    </row>
    <row r="14" spans="1:24" s="106" customFormat="1" ht="49.5" x14ac:dyDescent="0.35">
      <c r="A14" s="107" t="s">
        <v>454</v>
      </c>
      <c r="B14" s="107" t="s">
        <v>455</v>
      </c>
      <c r="C14" s="110" t="s">
        <v>93</v>
      </c>
      <c r="D14" s="109" t="s">
        <v>85</v>
      </c>
      <c r="E14" s="110" t="s">
        <v>456</v>
      </c>
      <c r="F14" s="121">
        <v>4</v>
      </c>
      <c r="G14" s="110" t="s">
        <v>453</v>
      </c>
      <c r="H14" s="339" t="str" cm="1">
        <f t="array" ref="H14">_xlfn.SWITCH(G14,"0x01","YCP_TRANSPORT_UNNEED_ACK","0x02","YCP_TRANSPORT_NEED_ACK","")</f>
        <v>YCP_TRANSPORT_NEED_ACK</v>
      </c>
      <c r="I14" s="107" t="s">
        <v>1083</v>
      </c>
      <c r="J14" s="114" t="s">
        <v>452</v>
      </c>
      <c r="K14" s="121" t="str">
        <f t="shared" si="1"/>
        <v>HMI_CtlWord</v>
      </c>
      <c r="L14" s="110" t="s">
        <v>457</v>
      </c>
      <c r="M14" s="110" t="s">
        <v>353</v>
      </c>
      <c r="N14" s="110" t="s">
        <v>458</v>
      </c>
      <c r="O14" s="110" t="s">
        <v>458</v>
      </c>
      <c r="P14" s="330" t="s">
        <v>1034</v>
      </c>
      <c r="Q14" s="117">
        <v>0</v>
      </c>
      <c r="R14" s="117">
        <v>0</v>
      </c>
      <c r="S14" s="116" t="s">
        <v>352</v>
      </c>
      <c r="T14" s="117">
        <f t="shared" si="0"/>
        <v>1</v>
      </c>
      <c r="U14" s="117">
        <v>1</v>
      </c>
      <c r="V14" s="117" t="s">
        <v>2193</v>
      </c>
      <c r="W14" s="116" t="s">
        <v>352</v>
      </c>
      <c r="X14" s="117">
        <v>0</v>
      </c>
    </row>
    <row r="15" spans="1:24" s="106" customFormat="1" ht="49.5" x14ac:dyDescent="0.35">
      <c r="A15" s="107" t="s">
        <v>459</v>
      </c>
      <c r="B15" s="107" t="s">
        <v>1780</v>
      </c>
      <c r="C15" s="110" t="s">
        <v>93</v>
      </c>
      <c r="D15" s="109" t="s">
        <v>85</v>
      </c>
      <c r="E15" s="110" t="s">
        <v>453</v>
      </c>
      <c r="F15" s="121">
        <v>3</v>
      </c>
      <c r="G15" s="110" t="s">
        <v>460</v>
      </c>
      <c r="H15" s="339" t="str" cm="1">
        <f t="array" ref="H15">_xlfn.SWITCH(G15,"0x01","YCP_TRANSPORT_UNNEED_ACK","0x02","YCP_TRANSPORT_NEED_ACK","")</f>
        <v>YCP_TRANSPORT_NEED_ACK</v>
      </c>
      <c r="I15" s="107" t="s">
        <v>461</v>
      </c>
      <c r="J15" s="114" t="s">
        <v>452</v>
      </c>
      <c r="K15" s="121" t="str">
        <f t="shared" si="1"/>
        <v>HMI_TMSCtrlWord</v>
      </c>
      <c r="L15" s="110" t="s">
        <v>457</v>
      </c>
      <c r="M15" s="110" t="s">
        <v>352</v>
      </c>
      <c r="N15" s="110" t="s">
        <v>458</v>
      </c>
      <c r="O15" s="110" t="s">
        <v>352</v>
      </c>
      <c r="P15" s="330" t="s">
        <v>1034</v>
      </c>
      <c r="Q15" s="117">
        <v>0</v>
      </c>
      <c r="R15" s="117">
        <v>0</v>
      </c>
      <c r="S15" s="116" t="s">
        <v>352</v>
      </c>
      <c r="T15" s="117">
        <f t="shared" si="0"/>
        <v>2</v>
      </c>
      <c r="U15" s="117">
        <v>0</v>
      </c>
      <c r="V15" s="117" t="s">
        <v>2194</v>
      </c>
      <c r="W15" s="116" t="s">
        <v>2202</v>
      </c>
      <c r="X15" s="117">
        <v>0</v>
      </c>
    </row>
    <row r="16" spans="1:24" s="106" customFormat="1" ht="49.5" x14ac:dyDescent="0.35">
      <c r="A16" s="107" t="s">
        <v>1069</v>
      </c>
      <c r="B16" s="107" t="s">
        <v>1779</v>
      </c>
      <c r="C16" s="110" t="s">
        <v>93</v>
      </c>
      <c r="D16" s="109" t="s">
        <v>85</v>
      </c>
      <c r="E16" s="110" t="s">
        <v>745</v>
      </c>
      <c r="F16" s="121">
        <v>37</v>
      </c>
      <c r="G16" s="110" t="s">
        <v>460</v>
      </c>
      <c r="H16" s="339" t="str" cm="1">
        <f t="array" ref="H16">_xlfn.SWITCH(G16,"0x01","YCP_TRANSPORT_UNNEED_ACK","0x02","YCP_TRANSPORT_NEED_ACK","")</f>
        <v>YCP_TRANSPORT_NEED_ACK</v>
      </c>
      <c r="I16" s="107" t="s">
        <v>461</v>
      </c>
      <c r="J16" s="114" t="s">
        <v>452</v>
      </c>
      <c r="K16" s="121" t="str">
        <f t="shared" si="1"/>
        <v>HMI_TMSCtrlWord</v>
      </c>
      <c r="L16" s="110" t="s">
        <v>457</v>
      </c>
      <c r="M16" s="110" t="s">
        <v>352</v>
      </c>
      <c r="N16" s="110" t="s">
        <v>352</v>
      </c>
      <c r="O16" s="110" t="s">
        <v>458</v>
      </c>
      <c r="P16" s="330" t="s">
        <v>1034</v>
      </c>
      <c r="Q16" s="117">
        <v>0</v>
      </c>
      <c r="R16" s="117">
        <v>0</v>
      </c>
      <c r="S16" s="116" t="s">
        <v>352</v>
      </c>
      <c r="T16" s="117">
        <f t="shared" si="0"/>
        <v>2</v>
      </c>
      <c r="U16" s="117">
        <v>0</v>
      </c>
      <c r="V16" s="117" t="s">
        <v>2195</v>
      </c>
      <c r="W16" s="116" t="s">
        <v>352</v>
      </c>
      <c r="X16" s="117">
        <v>0</v>
      </c>
    </row>
    <row r="17" spans="1:24" s="106" customFormat="1" ht="49.5" x14ac:dyDescent="0.35">
      <c r="A17" s="107" t="s">
        <v>462</v>
      </c>
      <c r="B17" s="107" t="s">
        <v>463</v>
      </c>
      <c r="C17" s="110" t="s">
        <v>93</v>
      </c>
      <c r="D17" s="109" t="s">
        <v>85</v>
      </c>
      <c r="E17" s="110" t="s">
        <v>453</v>
      </c>
      <c r="F17" s="121">
        <v>4</v>
      </c>
      <c r="G17" s="110" t="s">
        <v>460</v>
      </c>
      <c r="H17" s="339" t="str" cm="1">
        <f t="array" ref="H17">_xlfn.SWITCH(G17,"0x01","YCP_TRANSPORT_UNNEED_ACK","0x02","YCP_TRANSPORT_NEED_ACK","")</f>
        <v>YCP_TRANSPORT_NEED_ACK</v>
      </c>
      <c r="I17" s="107" t="s">
        <v>464</v>
      </c>
      <c r="J17" s="114" t="s">
        <v>452</v>
      </c>
      <c r="K17" s="121" t="str">
        <f t="shared" si="1"/>
        <v>HMI_BankDOCtrl</v>
      </c>
      <c r="L17" s="110" t="s">
        <v>457</v>
      </c>
      <c r="M17" s="110" t="s">
        <v>352</v>
      </c>
      <c r="N17" s="110" t="s">
        <v>458</v>
      </c>
      <c r="O17" s="110" t="s">
        <v>352</v>
      </c>
      <c r="P17" s="330" t="s">
        <v>1034</v>
      </c>
      <c r="Q17" s="117">
        <v>0</v>
      </c>
      <c r="R17" s="117">
        <v>0</v>
      </c>
      <c r="S17" s="116" t="s">
        <v>352</v>
      </c>
      <c r="T17" s="117">
        <f t="shared" si="0"/>
        <v>1</v>
      </c>
      <c r="U17" s="117">
        <v>0</v>
      </c>
      <c r="V17" s="117" t="s">
        <v>2193</v>
      </c>
      <c r="W17" s="116" t="s">
        <v>352</v>
      </c>
      <c r="X17" s="117">
        <v>0</v>
      </c>
    </row>
    <row r="18" spans="1:24" s="106" customFormat="1" ht="49.5" x14ac:dyDescent="0.35">
      <c r="A18" s="107" t="s">
        <v>94</v>
      </c>
      <c r="B18" s="107" t="s">
        <v>465</v>
      </c>
      <c r="C18" s="110" t="s">
        <v>93</v>
      </c>
      <c r="D18" s="109" t="s">
        <v>85</v>
      </c>
      <c r="E18" s="110" t="s">
        <v>440</v>
      </c>
      <c r="F18" s="121">
        <v>8</v>
      </c>
      <c r="G18" s="110" t="s">
        <v>83</v>
      </c>
      <c r="H18" s="339" t="str" cm="1">
        <f t="array" ref="H18">_xlfn.SWITCH(G18,"0x01","YCP_TRANSPORT_UNNEED_ACK","0x02","YCP_TRANSPORT_NEED_ACK","")</f>
        <v>YCP_TRANSPORT_NEED_ACK</v>
      </c>
      <c r="I18" s="107" t="s">
        <v>466</v>
      </c>
      <c r="J18" s="114" t="s">
        <v>452</v>
      </c>
      <c r="K18" s="121" t="str">
        <f t="shared" si="1"/>
        <v>HMI_RackCaliCtrl</v>
      </c>
      <c r="L18" s="110" t="s">
        <v>87</v>
      </c>
      <c r="M18" s="110" t="s">
        <v>85</v>
      </c>
      <c r="N18" s="110" t="s">
        <v>85</v>
      </c>
      <c r="O18" s="110" t="s">
        <v>86</v>
      </c>
      <c r="P18" s="330" t="s">
        <v>1034</v>
      </c>
      <c r="Q18" s="117">
        <v>0</v>
      </c>
      <c r="R18" s="117">
        <v>0</v>
      </c>
      <c r="S18" s="116" t="s">
        <v>352</v>
      </c>
      <c r="T18" s="117">
        <f t="shared" si="0"/>
        <v>1</v>
      </c>
      <c r="U18" s="117">
        <v>0</v>
      </c>
      <c r="V18" s="117" t="s">
        <v>2193</v>
      </c>
      <c r="W18" s="116" t="s">
        <v>352</v>
      </c>
      <c r="X18" s="117">
        <v>0</v>
      </c>
    </row>
    <row r="19" spans="1:24" s="106" customFormat="1" ht="49.5" x14ac:dyDescent="0.35">
      <c r="A19" s="71" t="s">
        <v>791</v>
      </c>
      <c r="B19" s="71" t="s">
        <v>792</v>
      </c>
      <c r="C19" s="69" t="s">
        <v>93</v>
      </c>
      <c r="D19" s="115" t="s">
        <v>85</v>
      </c>
      <c r="E19" s="110" t="s">
        <v>440</v>
      </c>
      <c r="F19" s="121">
        <v>9</v>
      </c>
      <c r="G19" s="110" t="s">
        <v>460</v>
      </c>
      <c r="H19" s="339" t="str" cm="1">
        <f t="array" ref="H19">_xlfn.SWITCH(G19,"0x01","YCP_TRANSPORT_UNNEED_ACK","0x02","YCP_TRANSPORT_NEED_ACK","")</f>
        <v>YCP_TRANSPORT_NEED_ACK</v>
      </c>
      <c r="I19" s="107" t="s">
        <v>793</v>
      </c>
      <c r="J19" s="114" t="s">
        <v>452</v>
      </c>
      <c r="K19" s="121" t="str">
        <f t="shared" si="1"/>
        <v>HMI_RBMSRlyCtrl</v>
      </c>
      <c r="L19" s="110" t="s">
        <v>457</v>
      </c>
      <c r="M19" s="110" t="s">
        <v>352</v>
      </c>
      <c r="N19" s="110" t="s">
        <v>352</v>
      </c>
      <c r="O19" s="110" t="s">
        <v>458</v>
      </c>
      <c r="P19" s="330" t="s">
        <v>1034</v>
      </c>
      <c r="Q19" s="117">
        <v>0</v>
      </c>
      <c r="R19" s="117">
        <v>0</v>
      </c>
      <c r="S19" s="116" t="s">
        <v>352</v>
      </c>
      <c r="T19" s="117">
        <f t="shared" si="0"/>
        <v>1</v>
      </c>
      <c r="U19" s="117">
        <v>0</v>
      </c>
      <c r="V19" s="117" t="s">
        <v>2193</v>
      </c>
      <c r="W19" s="116" t="s">
        <v>352</v>
      </c>
      <c r="X19" s="117">
        <v>0</v>
      </c>
    </row>
    <row r="20" spans="1:24" s="106" customFormat="1" x14ac:dyDescent="0.35">
      <c r="A20" s="116" t="s">
        <v>678</v>
      </c>
      <c r="B20" s="116" t="s">
        <v>1782</v>
      </c>
      <c r="C20" s="117" t="s">
        <v>82</v>
      </c>
      <c r="D20" s="117">
        <v>1000</v>
      </c>
      <c r="E20" s="118" t="s">
        <v>446</v>
      </c>
      <c r="F20" s="121">
        <v>2</v>
      </c>
      <c r="G20" s="110" t="s">
        <v>84</v>
      </c>
      <c r="H20" s="339" t="str" cm="1">
        <f t="array" ref="H20">_xlfn.SWITCH(G20,"0x01","YCP_TRANSPORT_UNNEED_ACK","0x02","YCP_TRANSPORT_NEED_ACK","")</f>
        <v>YCP_TRANSPORT_UNNEED_ACK</v>
      </c>
      <c r="I20" s="107" t="s">
        <v>1068</v>
      </c>
      <c r="J20" s="110" t="s">
        <v>85</v>
      </c>
      <c r="K20" s="121" t="str">
        <f t="shared" si="1"/>
        <v>TMS_SumInfo</v>
      </c>
      <c r="L20" s="110" t="s">
        <v>86</v>
      </c>
      <c r="M20" s="110" t="s">
        <v>353</v>
      </c>
      <c r="N20" s="110" t="s">
        <v>87</v>
      </c>
      <c r="O20" s="110" t="s">
        <v>85</v>
      </c>
      <c r="P20" s="331" t="s">
        <v>1034</v>
      </c>
      <c r="Q20" s="117">
        <v>1</v>
      </c>
      <c r="R20" s="117">
        <v>1</v>
      </c>
      <c r="S20" s="116" t="s">
        <v>2237</v>
      </c>
      <c r="T20" s="117">
        <f t="shared" si="0"/>
        <v>2</v>
      </c>
      <c r="U20" s="117">
        <v>0</v>
      </c>
      <c r="V20" s="117" t="s">
        <v>2196</v>
      </c>
      <c r="W20" s="116" t="s">
        <v>2202</v>
      </c>
      <c r="X20" s="117">
        <v>1</v>
      </c>
    </row>
    <row r="21" spans="1:24" s="106" customFormat="1" x14ac:dyDescent="0.35">
      <c r="A21" s="116" t="s">
        <v>678</v>
      </c>
      <c r="B21" s="116" t="s">
        <v>1781</v>
      </c>
      <c r="C21" s="117" t="s">
        <v>82</v>
      </c>
      <c r="D21" s="117">
        <v>1000</v>
      </c>
      <c r="E21" s="118" t="s">
        <v>745</v>
      </c>
      <c r="F21" s="121">
        <v>38</v>
      </c>
      <c r="G21" s="110" t="s">
        <v>84</v>
      </c>
      <c r="H21" s="339" t="str" cm="1">
        <f t="array" ref="H21">_xlfn.SWITCH(G21,"0x01","YCP_TRANSPORT_UNNEED_ACK","0x02","YCP_TRANSPORT_NEED_ACK","")</f>
        <v>YCP_TRANSPORT_UNNEED_ACK</v>
      </c>
      <c r="I21" s="107" t="s">
        <v>1068</v>
      </c>
      <c r="J21" s="110" t="s">
        <v>85</v>
      </c>
      <c r="K21" s="121" t="str">
        <f t="shared" si="1"/>
        <v>TMS_SumInfo</v>
      </c>
      <c r="L21" s="110" t="s">
        <v>86</v>
      </c>
      <c r="M21" s="110" t="s">
        <v>353</v>
      </c>
      <c r="N21" s="110" t="s">
        <v>352</v>
      </c>
      <c r="O21" s="110" t="s">
        <v>87</v>
      </c>
      <c r="P21" s="331" t="s">
        <v>1034</v>
      </c>
      <c r="Q21" s="117">
        <v>1</v>
      </c>
      <c r="R21" s="117">
        <v>1</v>
      </c>
      <c r="S21" s="116" t="s">
        <v>2237</v>
      </c>
      <c r="T21" s="117">
        <f t="shared" si="0"/>
        <v>2</v>
      </c>
      <c r="U21" s="117">
        <v>0</v>
      </c>
      <c r="V21" s="117" t="s">
        <v>2195</v>
      </c>
      <c r="W21" s="116" t="s">
        <v>2203</v>
      </c>
      <c r="X21" s="117">
        <v>1</v>
      </c>
    </row>
    <row r="22" spans="1:24" s="106" customFormat="1" x14ac:dyDescent="0.35">
      <c r="A22" s="116" t="s">
        <v>345</v>
      </c>
      <c r="B22" s="116" t="s">
        <v>467</v>
      </c>
      <c r="C22" s="110" t="s">
        <v>93</v>
      </c>
      <c r="D22" s="117" t="s">
        <v>352</v>
      </c>
      <c r="E22" s="118" t="s">
        <v>440</v>
      </c>
      <c r="F22" s="121">
        <v>10</v>
      </c>
      <c r="G22" s="110" t="s">
        <v>83</v>
      </c>
      <c r="H22" s="339" t="str" cm="1">
        <f t="array" ref="H22">_xlfn.SWITCH(G22,"0x01","YCP_TRANSPORT_UNNEED_ACK","0x02","YCP_TRANSPORT_NEED_ACK","")</f>
        <v>YCP_TRANSPORT_NEED_ACK</v>
      </c>
      <c r="I22" s="110" t="s">
        <v>352</v>
      </c>
      <c r="J22" s="114" t="s">
        <v>468</v>
      </c>
      <c r="K22" s="121" t="str">
        <f t="shared" si="1"/>
        <v>ParaThr_CellV</v>
      </c>
      <c r="L22" s="110" t="s">
        <v>87</v>
      </c>
      <c r="M22" s="110" t="s">
        <v>85</v>
      </c>
      <c r="N22" s="110" t="s">
        <v>85</v>
      </c>
      <c r="O22" s="110" t="s">
        <v>353</v>
      </c>
      <c r="P22" s="330" t="s">
        <v>1032</v>
      </c>
      <c r="Q22" s="117">
        <v>0</v>
      </c>
      <c r="R22" s="117">
        <v>0</v>
      </c>
      <c r="S22" s="116" t="s">
        <v>352</v>
      </c>
      <c r="T22" s="117">
        <f t="shared" si="0"/>
        <v>2</v>
      </c>
      <c r="U22" s="117">
        <v>0</v>
      </c>
      <c r="V22" s="117" t="s">
        <v>2193</v>
      </c>
      <c r="W22" s="116" t="s">
        <v>352</v>
      </c>
      <c r="X22" s="117">
        <v>0</v>
      </c>
    </row>
    <row r="23" spans="1:24" s="106" customFormat="1" ht="49.5" x14ac:dyDescent="0.35">
      <c r="A23" s="116" t="s">
        <v>345</v>
      </c>
      <c r="B23" s="116" t="s">
        <v>469</v>
      </c>
      <c r="C23" s="110" t="s">
        <v>93</v>
      </c>
      <c r="D23" s="117" t="s">
        <v>352</v>
      </c>
      <c r="E23" s="118" t="s">
        <v>440</v>
      </c>
      <c r="F23" s="121">
        <v>11</v>
      </c>
      <c r="G23" s="110" t="s">
        <v>453</v>
      </c>
      <c r="H23" s="339" t="str" cm="1">
        <f t="array" ref="H23">_xlfn.SWITCH(G23,"0x01","YCP_TRANSPORT_UNNEED_ACK","0x02","YCP_TRANSPORT_NEED_ACK","")</f>
        <v>YCP_TRANSPORT_NEED_ACK</v>
      </c>
      <c r="I23" s="107" t="s">
        <v>468</v>
      </c>
      <c r="J23" s="114" t="s">
        <v>452</v>
      </c>
      <c r="K23" s="121" t="str">
        <f t="shared" si="1"/>
        <v>ParaThr_CellV</v>
      </c>
      <c r="L23" s="110" t="s">
        <v>743</v>
      </c>
      <c r="M23" s="110" t="s">
        <v>85</v>
      </c>
      <c r="N23" s="110" t="s">
        <v>85</v>
      </c>
      <c r="O23" s="110" t="s">
        <v>353</v>
      </c>
      <c r="P23" s="330" t="s">
        <v>1034</v>
      </c>
      <c r="Q23" s="117">
        <v>0</v>
      </c>
      <c r="R23" s="117">
        <v>0</v>
      </c>
      <c r="S23" s="116" t="s">
        <v>352</v>
      </c>
      <c r="T23" s="117">
        <f t="shared" si="0"/>
        <v>2</v>
      </c>
      <c r="U23" s="117">
        <v>0</v>
      </c>
      <c r="V23" s="117" t="s">
        <v>2193</v>
      </c>
      <c r="W23" s="116" t="s">
        <v>352</v>
      </c>
      <c r="X23" s="117">
        <v>0</v>
      </c>
    </row>
    <row r="24" spans="1:24" s="106" customFormat="1" x14ac:dyDescent="0.35">
      <c r="A24" s="116" t="s">
        <v>346</v>
      </c>
      <c r="B24" s="116" t="s">
        <v>470</v>
      </c>
      <c r="C24" s="110" t="s">
        <v>93</v>
      </c>
      <c r="D24" s="117" t="s">
        <v>352</v>
      </c>
      <c r="E24" s="118" t="s">
        <v>440</v>
      </c>
      <c r="F24" s="121">
        <v>12</v>
      </c>
      <c r="G24" s="110" t="s">
        <v>83</v>
      </c>
      <c r="H24" s="339" t="str" cm="1">
        <f t="array" ref="H24">_xlfn.SWITCH(G24,"0x01","YCP_TRANSPORT_UNNEED_ACK","0x02","YCP_TRANSPORT_NEED_ACK","")</f>
        <v>YCP_TRANSPORT_NEED_ACK</v>
      </c>
      <c r="I24" s="110" t="s">
        <v>352</v>
      </c>
      <c r="J24" s="114" t="s">
        <v>471</v>
      </c>
      <c r="K24" s="121" t="str">
        <f t="shared" si="1"/>
        <v>ParaThr_RackV</v>
      </c>
      <c r="L24" s="110" t="s">
        <v>87</v>
      </c>
      <c r="M24" s="110" t="s">
        <v>85</v>
      </c>
      <c r="N24" s="110" t="s">
        <v>85</v>
      </c>
      <c r="O24" s="110" t="s">
        <v>353</v>
      </c>
      <c r="P24" s="330" t="s">
        <v>1032</v>
      </c>
      <c r="Q24" s="117">
        <v>0</v>
      </c>
      <c r="R24" s="117">
        <v>0</v>
      </c>
      <c r="S24" s="116" t="s">
        <v>352</v>
      </c>
      <c r="T24" s="117">
        <f t="shared" si="0"/>
        <v>2</v>
      </c>
      <c r="U24" s="117">
        <v>0</v>
      </c>
      <c r="V24" s="117" t="s">
        <v>2193</v>
      </c>
      <c r="W24" s="116" t="s">
        <v>352</v>
      </c>
      <c r="X24" s="117">
        <v>0</v>
      </c>
    </row>
    <row r="25" spans="1:24" s="106" customFormat="1" ht="49.5" x14ac:dyDescent="0.35">
      <c r="A25" s="116" t="s">
        <v>346</v>
      </c>
      <c r="B25" s="116" t="s">
        <v>472</v>
      </c>
      <c r="C25" s="110" t="s">
        <v>93</v>
      </c>
      <c r="D25" s="117" t="s">
        <v>352</v>
      </c>
      <c r="E25" s="118" t="s">
        <v>440</v>
      </c>
      <c r="F25" s="121">
        <v>13</v>
      </c>
      <c r="G25" s="110" t="s">
        <v>83</v>
      </c>
      <c r="H25" s="339" t="str" cm="1">
        <f t="array" ref="H25">_xlfn.SWITCH(G25,"0x01","YCP_TRANSPORT_UNNEED_ACK","0x02","YCP_TRANSPORT_NEED_ACK","")</f>
        <v>YCP_TRANSPORT_NEED_ACK</v>
      </c>
      <c r="I25" s="114" t="s">
        <v>471</v>
      </c>
      <c r="J25" s="114" t="s">
        <v>452</v>
      </c>
      <c r="K25" s="121" t="str">
        <f t="shared" si="1"/>
        <v>ParaThr_RackV</v>
      </c>
      <c r="L25" s="110" t="s">
        <v>743</v>
      </c>
      <c r="M25" s="110" t="s">
        <v>85</v>
      </c>
      <c r="N25" s="110" t="s">
        <v>85</v>
      </c>
      <c r="O25" s="110" t="s">
        <v>353</v>
      </c>
      <c r="P25" s="330" t="s">
        <v>1034</v>
      </c>
      <c r="Q25" s="117">
        <v>0</v>
      </c>
      <c r="R25" s="117">
        <v>0</v>
      </c>
      <c r="S25" s="116" t="s">
        <v>352</v>
      </c>
      <c r="T25" s="117">
        <f t="shared" si="0"/>
        <v>2</v>
      </c>
      <c r="U25" s="117">
        <v>0</v>
      </c>
      <c r="V25" s="117" t="s">
        <v>2193</v>
      </c>
      <c r="W25" s="116" t="s">
        <v>352</v>
      </c>
      <c r="X25" s="117">
        <v>0</v>
      </c>
    </row>
    <row r="26" spans="1:24" s="106" customFormat="1" x14ac:dyDescent="0.35">
      <c r="A26" s="116" t="s">
        <v>348</v>
      </c>
      <c r="B26" s="116" t="s">
        <v>473</v>
      </c>
      <c r="C26" s="110" t="s">
        <v>93</v>
      </c>
      <c r="D26" s="117" t="s">
        <v>352</v>
      </c>
      <c r="E26" s="118" t="s">
        <v>440</v>
      </c>
      <c r="F26" s="121">
        <v>14</v>
      </c>
      <c r="G26" s="110" t="s">
        <v>83</v>
      </c>
      <c r="H26" s="339" t="str" cm="1">
        <f t="array" ref="H26">_xlfn.SWITCH(G26,"0x01","YCP_TRANSPORT_UNNEED_ACK","0x02","YCP_TRANSPORT_NEED_ACK","")</f>
        <v>YCP_TRANSPORT_NEED_ACK</v>
      </c>
      <c r="I26" s="110" t="s">
        <v>352</v>
      </c>
      <c r="J26" s="114" t="s">
        <v>474</v>
      </c>
      <c r="K26" s="121" t="str">
        <f t="shared" si="1"/>
        <v>ParaThr_RackI</v>
      </c>
      <c r="L26" s="110" t="s">
        <v>87</v>
      </c>
      <c r="M26" s="110" t="s">
        <v>85</v>
      </c>
      <c r="N26" s="110" t="s">
        <v>85</v>
      </c>
      <c r="O26" s="110" t="s">
        <v>353</v>
      </c>
      <c r="P26" s="330" t="s">
        <v>1032</v>
      </c>
      <c r="Q26" s="117">
        <v>0</v>
      </c>
      <c r="R26" s="117">
        <v>0</v>
      </c>
      <c r="S26" s="116" t="s">
        <v>352</v>
      </c>
      <c r="T26" s="117">
        <f t="shared" si="0"/>
        <v>2</v>
      </c>
      <c r="U26" s="117">
        <v>0</v>
      </c>
      <c r="V26" s="117" t="s">
        <v>2193</v>
      </c>
      <c r="W26" s="116" t="s">
        <v>352</v>
      </c>
      <c r="X26" s="117">
        <v>0</v>
      </c>
    </row>
    <row r="27" spans="1:24" s="106" customFormat="1" ht="49.5" x14ac:dyDescent="0.35">
      <c r="A27" s="116" t="s">
        <v>348</v>
      </c>
      <c r="B27" s="116" t="s">
        <v>475</v>
      </c>
      <c r="C27" s="110" t="s">
        <v>93</v>
      </c>
      <c r="D27" s="117" t="s">
        <v>352</v>
      </c>
      <c r="E27" s="118" t="s">
        <v>440</v>
      </c>
      <c r="F27" s="121">
        <v>15</v>
      </c>
      <c r="G27" s="110" t="s">
        <v>83</v>
      </c>
      <c r="H27" s="339" t="str" cm="1">
        <f t="array" ref="H27">_xlfn.SWITCH(G27,"0x01","YCP_TRANSPORT_UNNEED_ACK","0x02","YCP_TRANSPORT_NEED_ACK","")</f>
        <v>YCP_TRANSPORT_NEED_ACK</v>
      </c>
      <c r="I27" s="114" t="s">
        <v>474</v>
      </c>
      <c r="J27" s="114" t="s">
        <v>452</v>
      </c>
      <c r="K27" s="121" t="str">
        <f t="shared" si="1"/>
        <v>ParaThr_RackI</v>
      </c>
      <c r="L27" s="110" t="s">
        <v>743</v>
      </c>
      <c r="M27" s="110" t="s">
        <v>85</v>
      </c>
      <c r="N27" s="110" t="s">
        <v>85</v>
      </c>
      <c r="O27" s="110" t="s">
        <v>353</v>
      </c>
      <c r="P27" s="330" t="s">
        <v>1034</v>
      </c>
      <c r="Q27" s="117">
        <v>0</v>
      </c>
      <c r="R27" s="117">
        <v>0</v>
      </c>
      <c r="S27" s="116" t="s">
        <v>352</v>
      </c>
      <c r="T27" s="117">
        <f t="shared" si="0"/>
        <v>2</v>
      </c>
      <c r="U27" s="117">
        <v>0</v>
      </c>
      <c r="V27" s="117" t="s">
        <v>2193</v>
      </c>
      <c r="W27" s="116" t="s">
        <v>352</v>
      </c>
      <c r="X27" s="117">
        <v>0</v>
      </c>
    </row>
    <row r="28" spans="1:24" s="106" customFormat="1" x14ac:dyDescent="0.35">
      <c r="A28" s="116" t="s">
        <v>347</v>
      </c>
      <c r="B28" s="116" t="s">
        <v>476</v>
      </c>
      <c r="C28" s="110" t="s">
        <v>93</v>
      </c>
      <c r="D28" s="117" t="s">
        <v>352</v>
      </c>
      <c r="E28" s="118" t="s">
        <v>440</v>
      </c>
      <c r="F28" s="121">
        <v>16</v>
      </c>
      <c r="G28" s="110" t="s">
        <v>83</v>
      </c>
      <c r="H28" s="339" t="str" cm="1">
        <f t="array" ref="H28">_xlfn.SWITCH(G28,"0x01","YCP_TRANSPORT_UNNEED_ACK","0x02","YCP_TRANSPORT_NEED_ACK","")</f>
        <v>YCP_TRANSPORT_NEED_ACK</v>
      </c>
      <c r="I28" s="110" t="s">
        <v>352</v>
      </c>
      <c r="J28" s="114" t="s">
        <v>477</v>
      </c>
      <c r="K28" s="121" t="str">
        <f t="shared" si="1"/>
        <v>ParaThr_ModuleT</v>
      </c>
      <c r="L28" s="110" t="s">
        <v>87</v>
      </c>
      <c r="M28" s="110" t="s">
        <v>85</v>
      </c>
      <c r="N28" s="110" t="s">
        <v>85</v>
      </c>
      <c r="O28" s="110" t="s">
        <v>353</v>
      </c>
      <c r="P28" s="330" t="s">
        <v>1032</v>
      </c>
      <c r="Q28" s="117">
        <v>0</v>
      </c>
      <c r="R28" s="117">
        <v>0</v>
      </c>
      <c r="S28" s="116" t="s">
        <v>352</v>
      </c>
      <c r="T28" s="117">
        <f t="shared" si="0"/>
        <v>2</v>
      </c>
      <c r="U28" s="117">
        <v>0</v>
      </c>
      <c r="V28" s="117" t="s">
        <v>2193</v>
      </c>
      <c r="W28" s="116" t="s">
        <v>352</v>
      </c>
      <c r="X28" s="117">
        <v>0</v>
      </c>
    </row>
    <row r="29" spans="1:24" s="106" customFormat="1" ht="49.5" x14ac:dyDescent="0.35">
      <c r="A29" s="116" t="s">
        <v>347</v>
      </c>
      <c r="B29" s="116" t="s">
        <v>478</v>
      </c>
      <c r="C29" s="110" t="s">
        <v>93</v>
      </c>
      <c r="D29" s="117" t="s">
        <v>352</v>
      </c>
      <c r="E29" s="118" t="s">
        <v>440</v>
      </c>
      <c r="F29" s="121">
        <v>17</v>
      </c>
      <c r="G29" s="110" t="s">
        <v>83</v>
      </c>
      <c r="H29" s="339" t="str" cm="1">
        <f t="array" ref="H29">_xlfn.SWITCH(G29,"0x01","YCP_TRANSPORT_UNNEED_ACK","0x02","YCP_TRANSPORT_NEED_ACK","")</f>
        <v>YCP_TRANSPORT_NEED_ACK</v>
      </c>
      <c r="I29" s="114" t="s">
        <v>477</v>
      </c>
      <c r="J29" s="114" t="s">
        <v>452</v>
      </c>
      <c r="K29" s="121" t="str">
        <f t="shared" si="1"/>
        <v>ParaThr_ModuleT</v>
      </c>
      <c r="L29" s="110" t="s">
        <v>743</v>
      </c>
      <c r="M29" s="110" t="s">
        <v>85</v>
      </c>
      <c r="N29" s="110" t="s">
        <v>85</v>
      </c>
      <c r="O29" s="110" t="s">
        <v>353</v>
      </c>
      <c r="P29" s="330" t="s">
        <v>1034</v>
      </c>
      <c r="Q29" s="117">
        <v>0</v>
      </c>
      <c r="R29" s="117">
        <v>0</v>
      </c>
      <c r="S29" s="116" t="s">
        <v>352</v>
      </c>
      <c r="T29" s="117">
        <f t="shared" si="0"/>
        <v>2</v>
      </c>
      <c r="U29" s="117">
        <v>0</v>
      </c>
      <c r="V29" s="117" t="s">
        <v>2193</v>
      </c>
      <c r="W29" s="116" t="s">
        <v>352</v>
      </c>
      <c r="X29" s="117">
        <v>0</v>
      </c>
    </row>
    <row r="30" spans="1:24" s="106" customFormat="1" x14ac:dyDescent="0.35">
      <c r="A30" s="116" t="s">
        <v>349</v>
      </c>
      <c r="B30" s="116" t="s">
        <v>479</v>
      </c>
      <c r="C30" s="110" t="s">
        <v>93</v>
      </c>
      <c r="D30" s="117" t="s">
        <v>352</v>
      </c>
      <c r="E30" s="118" t="s">
        <v>440</v>
      </c>
      <c r="F30" s="121">
        <v>18</v>
      </c>
      <c r="G30" s="110" t="s">
        <v>83</v>
      </c>
      <c r="H30" s="339" t="str" cm="1">
        <f t="array" ref="H30">_xlfn.SWITCH(G30,"0x01","YCP_TRANSPORT_UNNEED_ACK","0x02","YCP_TRANSPORT_NEED_ACK","")</f>
        <v>YCP_TRANSPORT_NEED_ACK</v>
      </c>
      <c r="I30" s="110" t="s">
        <v>352</v>
      </c>
      <c r="J30" s="114" t="s">
        <v>480</v>
      </c>
      <c r="K30" s="121" t="str">
        <f t="shared" si="1"/>
        <v>ParaThr_SOX</v>
      </c>
      <c r="L30" s="110" t="s">
        <v>87</v>
      </c>
      <c r="M30" s="110" t="s">
        <v>85</v>
      </c>
      <c r="N30" s="110" t="s">
        <v>85</v>
      </c>
      <c r="O30" s="110" t="s">
        <v>353</v>
      </c>
      <c r="P30" s="330" t="s">
        <v>1032</v>
      </c>
      <c r="Q30" s="117">
        <v>0</v>
      </c>
      <c r="R30" s="117">
        <v>0</v>
      </c>
      <c r="S30" s="116" t="s">
        <v>352</v>
      </c>
      <c r="T30" s="117">
        <f t="shared" si="0"/>
        <v>2</v>
      </c>
      <c r="U30" s="117">
        <v>0</v>
      </c>
      <c r="V30" s="117" t="s">
        <v>2193</v>
      </c>
      <c r="W30" s="116" t="s">
        <v>352</v>
      </c>
      <c r="X30" s="117">
        <v>0</v>
      </c>
    </row>
    <row r="31" spans="1:24" s="106" customFormat="1" ht="49.5" x14ac:dyDescent="0.35">
      <c r="A31" s="116" t="s">
        <v>349</v>
      </c>
      <c r="B31" s="116" t="s">
        <v>481</v>
      </c>
      <c r="C31" s="110" t="s">
        <v>93</v>
      </c>
      <c r="D31" s="117" t="s">
        <v>352</v>
      </c>
      <c r="E31" s="118" t="s">
        <v>440</v>
      </c>
      <c r="F31" s="121">
        <v>19</v>
      </c>
      <c r="G31" s="110" t="s">
        <v>83</v>
      </c>
      <c r="H31" s="339" t="str" cm="1">
        <f t="array" ref="H31">_xlfn.SWITCH(G31,"0x01","YCP_TRANSPORT_UNNEED_ACK","0x02","YCP_TRANSPORT_NEED_ACK","")</f>
        <v>YCP_TRANSPORT_NEED_ACK</v>
      </c>
      <c r="I31" s="114" t="s">
        <v>480</v>
      </c>
      <c r="J31" s="114" t="s">
        <v>452</v>
      </c>
      <c r="K31" s="121" t="str">
        <f t="shared" si="1"/>
        <v>ParaThr_SOX</v>
      </c>
      <c r="L31" s="110" t="s">
        <v>743</v>
      </c>
      <c r="M31" s="110" t="s">
        <v>85</v>
      </c>
      <c r="N31" s="110" t="s">
        <v>85</v>
      </c>
      <c r="O31" s="110" t="s">
        <v>353</v>
      </c>
      <c r="P31" s="330" t="s">
        <v>1034</v>
      </c>
      <c r="Q31" s="117">
        <v>0</v>
      </c>
      <c r="R31" s="117">
        <v>0</v>
      </c>
      <c r="S31" s="116" t="s">
        <v>352</v>
      </c>
      <c r="T31" s="117">
        <f t="shared" si="0"/>
        <v>2</v>
      </c>
      <c r="U31" s="117">
        <v>0</v>
      </c>
      <c r="V31" s="117" t="s">
        <v>2193</v>
      </c>
      <c r="W31" s="116" t="s">
        <v>352</v>
      </c>
      <c r="X31" s="117">
        <v>0</v>
      </c>
    </row>
    <row r="32" spans="1:24" s="106" customFormat="1" x14ac:dyDescent="0.35">
      <c r="A32" s="116" t="s">
        <v>350</v>
      </c>
      <c r="B32" s="116" t="s">
        <v>482</v>
      </c>
      <c r="C32" s="110" t="s">
        <v>93</v>
      </c>
      <c r="D32" s="117" t="s">
        <v>352</v>
      </c>
      <c r="E32" s="118" t="s">
        <v>440</v>
      </c>
      <c r="F32" s="121">
        <v>20</v>
      </c>
      <c r="G32" s="110" t="s">
        <v>83</v>
      </c>
      <c r="H32" s="339" t="str" cm="1">
        <f t="array" ref="H32">_xlfn.SWITCH(G32,"0x01","YCP_TRANSPORT_UNNEED_ACK","0x02","YCP_TRANSPORT_NEED_ACK","")</f>
        <v>YCP_TRANSPORT_NEED_ACK</v>
      </c>
      <c r="I32" s="110" t="s">
        <v>352</v>
      </c>
      <c r="J32" s="114" t="s">
        <v>483</v>
      </c>
      <c r="K32" s="121" t="str">
        <f t="shared" si="1"/>
        <v>ParaThr_AUX</v>
      </c>
      <c r="L32" s="110" t="s">
        <v>87</v>
      </c>
      <c r="M32" s="110" t="s">
        <v>85</v>
      </c>
      <c r="N32" s="110" t="s">
        <v>85</v>
      </c>
      <c r="O32" s="110" t="s">
        <v>353</v>
      </c>
      <c r="P32" s="330" t="s">
        <v>1032</v>
      </c>
      <c r="Q32" s="117">
        <v>0</v>
      </c>
      <c r="R32" s="117">
        <v>0</v>
      </c>
      <c r="S32" s="116" t="s">
        <v>352</v>
      </c>
      <c r="T32" s="117">
        <f t="shared" si="0"/>
        <v>2</v>
      </c>
      <c r="U32" s="117">
        <v>0</v>
      </c>
      <c r="V32" s="117" t="s">
        <v>2193</v>
      </c>
      <c r="W32" s="116" t="s">
        <v>352</v>
      </c>
      <c r="X32" s="117">
        <v>0</v>
      </c>
    </row>
    <row r="33" spans="1:24" s="106" customFormat="1" ht="49.5" x14ac:dyDescent="0.35">
      <c r="A33" s="116" t="s">
        <v>350</v>
      </c>
      <c r="B33" s="116" t="s">
        <v>484</v>
      </c>
      <c r="C33" s="110" t="s">
        <v>93</v>
      </c>
      <c r="D33" s="117" t="s">
        <v>352</v>
      </c>
      <c r="E33" s="118" t="s">
        <v>440</v>
      </c>
      <c r="F33" s="121">
        <v>21</v>
      </c>
      <c r="G33" s="110" t="s">
        <v>83</v>
      </c>
      <c r="H33" s="339" t="str" cm="1">
        <f t="array" ref="H33">_xlfn.SWITCH(G33,"0x01","YCP_TRANSPORT_UNNEED_ACK","0x02","YCP_TRANSPORT_NEED_ACK","")</f>
        <v>YCP_TRANSPORT_NEED_ACK</v>
      </c>
      <c r="I33" s="114" t="s">
        <v>483</v>
      </c>
      <c r="J33" s="114" t="s">
        <v>452</v>
      </c>
      <c r="K33" s="121" t="str">
        <f t="shared" si="1"/>
        <v>ParaThr_AUX</v>
      </c>
      <c r="L33" s="110" t="s">
        <v>743</v>
      </c>
      <c r="M33" s="110" t="s">
        <v>85</v>
      </c>
      <c r="N33" s="110" t="s">
        <v>85</v>
      </c>
      <c r="O33" s="110" t="s">
        <v>353</v>
      </c>
      <c r="P33" s="330" t="s">
        <v>1034</v>
      </c>
      <c r="Q33" s="117">
        <v>0</v>
      </c>
      <c r="R33" s="117">
        <v>0</v>
      </c>
      <c r="S33" s="116" t="s">
        <v>352</v>
      </c>
      <c r="T33" s="117">
        <f t="shared" si="0"/>
        <v>2</v>
      </c>
      <c r="U33" s="117">
        <v>0</v>
      </c>
      <c r="V33" s="117" t="s">
        <v>2193</v>
      </c>
      <c r="W33" s="116" t="s">
        <v>352</v>
      </c>
      <c r="X33" s="117">
        <v>0</v>
      </c>
    </row>
    <row r="34" spans="1:24" s="106" customFormat="1" x14ac:dyDescent="0.35">
      <c r="A34" s="116" t="s">
        <v>351</v>
      </c>
      <c r="B34" s="116" t="s">
        <v>1785</v>
      </c>
      <c r="C34" s="110" t="s">
        <v>93</v>
      </c>
      <c r="D34" s="117" t="s">
        <v>352</v>
      </c>
      <c r="E34" s="118" t="s">
        <v>460</v>
      </c>
      <c r="F34" s="121">
        <v>6</v>
      </c>
      <c r="G34" s="110" t="s">
        <v>83</v>
      </c>
      <c r="H34" s="339" t="str" cm="1">
        <f t="array" ref="H34">_xlfn.SWITCH(G34,"0x01","YCP_TRANSPORT_UNNEED_ACK","0x02","YCP_TRANSPORT_NEED_ACK","")</f>
        <v>YCP_TRANSPORT_NEED_ACK</v>
      </c>
      <c r="I34" s="110" t="s">
        <v>352</v>
      </c>
      <c r="J34" s="114" t="s">
        <v>485</v>
      </c>
      <c r="K34" s="121" t="str">
        <f t="shared" si="1"/>
        <v>ParaThr_TMS</v>
      </c>
      <c r="L34" s="110" t="s">
        <v>87</v>
      </c>
      <c r="M34" s="110" t="s">
        <v>85</v>
      </c>
      <c r="N34" s="110" t="s">
        <v>353</v>
      </c>
      <c r="O34" s="110" t="s">
        <v>85</v>
      </c>
      <c r="P34" s="330" t="s">
        <v>1032</v>
      </c>
      <c r="Q34" s="117">
        <v>0</v>
      </c>
      <c r="R34" s="117">
        <v>0</v>
      </c>
      <c r="S34" s="116" t="s">
        <v>352</v>
      </c>
      <c r="T34" s="117">
        <f t="shared" ref="T34:T55" si="3">COUNTIF(A:A, A34)</f>
        <v>4</v>
      </c>
      <c r="U34" s="117">
        <v>0</v>
      </c>
      <c r="V34" s="117" t="s">
        <v>2196</v>
      </c>
      <c r="W34" s="116" t="s">
        <v>352</v>
      </c>
      <c r="X34" s="117">
        <v>0</v>
      </c>
    </row>
    <row r="35" spans="1:24" s="106" customFormat="1" ht="49.5" x14ac:dyDescent="0.35">
      <c r="A35" s="116" t="s">
        <v>351</v>
      </c>
      <c r="B35" s="116" t="s">
        <v>1786</v>
      </c>
      <c r="C35" s="110" t="s">
        <v>93</v>
      </c>
      <c r="D35" s="117" t="s">
        <v>352</v>
      </c>
      <c r="E35" s="118" t="s">
        <v>460</v>
      </c>
      <c r="F35" s="121">
        <v>7</v>
      </c>
      <c r="G35" s="110" t="s">
        <v>83</v>
      </c>
      <c r="H35" s="339" t="str" cm="1">
        <f t="array" ref="H35">_xlfn.SWITCH(G35,"0x01","YCP_TRANSPORT_UNNEED_ACK","0x02","YCP_TRANSPORT_NEED_ACK","")</f>
        <v>YCP_TRANSPORT_NEED_ACK</v>
      </c>
      <c r="I35" s="114" t="s">
        <v>485</v>
      </c>
      <c r="J35" s="114" t="s">
        <v>452</v>
      </c>
      <c r="K35" s="121" t="str">
        <f t="shared" si="1"/>
        <v>ParaThr_TMS</v>
      </c>
      <c r="L35" s="110" t="s">
        <v>87</v>
      </c>
      <c r="M35" s="110" t="s">
        <v>85</v>
      </c>
      <c r="N35" s="110" t="s">
        <v>353</v>
      </c>
      <c r="O35" s="110" t="s">
        <v>85</v>
      </c>
      <c r="P35" s="330" t="s">
        <v>1034</v>
      </c>
      <c r="Q35" s="117">
        <v>0</v>
      </c>
      <c r="R35" s="117">
        <v>0</v>
      </c>
      <c r="S35" s="116" t="s">
        <v>352</v>
      </c>
      <c r="T35" s="117">
        <f t="shared" si="3"/>
        <v>4</v>
      </c>
      <c r="U35" s="117">
        <v>0</v>
      </c>
      <c r="V35" s="117" t="s">
        <v>2196</v>
      </c>
      <c r="W35" s="116" t="s">
        <v>352</v>
      </c>
      <c r="X35" s="117">
        <v>0</v>
      </c>
    </row>
    <row r="36" spans="1:24" s="106" customFormat="1" x14ac:dyDescent="0.35">
      <c r="A36" s="116" t="s">
        <v>351</v>
      </c>
      <c r="B36" s="116" t="s">
        <v>1783</v>
      </c>
      <c r="C36" s="110" t="s">
        <v>93</v>
      </c>
      <c r="D36" s="117" t="s">
        <v>352</v>
      </c>
      <c r="E36" s="118" t="s">
        <v>745</v>
      </c>
      <c r="F36" s="121">
        <v>39</v>
      </c>
      <c r="G36" s="110" t="s">
        <v>83</v>
      </c>
      <c r="H36" s="339" t="str" cm="1">
        <f t="array" ref="H36">_xlfn.SWITCH(G36,"0x01","YCP_TRANSPORT_UNNEED_ACK","0x02","YCP_TRANSPORT_NEED_ACK","")</f>
        <v>YCP_TRANSPORT_NEED_ACK</v>
      </c>
      <c r="I36" s="110" t="s">
        <v>352</v>
      </c>
      <c r="J36" s="114" t="s">
        <v>485</v>
      </c>
      <c r="K36" s="121" t="str">
        <f t="shared" si="1"/>
        <v>ParaThr_TMS</v>
      </c>
      <c r="L36" s="110" t="s">
        <v>87</v>
      </c>
      <c r="M36" s="110" t="s">
        <v>85</v>
      </c>
      <c r="N36" s="110" t="s">
        <v>352</v>
      </c>
      <c r="O36" s="110" t="s">
        <v>353</v>
      </c>
      <c r="P36" s="330" t="s">
        <v>1032</v>
      </c>
      <c r="Q36" s="117">
        <v>0</v>
      </c>
      <c r="R36" s="117">
        <v>0</v>
      </c>
      <c r="S36" s="116" t="s">
        <v>352</v>
      </c>
      <c r="T36" s="117">
        <f t="shared" si="3"/>
        <v>4</v>
      </c>
      <c r="U36" s="117">
        <v>0</v>
      </c>
      <c r="V36" s="117" t="s">
        <v>2195</v>
      </c>
      <c r="W36" s="116" t="s">
        <v>352</v>
      </c>
      <c r="X36" s="117">
        <v>0</v>
      </c>
    </row>
    <row r="37" spans="1:24" s="106" customFormat="1" ht="49.5" x14ac:dyDescent="0.35">
      <c r="A37" s="116" t="s">
        <v>351</v>
      </c>
      <c r="B37" s="116" t="s">
        <v>1784</v>
      </c>
      <c r="C37" s="110" t="s">
        <v>93</v>
      </c>
      <c r="D37" s="117" t="s">
        <v>352</v>
      </c>
      <c r="E37" s="118" t="s">
        <v>745</v>
      </c>
      <c r="F37" s="121">
        <v>40</v>
      </c>
      <c r="G37" s="110" t="s">
        <v>83</v>
      </c>
      <c r="H37" s="339" t="str" cm="1">
        <f t="array" ref="H37">_xlfn.SWITCH(G37,"0x01","YCP_TRANSPORT_UNNEED_ACK","0x02","YCP_TRANSPORT_NEED_ACK","")</f>
        <v>YCP_TRANSPORT_NEED_ACK</v>
      </c>
      <c r="I37" s="114" t="s">
        <v>485</v>
      </c>
      <c r="J37" s="114" t="s">
        <v>452</v>
      </c>
      <c r="K37" s="121" t="str">
        <f t="shared" si="1"/>
        <v>ParaThr_TMS</v>
      </c>
      <c r="L37" s="110" t="s">
        <v>87</v>
      </c>
      <c r="M37" s="110" t="s">
        <v>85</v>
      </c>
      <c r="N37" s="110" t="s">
        <v>352</v>
      </c>
      <c r="O37" s="110" t="s">
        <v>353</v>
      </c>
      <c r="P37" s="330" t="s">
        <v>1034</v>
      </c>
      <c r="Q37" s="117">
        <v>0</v>
      </c>
      <c r="R37" s="117">
        <v>0</v>
      </c>
      <c r="S37" s="116" t="s">
        <v>352</v>
      </c>
      <c r="T37" s="117">
        <f t="shared" si="3"/>
        <v>4</v>
      </c>
      <c r="U37" s="117">
        <v>0</v>
      </c>
      <c r="V37" s="117" t="s">
        <v>2195</v>
      </c>
      <c r="W37" s="116" t="s">
        <v>352</v>
      </c>
      <c r="X37" s="117">
        <v>0</v>
      </c>
    </row>
    <row r="38" spans="1:24" s="106" customFormat="1" ht="49.5" x14ac:dyDescent="0.35">
      <c r="A38" s="116" t="s">
        <v>779</v>
      </c>
      <c r="B38" s="116" t="s">
        <v>781</v>
      </c>
      <c r="C38" s="110" t="s">
        <v>93</v>
      </c>
      <c r="D38" s="117" t="s">
        <v>782</v>
      </c>
      <c r="E38" s="117" t="s">
        <v>783</v>
      </c>
      <c r="F38" s="117">
        <v>24</v>
      </c>
      <c r="G38" s="117" t="s">
        <v>453</v>
      </c>
      <c r="H38" s="339" t="str" cm="1">
        <f t="array" ref="H38">_xlfn.SWITCH(G38,"0x01","YCP_TRANSPORT_UNNEED_ACK","0x02","YCP_TRANSPORT_NEED_ACK","")</f>
        <v>YCP_TRANSPORT_NEED_ACK</v>
      </c>
      <c r="I38" s="107" t="s">
        <v>784</v>
      </c>
      <c r="J38" s="114" t="s">
        <v>452</v>
      </c>
      <c r="K38" s="121" t="str">
        <f t="shared" si="1"/>
        <v>HMI_RBMSDOCtrl</v>
      </c>
      <c r="L38" s="110" t="s">
        <v>785</v>
      </c>
      <c r="M38" s="110" t="s">
        <v>782</v>
      </c>
      <c r="N38" s="110" t="s">
        <v>782</v>
      </c>
      <c r="O38" s="110" t="s">
        <v>786</v>
      </c>
      <c r="P38" s="330" t="s">
        <v>1034</v>
      </c>
      <c r="Q38" s="117">
        <v>0</v>
      </c>
      <c r="R38" s="117">
        <v>0</v>
      </c>
      <c r="S38" s="116" t="s">
        <v>352</v>
      </c>
      <c r="T38" s="117">
        <f t="shared" si="3"/>
        <v>1</v>
      </c>
      <c r="U38" s="117">
        <v>0</v>
      </c>
      <c r="V38" s="117" t="s">
        <v>2193</v>
      </c>
      <c r="W38" s="116" t="s">
        <v>352</v>
      </c>
      <c r="X38" s="117">
        <v>0</v>
      </c>
    </row>
    <row r="39" spans="1:24" s="106" customFormat="1" ht="49.5" x14ac:dyDescent="0.35">
      <c r="A39" s="116" t="s">
        <v>787</v>
      </c>
      <c r="B39" s="116" t="s">
        <v>788</v>
      </c>
      <c r="C39" s="110" t="s">
        <v>93</v>
      </c>
      <c r="D39" s="117" t="s">
        <v>782</v>
      </c>
      <c r="E39" s="117" t="s">
        <v>453</v>
      </c>
      <c r="F39" s="117">
        <v>10</v>
      </c>
      <c r="G39" s="117" t="s">
        <v>453</v>
      </c>
      <c r="H39" s="339" t="str" cm="1">
        <f t="array" ref="H39">_xlfn.SWITCH(G39,"0x01","YCP_TRANSPORT_UNNEED_ACK","0x02","YCP_TRANSPORT_NEED_ACK","")</f>
        <v>YCP_TRANSPORT_NEED_ACK</v>
      </c>
      <c r="I39" s="107" t="s">
        <v>789</v>
      </c>
      <c r="J39" s="114" t="s">
        <v>452</v>
      </c>
      <c r="K39" s="121" t="str">
        <f t="shared" si="1"/>
        <v>HMI_BBMSDOCtrl</v>
      </c>
      <c r="L39" s="110" t="s">
        <v>785</v>
      </c>
      <c r="M39" s="110" t="s">
        <v>782</v>
      </c>
      <c r="N39" s="110" t="s">
        <v>786</v>
      </c>
      <c r="O39" s="110" t="s">
        <v>782</v>
      </c>
      <c r="P39" s="330" t="s">
        <v>1034</v>
      </c>
      <c r="Q39" s="117">
        <v>0</v>
      </c>
      <c r="R39" s="117">
        <v>0</v>
      </c>
      <c r="S39" s="116" t="s">
        <v>352</v>
      </c>
      <c r="T39" s="117">
        <f t="shared" si="3"/>
        <v>1</v>
      </c>
      <c r="U39" s="117">
        <v>0</v>
      </c>
      <c r="V39" s="117" t="s">
        <v>2193</v>
      </c>
      <c r="W39" s="116" t="s">
        <v>352</v>
      </c>
      <c r="X39" s="117">
        <v>0</v>
      </c>
    </row>
    <row r="40" spans="1:24" s="106" customFormat="1" ht="25.5" x14ac:dyDescent="0.35">
      <c r="A40" s="145" t="s">
        <v>835</v>
      </c>
      <c r="B40" s="145" t="s">
        <v>840</v>
      </c>
      <c r="C40" s="146" t="s">
        <v>837</v>
      </c>
      <c r="D40" s="146">
        <v>1000</v>
      </c>
      <c r="E40" s="146" t="s">
        <v>745</v>
      </c>
      <c r="F40" s="146">
        <v>25</v>
      </c>
      <c r="G40" s="146" t="s">
        <v>744</v>
      </c>
      <c r="H40" s="339" t="str" cm="1">
        <f t="array" ref="H40">_xlfn.SWITCH(G40,"0x01","YCP_TRANSPORT_UNNEED_ACK","0x02","YCP_TRANSPORT_NEED_ACK","")</f>
        <v>YCP_TRANSPORT_UNNEED_ACK</v>
      </c>
      <c r="I40" s="145" t="s">
        <v>838</v>
      </c>
      <c r="J40" s="110" t="s">
        <v>352</v>
      </c>
      <c r="K40" s="121" t="str">
        <f t="shared" si="1"/>
        <v>RBMS_SOXdebugData1</v>
      </c>
      <c r="L40" s="110" t="s">
        <v>353</v>
      </c>
      <c r="M40" s="110" t="s">
        <v>353</v>
      </c>
      <c r="N40" s="110" t="s">
        <v>352</v>
      </c>
      <c r="O40" s="110" t="s">
        <v>743</v>
      </c>
      <c r="P40" s="331" t="s">
        <v>1034</v>
      </c>
      <c r="Q40" s="117">
        <v>1</v>
      </c>
      <c r="R40" s="117">
        <v>1</v>
      </c>
      <c r="S40" s="116" t="s">
        <v>2241</v>
      </c>
      <c r="T40" s="117">
        <f t="shared" si="3"/>
        <v>1</v>
      </c>
      <c r="U40" s="117">
        <v>0</v>
      </c>
      <c r="V40" s="117" t="s">
        <v>2193</v>
      </c>
      <c r="W40" s="116" t="s">
        <v>2203</v>
      </c>
      <c r="X40" s="117">
        <v>0</v>
      </c>
    </row>
    <row r="41" spans="1:24" s="106" customFormat="1" ht="25.5" x14ac:dyDescent="0.35">
      <c r="A41" s="145" t="s">
        <v>836</v>
      </c>
      <c r="B41" s="145" t="s">
        <v>841</v>
      </c>
      <c r="C41" s="146" t="s">
        <v>837</v>
      </c>
      <c r="D41" s="146">
        <v>1000</v>
      </c>
      <c r="E41" s="146" t="s">
        <v>745</v>
      </c>
      <c r="F41" s="146">
        <v>26</v>
      </c>
      <c r="G41" s="146" t="s">
        <v>744</v>
      </c>
      <c r="H41" s="339" t="str" cm="1">
        <f t="array" ref="H41">_xlfn.SWITCH(G41,"0x01","YCP_TRANSPORT_UNNEED_ACK","0x02","YCP_TRANSPORT_NEED_ACK","")</f>
        <v>YCP_TRANSPORT_UNNEED_ACK</v>
      </c>
      <c r="I41" s="145" t="s">
        <v>839</v>
      </c>
      <c r="J41" s="110" t="s">
        <v>352</v>
      </c>
      <c r="K41" s="121" t="str">
        <f t="shared" si="1"/>
        <v>RBMS_SOXdebugData2</v>
      </c>
      <c r="L41" s="110" t="s">
        <v>353</v>
      </c>
      <c r="M41" s="110" t="s">
        <v>353</v>
      </c>
      <c r="N41" s="110" t="s">
        <v>352</v>
      </c>
      <c r="O41" s="110" t="s">
        <v>743</v>
      </c>
      <c r="P41" s="331" t="s">
        <v>1034</v>
      </c>
      <c r="Q41" s="117">
        <v>1</v>
      </c>
      <c r="R41" s="117">
        <v>1</v>
      </c>
      <c r="S41" s="116" t="s">
        <v>2241</v>
      </c>
      <c r="T41" s="117">
        <f t="shared" si="3"/>
        <v>1</v>
      </c>
      <c r="U41" s="117">
        <v>0</v>
      </c>
      <c r="V41" s="117" t="s">
        <v>2193</v>
      </c>
      <c r="W41" s="116" t="s">
        <v>2203</v>
      </c>
      <c r="X41" s="117">
        <v>0</v>
      </c>
    </row>
    <row r="42" spans="1:24" s="106" customFormat="1" ht="49.5" x14ac:dyDescent="0.35">
      <c r="A42" s="116" t="s">
        <v>905</v>
      </c>
      <c r="B42" s="116" t="s">
        <v>920</v>
      </c>
      <c r="C42" s="110" t="s">
        <v>93</v>
      </c>
      <c r="D42" s="117" t="s">
        <v>352</v>
      </c>
      <c r="E42" s="117" t="s">
        <v>745</v>
      </c>
      <c r="F42" s="117">
        <v>28</v>
      </c>
      <c r="G42" s="117" t="s">
        <v>453</v>
      </c>
      <c r="H42" s="339" t="str" cm="1">
        <f t="array" ref="H42">_xlfn.SWITCH(G42,"0x01","YCP_TRANSPORT_UNNEED_ACK","0x02","YCP_TRANSPORT_NEED_ACK","")</f>
        <v>YCP_TRANSPORT_NEED_ACK</v>
      </c>
      <c r="I42" s="116" t="s">
        <v>918</v>
      </c>
      <c r="J42" s="107" t="s">
        <v>452</v>
      </c>
      <c r="K42" s="121" t="str">
        <f t="shared" si="1"/>
        <v>HMI_RackFaultCali</v>
      </c>
      <c r="L42" s="110" t="s">
        <v>743</v>
      </c>
      <c r="M42" s="110" t="s">
        <v>352</v>
      </c>
      <c r="N42" s="110" t="s">
        <v>352</v>
      </c>
      <c r="O42" s="110" t="s">
        <v>353</v>
      </c>
      <c r="P42" s="330" t="s">
        <v>1034</v>
      </c>
      <c r="Q42" s="117">
        <v>0</v>
      </c>
      <c r="R42" s="117">
        <v>0</v>
      </c>
      <c r="S42" s="116" t="s">
        <v>352</v>
      </c>
      <c r="T42" s="117">
        <f t="shared" si="3"/>
        <v>1</v>
      </c>
      <c r="U42" s="117">
        <v>0</v>
      </c>
      <c r="V42" s="117" t="s">
        <v>2193</v>
      </c>
      <c r="W42" s="116" t="s">
        <v>352</v>
      </c>
      <c r="X42" s="117">
        <v>0</v>
      </c>
    </row>
    <row r="43" spans="1:24" s="106" customFormat="1" ht="49.5" x14ac:dyDescent="0.35">
      <c r="A43" s="116" t="s">
        <v>907</v>
      </c>
      <c r="B43" s="116" t="s">
        <v>921</v>
      </c>
      <c r="C43" s="110" t="s">
        <v>93</v>
      </c>
      <c r="D43" s="117" t="s">
        <v>352</v>
      </c>
      <c r="E43" s="117" t="s">
        <v>453</v>
      </c>
      <c r="F43" s="117">
        <v>11</v>
      </c>
      <c r="G43" s="117" t="s">
        <v>453</v>
      </c>
      <c r="H43" s="339" t="str" cm="1">
        <f t="array" ref="H43">_xlfn.SWITCH(G43,"0x01","YCP_TRANSPORT_UNNEED_ACK","0x02","YCP_TRANSPORT_NEED_ACK","")</f>
        <v>YCP_TRANSPORT_NEED_ACK</v>
      </c>
      <c r="I43" s="116" t="s">
        <v>919</v>
      </c>
      <c r="J43" s="107" t="s">
        <v>452</v>
      </c>
      <c r="K43" s="121" t="str">
        <f t="shared" si="1"/>
        <v>HMI_BankFaultCali</v>
      </c>
      <c r="L43" s="110" t="s">
        <v>743</v>
      </c>
      <c r="M43" s="110" t="s">
        <v>352</v>
      </c>
      <c r="N43" s="110" t="s">
        <v>353</v>
      </c>
      <c r="O43" s="110" t="s">
        <v>352</v>
      </c>
      <c r="P43" s="330" t="s">
        <v>1034</v>
      </c>
      <c r="Q43" s="117">
        <v>0</v>
      </c>
      <c r="R43" s="117">
        <v>0</v>
      </c>
      <c r="S43" s="116" t="s">
        <v>352</v>
      </c>
      <c r="T43" s="117">
        <f t="shared" si="3"/>
        <v>1</v>
      </c>
      <c r="U43" s="117">
        <v>1</v>
      </c>
      <c r="V43" s="117" t="s">
        <v>2193</v>
      </c>
      <c r="W43" s="116" t="s">
        <v>352</v>
      </c>
      <c r="X43" s="117">
        <v>0</v>
      </c>
    </row>
    <row r="44" spans="1:24" s="106" customFormat="1" x14ac:dyDescent="0.35">
      <c r="A44" s="116" t="s">
        <v>1028</v>
      </c>
      <c r="B44" s="112" t="s">
        <v>1029</v>
      </c>
      <c r="C44" s="110" t="s">
        <v>1030</v>
      </c>
      <c r="D44" s="109" t="s">
        <v>352</v>
      </c>
      <c r="E44" s="110" t="s">
        <v>445</v>
      </c>
      <c r="F44" s="121">
        <v>5</v>
      </c>
      <c r="G44" s="110" t="s">
        <v>453</v>
      </c>
      <c r="H44" s="339" t="str" cm="1">
        <f t="array" ref="H44">_xlfn.SWITCH(G44,"0x01","YCP_TRANSPORT_UNNEED_ACK","0x02","YCP_TRANSPORT_NEED_ACK","")</f>
        <v>YCP_TRANSPORT_NEED_ACK</v>
      </c>
      <c r="I44" s="110" t="s">
        <v>352</v>
      </c>
      <c r="J44" s="111" t="s">
        <v>1031</v>
      </c>
      <c r="K44" s="121" t="str">
        <f t="shared" si="1"/>
        <v>HMI_FltOvTiNbr</v>
      </c>
      <c r="L44" s="110" t="s">
        <v>743</v>
      </c>
      <c r="M44" s="110" t="s">
        <v>352</v>
      </c>
      <c r="N44" s="110" t="s">
        <v>353</v>
      </c>
      <c r="O44" s="110" t="s">
        <v>353</v>
      </c>
      <c r="P44" s="330" t="s">
        <v>1032</v>
      </c>
      <c r="Q44" s="117">
        <v>0</v>
      </c>
      <c r="R44" s="117">
        <v>0</v>
      </c>
      <c r="S44" s="116" t="s">
        <v>352</v>
      </c>
      <c r="T44" s="117">
        <f t="shared" si="3"/>
        <v>1</v>
      </c>
      <c r="U44" s="117">
        <v>1</v>
      </c>
      <c r="V44" s="117" t="s">
        <v>2193</v>
      </c>
      <c r="W44" s="116" t="s">
        <v>352</v>
      </c>
      <c r="X44" s="117">
        <v>0</v>
      </c>
    </row>
    <row r="45" spans="1:24" s="106" customFormat="1" x14ac:dyDescent="0.35">
      <c r="A45" s="116" t="s">
        <v>1087</v>
      </c>
      <c r="B45" s="112" t="s">
        <v>1088</v>
      </c>
      <c r="C45" s="110" t="s">
        <v>82</v>
      </c>
      <c r="D45" s="109">
        <v>1000</v>
      </c>
      <c r="E45" s="110" t="s">
        <v>745</v>
      </c>
      <c r="F45" s="121">
        <v>23</v>
      </c>
      <c r="G45" s="110" t="s">
        <v>744</v>
      </c>
      <c r="H45" s="339" t="str" cm="1">
        <f t="array" ref="H45">_xlfn.SWITCH(G45,"0x01","YCP_TRANSPORT_UNNEED_ACK","0x02","YCP_TRANSPORT_NEED_ACK","")</f>
        <v>YCP_TRANSPORT_UNNEED_ACK</v>
      </c>
      <c r="I45" s="107" t="s">
        <v>1089</v>
      </c>
      <c r="J45" s="110" t="s">
        <v>352</v>
      </c>
      <c r="K45" s="121" t="str">
        <f t="shared" si="1"/>
        <v>RBMS_Debug</v>
      </c>
      <c r="L45" s="110" t="s">
        <v>353</v>
      </c>
      <c r="M45" s="110" t="s">
        <v>353</v>
      </c>
      <c r="N45" s="110" t="s">
        <v>352</v>
      </c>
      <c r="O45" s="110" t="s">
        <v>743</v>
      </c>
      <c r="P45" s="331" t="s">
        <v>1034</v>
      </c>
      <c r="Q45" s="117">
        <v>1</v>
      </c>
      <c r="R45" s="117">
        <v>1</v>
      </c>
      <c r="S45" s="116" t="s">
        <v>2241</v>
      </c>
      <c r="T45" s="117">
        <f t="shared" si="3"/>
        <v>1</v>
      </c>
      <c r="U45" s="117">
        <v>0</v>
      </c>
      <c r="V45" s="117" t="s">
        <v>2193</v>
      </c>
      <c r="W45" s="116" t="s">
        <v>2203</v>
      </c>
      <c r="X45" s="117">
        <v>0</v>
      </c>
    </row>
    <row r="46" spans="1:24" s="106" customFormat="1" x14ac:dyDescent="0.35">
      <c r="A46" s="116" t="s">
        <v>1137</v>
      </c>
      <c r="B46" s="116" t="s">
        <v>1141</v>
      </c>
      <c r="C46" s="110" t="s">
        <v>82</v>
      </c>
      <c r="D46" s="146">
        <v>1000</v>
      </c>
      <c r="E46" s="117" t="s">
        <v>744</v>
      </c>
      <c r="F46" s="117">
        <v>7</v>
      </c>
      <c r="G46" s="117" t="s">
        <v>744</v>
      </c>
      <c r="H46" s="339" t="str" cm="1">
        <f t="array" ref="H46">_xlfn.SWITCH(G46,"0x01","YCP_TRANSPORT_UNNEED_ACK","0x02","YCP_TRANSPORT_NEED_ACK","")</f>
        <v>YCP_TRANSPORT_UNNEED_ACK</v>
      </c>
      <c r="I46" s="116" t="s">
        <v>1144</v>
      </c>
      <c r="J46" s="250" t="s">
        <v>85</v>
      </c>
      <c r="K46" s="121" t="str">
        <f t="shared" si="1"/>
        <v>BBMS_A_SOCInfo</v>
      </c>
      <c r="L46" s="117" t="s">
        <v>353</v>
      </c>
      <c r="M46" s="117" t="s">
        <v>743</v>
      </c>
      <c r="N46" s="117" t="s">
        <v>352</v>
      </c>
      <c r="O46" s="117" t="s">
        <v>352</v>
      </c>
      <c r="P46" s="331" t="s">
        <v>352</v>
      </c>
      <c r="Q46" s="117">
        <v>1</v>
      </c>
      <c r="R46" s="117">
        <v>1</v>
      </c>
      <c r="S46" s="116" t="s">
        <v>2241</v>
      </c>
      <c r="T46" s="117">
        <f t="shared" si="3"/>
        <v>1</v>
      </c>
      <c r="U46" s="117">
        <v>0</v>
      </c>
      <c r="V46" s="117" t="s">
        <v>2193</v>
      </c>
      <c r="W46" s="116" t="s">
        <v>352</v>
      </c>
      <c r="X46" s="117">
        <v>0</v>
      </c>
    </row>
    <row r="47" spans="1:24" x14ac:dyDescent="0.35">
      <c r="A47" s="116" t="s">
        <v>1138</v>
      </c>
      <c r="B47" s="116" t="s">
        <v>1142</v>
      </c>
      <c r="C47" s="110" t="s">
        <v>82</v>
      </c>
      <c r="D47" s="146">
        <v>1000</v>
      </c>
      <c r="E47" s="117" t="s">
        <v>744</v>
      </c>
      <c r="F47" s="117">
        <v>8</v>
      </c>
      <c r="G47" s="117" t="s">
        <v>744</v>
      </c>
      <c r="H47" s="339" t="str" cm="1">
        <f t="array" ref="H47">_xlfn.SWITCH(G47,"0x01","YCP_TRANSPORT_UNNEED_ACK","0x02","YCP_TRANSPORT_NEED_ACK","")</f>
        <v>YCP_TRANSPORT_UNNEED_ACK</v>
      </c>
      <c r="I47" s="116" t="s">
        <v>1145</v>
      </c>
      <c r="J47" s="250" t="s">
        <v>85</v>
      </c>
      <c r="K47" s="121" t="str">
        <f t="shared" si="1"/>
        <v>BBMS_A_SOHInfo</v>
      </c>
      <c r="L47" s="117" t="s">
        <v>353</v>
      </c>
      <c r="M47" s="117" t="s">
        <v>743</v>
      </c>
      <c r="N47" s="117" t="s">
        <v>352</v>
      </c>
      <c r="O47" s="117" t="s">
        <v>352</v>
      </c>
      <c r="P47" s="331" t="s">
        <v>352</v>
      </c>
      <c r="Q47" s="117">
        <v>1</v>
      </c>
      <c r="R47" s="117">
        <v>1</v>
      </c>
      <c r="S47" s="116" t="s">
        <v>2241</v>
      </c>
      <c r="T47" s="117">
        <f t="shared" si="3"/>
        <v>1</v>
      </c>
      <c r="U47" s="117">
        <v>0</v>
      </c>
      <c r="V47" s="117" t="s">
        <v>2193</v>
      </c>
      <c r="W47" s="116" t="s">
        <v>352</v>
      </c>
      <c r="X47" s="117">
        <v>0</v>
      </c>
    </row>
    <row r="48" spans="1:24" x14ac:dyDescent="0.35">
      <c r="A48" s="116" t="s">
        <v>1140</v>
      </c>
      <c r="B48" s="116" t="s">
        <v>1143</v>
      </c>
      <c r="C48" s="110" t="s">
        <v>82</v>
      </c>
      <c r="D48" s="146">
        <v>1000</v>
      </c>
      <c r="E48" s="117" t="s">
        <v>744</v>
      </c>
      <c r="F48" s="117">
        <v>9</v>
      </c>
      <c r="G48" s="117" t="s">
        <v>744</v>
      </c>
      <c r="H48" s="339" t="str" cm="1">
        <f t="array" ref="H48">_xlfn.SWITCH(G48,"0x01","YCP_TRANSPORT_UNNEED_ACK","0x02","YCP_TRANSPORT_NEED_ACK","")</f>
        <v>YCP_TRANSPORT_UNNEED_ACK</v>
      </c>
      <c r="I48" s="116" t="s">
        <v>1908</v>
      </c>
      <c r="J48" s="250" t="s">
        <v>85</v>
      </c>
      <c r="K48" s="121" t="str">
        <f t="shared" si="1"/>
        <v>BBMS_A_Fault</v>
      </c>
      <c r="L48" s="117" t="s">
        <v>353</v>
      </c>
      <c r="M48" s="117" t="s">
        <v>743</v>
      </c>
      <c r="N48" s="117" t="s">
        <v>352</v>
      </c>
      <c r="O48" s="117" t="s">
        <v>352</v>
      </c>
      <c r="P48" s="331" t="s">
        <v>352</v>
      </c>
      <c r="Q48" s="117">
        <v>1</v>
      </c>
      <c r="R48" s="117">
        <v>1</v>
      </c>
      <c r="S48" s="116" t="s">
        <v>2240</v>
      </c>
      <c r="T48" s="117">
        <f t="shared" si="3"/>
        <v>1</v>
      </c>
      <c r="U48" s="117">
        <v>0</v>
      </c>
      <c r="V48" s="117" t="s">
        <v>2193</v>
      </c>
      <c r="W48" s="116" t="s">
        <v>352</v>
      </c>
      <c r="X48" s="117">
        <v>0</v>
      </c>
    </row>
    <row r="49" spans="1:24" x14ac:dyDescent="0.35">
      <c r="A49" s="116" t="s">
        <v>1241</v>
      </c>
      <c r="B49" s="116" t="s">
        <v>1242</v>
      </c>
      <c r="C49" s="110" t="s">
        <v>93</v>
      </c>
      <c r="D49" s="117" t="s">
        <v>352</v>
      </c>
      <c r="E49" s="117" t="s">
        <v>445</v>
      </c>
      <c r="F49" s="117">
        <v>8</v>
      </c>
      <c r="G49" s="117" t="s">
        <v>453</v>
      </c>
      <c r="H49" s="339" t="str" cm="1">
        <f t="array" ref="H49">_xlfn.SWITCH(G49,"0x01","YCP_TRANSPORT_UNNEED_ACK","0x02","YCP_TRANSPORT_NEED_ACK","")</f>
        <v>YCP_TRANSPORT_NEED_ACK</v>
      </c>
      <c r="I49" s="117" t="s">
        <v>352</v>
      </c>
      <c r="J49" s="261" t="s">
        <v>1909</v>
      </c>
      <c r="K49" s="121" t="str">
        <f t="shared" si="1"/>
        <v>HMI_FltEna</v>
      </c>
      <c r="L49" s="117" t="s">
        <v>743</v>
      </c>
      <c r="M49" s="117" t="s">
        <v>353</v>
      </c>
      <c r="N49" s="117" t="s">
        <v>353</v>
      </c>
      <c r="O49" s="117" t="s">
        <v>353</v>
      </c>
      <c r="P49" s="331" t="s">
        <v>1032</v>
      </c>
      <c r="Q49" s="117">
        <v>0</v>
      </c>
      <c r="R49" s="117">
        <v>0</v>
      </c>
      <c r="S49" s="116" t="s">
        <v>352</v>
      </c>
      <c r="T49" s="117">
        <f t="shared" si="3"/>
        <v>2</v>
      </c>
      <c r="U49" s="117">
        <v>0</v>
      </c>
      <c r="V49" s="117" t="s">
        <v>2193</v>
      </c>
      <c r="W49" s="116" t="s">
        <v>352</v>
      </c>
      <c r="X49" s="117">
        <v>0</v>
      </c>
    </row>
    <row r="50" spans="1:24" ht="51" x14ac:dyDescent="0.35">
      <c r="A50" s="116" t="s">
        <v>1241</v>
      </c>
      <c r="B50" s="116" t="s">
        <v>1243</v>
      </c>
      <c r="C50" s="110" t="s">
        <v>93</v>
      </c>
      <c r="D50" s="117" t="s">
        <v>352</v>
      </c>
      <c r="E50" s="117" t="s">
        <v>445</v>
      </c>
      <c r="F50" s="117">
        <v>9</v>
      </c>
      <c r="G50" s="117" t="s">
        <v>453</v>
      </c>
      <c r="H50" s="339" t="str" cm="1">
        <f t="array" ref="H50">_xlfn.SWITCH(G50,"0x01","YCP_TRANSPORT_UNNEED_ACK","0x02","YCP_TRANSPORT_NEED_ACK","")</f>
        <v>YCP_TRANSPORT_NEED_ACK</v>
      </c>
      <c r="I50" s="116" t="s">
        <v>1909</v>
      </c>
      <c r="J50" s="262" t="s">
        <v>452</v>
      </c>
      <c r="K50" s="121" t="str">
        <f t="shared" si="1"/>
        <v>HMI_FltEna</v>
      </c>
      <c r="L50" s="117" t="s">
        <v>743</v>
      </c>
      <c r="M50" s="117" t="s">
        <v>353</v>
      </c>
      <c r="N50" s="117" t="s">
        <v>353</v>
      </c>
      <c r="O50" s="117" t="s">
        <v>353</v>
      </c>
      <c r="P50" s="331" t="s">
        <v>1034</v>
      </c>
      <c r="Q50" s="117">
        <v>0</v>
      </c>
      <c r="R50" s="117">
        <v>0</v>
      </c>
      <c r="S50" s="116" t="s">
        <v>352</v>
      </c>
      <c r="T50" s="117">
        <f t="shared" si="3"/>
        <v>2</v>
      </c>
      <c r="U50" s="117">
        <v>0</v>
      </c>
      <c r="V50" s="117" t="s">
        <v>2193</v>
      </c>
      <c r="W50" s="116" t="s">
        <v>352</v>
      </c>
      <c r="X50" s="117">
        <v>0</v>
      </c>
    </row>
    <row r="51" spans="1:24" x14ac:dyDescent="0.35">
      <c r="A51" s="116" t="s">
        <v>2328</v>
      </c>
      <c r="B51" s="116" t="s">
        <v>2311</v>
      </c>
      <c r="C51" s="110" t="s">
        <v>93</v>
      </c>
      <c r="D51" s="117" t="s">
        <v>352</v>
      </c>
      <c r="E51" s="117" t="s">
        <v>744</v>
      </c>
      <c r="F51" s="117">
        <v>10</v>
      </c>
      <c r="G51" s="117" t="s">
        <v>453</v>
      </c>
      <c r="H51" s="339" t="str" cm="1">
        <f t="array" ref="H51">_xlfn.SWITCH(G51,"0x01","YCP_TRANSPORT_UNNEED_ACK","0x02","YCP_TRANSPORT_NEED_ACK","")</f>
        <v>YCP_TRANSPORT_NEED_ACK</v>
      </c>
      <c r="I51" s="117" t="s">
        <v>352</v>
      </c>
      <c r="J51" s="261" t="s">
        <v>2329</v>
      </c>
      <c r="K51" s="121" t="str">
        <f t="shared" si="1"/>
        <v>Selfdr_Info</v>
      </c>
      <c r="L51" s="117" t="s">
        <v>743</v>
      </c>
      <c r="M51" s="117" t="s">
        <v>353</v>
      </c>
      <c r="N51" s="117" t="s">
        <v>352</v>
      </c>
      <c r="O51" s="117" t="s">
        <v>352</v>
      </c>
      <c r="P51" s="331" t="s">
        <v>1032</v>
      </c>
      <c r="Q51" s="117">
        <v>0</v>
      </c>
      <c r="R51" s="117">
        <v>0</v>
      </c>
      <c r="S51" s="116" t="s">
        <v>352</v>
      </c>
      <c r="T51" s="117">
        <f t="shared" si="3"/>
        <v>2</v>
      </c>
      <c r="U51" s="117">
        <v>0</v>
      </c>
      <c r="V51" s="117" t="s">
        <v>2314</v>
      </c>
      <c r="W51" s="116" t="s">
        <v>352</v>
      </c>
      <c r="X51" s="117">
        <v>0</v>
      </c>
    </row>
    <row r="52" spans="1:24" x14ac:dyDescent="0.35">
      <c r="A52" s="116" t="s">
        <v>2328</v>
      </c>
      <c r="B52" s="116" t="s">
        <v>2312</v>
      </c>
      <c r="C52" s="110" t="s">
        <v>93</v>
      </c>
      <c r="D52" s="117" t="s">
        <v>352</v>
      </c>
      <c r="E52" s="117" t="s">
        <v>745</v>
      </c>
      <c r="F52" s="117">
        <v>42</v>
      </c>
      <c r="G52" s="117" t="s">
        <v>453</v>
      </c>
      <c r="H52" s="339" t="str" cm="1">
        <f t="array" ref="H52">_xlfn.SWITCH(G52,"0x01","YCP_TRANSPORT_UNNEED_ACK","0x02","YCP_TRANSPORT_NEED_ACK","")</f>
        <v>YCP_TRANSPORT_NEED_ACK</v>
      </c>
      <c r="I52" s="117" t="s">
        <v>352</v>
      </c>
      <c r="J52" s="261" t="s">
        <v>2329</v>
      </c>
      <c r="K52" s="121" t="str">
        <f>IFERROR(MID(I52, FIND("struct ",I52)+7, LEN(I52)),IFERROR(MID(J52, FIND("struct ",J52)+7, LEN(J52)), ""))</f>
        <v>Selfdr_Info</v>
      </c>
      <c r="L52" s="117" t="s">
        <v>743</v>
      </c>
      <c r="M52" s="117" t="s">
        <v>352</v>
      </c>
      <c r="N52" s="117" t="s">
        <v>352</v>
      </c>
      <c r="O52" s="117" t="s">
        <v>353</v>
      </c>
      <c r="P52" s="331" t="s">
        <v>2313</v>
      </c>
      <c r="Q52" s="117">
        <v>0</v>
      </c>
      <c r="R52" s="117">
        <v>0</v>
      </c>
      <c r="S52" s="116" t="s">
        <v>352</v>
      </c>
      <c r="T52" s="117">
        <f t="shared" si="3"/>
        <v>2</v>
      </c>
      <c r="U52" s="117">
        <v>0</v>
      </c>
      <c r="V52" s="117" t="s">
        <v>2314</v>
      </c>
      <c r="W52" s="116" t="s">
        <v>352</v>
      </c>
      <c r="X52" s="117">
        <v>0</v>
      </c>
    </row>
    <row r="53" spans="1:24" s="106" customFormat="1" x14ac:dyDescent="0.35">
      <c r="A53" s="116" t="s">
        <v>1532</v>
      </c>
      <c r="B53" s="116" t="s">
        <v>1531</v>
      </c>
      <c r="C53" s="110" t="s">
        <v>82</v>
      </c>
      <c r="D53" s="117">
        <v>1000</v>
      </c>
      <c r="E53" s="117" t="s">
        <v>453</v>
      </c>
      <c r="F53" s="117">
        <v>14</v>
      </c>
      <c r="G53" s="117" t="s">
        <v>744</v>
      </c>
      <c r="H53" s="339" t="str" cm="1">
        <f t="array" ref="H53">_xlfn.SWITCH(G53,"0x01","YCP_TRANSPORT_UNNEED_ACK","0x02","YCP_TRANSPORT_NEED_ACK","")</f>
        <v>YCP_TRANSPORT_UNNEED_ACK</v>
      </c>
      <c r="I53" s="107" t="s">
        <v>1533</v>
      </c>
      <c r="J53" s="278" t="s">
        <v>352</v>
      </c>
      <c r="K53" s="121" t="str">
        <f t="shared" si="1"/>
        <v>BBMS_SafetySignal</v>
      </c>
      <c r="L53" s="117" t="s">
        <v>352</v>
      </c>
      <c r="M53" s="117" t="s">
        <v>352</v>
      </c>
      <c r="N53" s="117" t="s">
        <v>743</v>
      </c>
      <c r="O53" s="117" t="s">
        <v>353</v>
      </c>
      <c r="P53" s="331" t="s">
        <v>1034</v>
      </c>
      <c r="Q53" s="117">
        <v>0</v>
      </c>
      <c r="R53" s="117">
        <v>0</v>
      </c>
      <c r="S53" s="116" t="s">
        <v>352</v>
      </c>
      <c r="T53" s="117">
        <f t="shared" si="3"/>
        <v>1</v>
      </c>
      <c r="U53" s="117">
        <v>1</v>
      </c>
      <c r="V53" s="117" t="s">
        <v>2193</v>
      </c>
      <c r="W53" s="116" t="s">
        <v>2204</v>
      </c>
      <c r="X53" s="117">
        <v>0</v>
      </c>
    </row>
    <row r="54" spans="1:24" x14ac:dyDescent="0.35">
      <c r="A54" s="116" t="s">
        <v>1751</v>
      </c>
      <c r="B54" s="116" t="s">
        <v>1752</v>
      </c>
      <c r="C54" s="110" t="s">
        <v>82</v>
      </c>
      <c r="D54" s="117">
        <v>1000</v>
      </c>
      <c r="E54" s="117" t="s">
        <v>744</v>
      </c>
      <c r="F54" s="117">
        <v>16</v>
      </c>
      <c r="G54" s="117" t="s">
        <v>744</v>
      </c>
      <c r="H54" s="339" t="str" cm="1">
        <f t="array" ref="H54">_xlfn.SWITCH(G54,"0x01","YCP_TRANSPORT_UNNEED_ACK","0x02","YCP_TRANSPORT_NEED_ACK","")</f>
        <v>YCP_TRANSPORT_UNNEED_ACK</v>
      </c>
      <c r="I54" s="116" t="s">
        <v>1753</v>
      </c>
      <c r="J54" s="250" t="s">
        <v>352</v>
      </c>
      <c r="K54" s="121" t="str">
        <f t="shared" si="1"/>
        <v>BBMS_A_CtlWord</v>
      </c>
      <c r="L54" s="117" t="s">
        <v>352</v>
      </c>
      <c r="M54" s="117" t="s">
        <v>743</v>
      </c>
      <c r="N54" s="117" t="s">
        <v>353</v>
      </c>
      <c r="O54" s="117" t="s">
        <v>353</v>
      </c>
      <c r="P54" s="331" t="s">
        <v>1034</v>
      </c>
      <c r="Q54" s="117">
        <v>0</v>
      </c>
      <c r="R54" s="117">
        <v>0</v>
      </c>
      <c r="S54" s="116" t="s">
        <v>352</v>
      </c>
      <c r="T54" s="117">
        <f t="shared" si="3"/>
        <v>1</v>
      </c>
      <c r="U54" s="117">
        <v>1</v>
      </c>
      <c r="V54" s="117" t="s">
        <v>2314</v>
      </c>
      <c r="W54" s="116" t="s">
        <v>2204</v>
      </c>
      <c r="X54" s="117">
        <v>0</v>
      </c>
    </row>
    <row r="55" spans="1:24" s="106" customFormat="1" x14ac:dyDescent="0.35">
      <c r="A55" s="116" t="s">
        <v>2345</v>
      </c>
      <c r="B55" s="116" t="s">
        <v>2366</v>
      </c>
      <c r="C55" s="110" t="s">
        <v>1030</v>
      </c>
      <c r="D55" s="117" t="s">
        <v>352</v>
      </c>
      <c r="E55" s="117" t="s">
        <v>445</v>
      </c>
      <c r="F55" s="117">
        <v>12</v>
      </c>
      <c r="G55" s="117" t="s">
        <v>744</v>
      </c>
      <c r="H55" s="339" t="str" cm="1">
        <f t="array" ref="H55">_xlfn.SWITCH(G55,"0x01","YCP_TRANSPORT_UNNEED_ACK","0x02","YCP_TRANSPORT_NEED_ACK","")</f>
        <v>YCP_TRANSPORT_UNNEED_ACK</v>
      </c>
      <c r="I55" s="116" t="s">
        <v>2346</v>
      </c>
      <c r="J55" s="250" t="s">
        <v>352</v>
      </c>
      <c r="K55" s="121" t="str">
        <f t="shared" si="1"/>
        <v>System_Info</v>
      </c>
      <c r="L55" s="117" t="s">
        <v>352</v>
      </c>
      <c r="M55" s="117" t="s">
        <v>353</v>
      </c>
      <c r="N55" s="117" t="s">
        <v>353</v>
      </c>
      <c r="O55" s="117" t="s">
        <v>352</v>
      </c>
      <c r="P55" s="331" t="s">
        <v>1034</v>
      </c>
      <c r="Q55" s="117">
        <v>0</v>
      </c>
      <c r="R55" s="117">
        <v>0</v>
      </c>
      <c r="S55" s="116" t="s">
        <v>352</v>
      </c>
      <c r="T55" s="117">
        <f t="shared" si="3"/>
        <v>2</v>
      </c>
      <c r="U55" s="117">
        <v>0</v>
      </c>
      <c r="V55" s="117" t="s">
        <v>2314</v>
      </c>
      <c r="W55" s="116" t="s">
        <v>2204</v>
      </c>
      <c r="X55" s="117">
        <v>0</v>
      </c>
    </row>
    <row r="56" spans="1:24" s="106" customFormat="1" ht="51" x14ac:dyDescent="0.35">
      <c r="A56" s="116" t="s">
        <v>2345</v>
      </c>
      <c r="B56" s="116" t="s">
        <v>2367</v>
      </c>
      <c r="C56" s="110" t="s">
        <v>1030</v>
      </c>
      <c r="D56" s="117" t="s">
        <v>352</v>
      </c>
      <c r="E56" s="117" t="s">
        <v>744</v>
      </c>
      <c r="F56" s="117">
        <v>44</v>
      </c>
      <c r="G56" s="117" t="s">
        <v>453</v>
      </c>
      <c r="H56" s="339" t="str" cm="1">
        <f t="array" ref="H56">_xlfn.SWITCH(G56,"0x01","YCP_TRANSPORT_UNNEED_ACK","0x02","YCP_TRANSPORT_NEED_ACK","")</f>
        <v>YCP_TRANSPORT_NEED_ACK</v>
      </c>
      <c r="I56" s="116" t="s">
        <v>2346</v>
      </c>
      <c r="J56" s="412" t="s">
        <v>452</v>
      </c>
      <c r="K56" s="121" t="str">
        <f t="shared" ref="K56" si="4">IFERROR(MID(I56, FIND("struct ",I56)+7, LEN(I56)),IFERROR(MID(J56, FIND("struct ",J56)+7, LEN(J56)), ""))</f>
        <v>System_Info</v>
      </c>
      <c r="L56" s="117" t="s">
        <v>352</v>
      </c>
      <c r="M56" s="117" t="s">
        <v>352</v>
      </c>
      <c r="N56" s="117" t="s">
        <v>352</v>
      </c>
      <c r="O56" s="117" t="s">
        <v>353</v>
      </c>
      <c r="P56" s="331" t="s">
        <v>1034</v>
      </c>
      <c r="Q56" s="117">
        <v>0</v>
      </c>
      <c r="R56" s="117">
        <v>0</v>
      </c>
      <c r="S56" s="116" t="s">
        <v>352</v>
      </c>
      <c r="T56" s="117">
        <f t="shared" ref="T56" si="5">COUNTIF(A:A, A56)</f>
        <v>2</v>
      </c>
      <c r="U56" s="117">
        <v>0</v>
      </c>
      <c r="V56" s="117" t="s">
        <v>2314</v>
      </c>
      <c r="W56" s="116" t="s">
        <v>352</v>
      </c>
      <c r="X56" s="117">
        <v>0</v>
      </c>
    </row>
    <row r="57" spans="1:24" x14ac:dyDescent="0.35">
      <c r="I57" s="150"/>
      <c r="J57" s="26"/>
      <c r="K57" s="26"/>
    </row>
    <row r="58" spans="1:24" x14ac:dyDescent="0.35">
      <c r="I58" s="150"/>
      <c r="J58" s="26"/>
      <c r="K58" s="26"/>
    </row>
    <row r="59" spans="1:24" x14ac:dyDescent="0.35">
      <c r="I59" s="150"/>
      <c r="J59" s="26"/>
      <c r="K59" s="26"/>
    </row>
    <row r="60" spans="1:24" x14ac:dyDescent="0.35">
      <c r="I60" s="150"/>
      <c r="J60" s="26"/>
      <c r="K60" s="26"/>
    </row>
    <row r="61" spans="1:24" x14ac:dyDescent="0.35">
      <c r="I61" s="150"/>
      <c r="J61" s="26"/>
      <c r="K61" s="26"/>
    </row>
    <row r="62" spans="1:24" x14ac:dyDescent="0.35">
      <c r="I62" s="150"/>
      <c r="J62" s="26"/>
      <c r="K62" s="26"/>
    </row>
    <row r="63" spans="1:24" x14ac:dyDescent="0.35">
      <c r="I63" s="150"/>
      <c r="J63" s="26"/>
      <c r="K63" s="26"/>
    </row>
    <row r="64" spans="1:24" x14ac:dyDescent="0.35">
      <c r="I64" s="150"/>
      <c r="J64" s="26"/>
      <c r="K64" s="26"/>
    </row>
    <row r="65" spans="9:11" x14ac:dyDescent="0.35">
      <c r="I65" s="150"/>
      <c r="J65" s="26"/>
      <c r="K65" s="26"/>
    </row>
    <row r="66" spans="9:11" x14ac:dyDescent="0.35">
      <c r="I66" s="150"/>
      <c r="J66" s="26"/>
      <c r="K66" s="26"/>
    </row>
    <row r="67" spans="9:11" x14ac:dyDescent="0.35">
      <c r="I67" s="150"/>
      <c r="J67" s="26"/>
      <c r="K67" s="26"/>
    </row>
    <row r="68" spans="9:11" x14ac:dyDescent="0.35">
      <c r="I68" s="150"/>
      <c r="J68" s="26"/>
      <c r="K68" s="26"/>
    </row>
    <row r="69" spans="9:11" x14ac:dyDescent="0.35">
      <c r="I69" s="150"/>
      <c r="J69" s="26"/>
      <c r="K69" s="26"/>
    </row>
    <row r="70" spans="9:11" x14ac:dyDescent="0.35">
      <c r="I70" s="150"/>
      <c r="J70" s="26"/>
      <c r="K70" s="26"/>
    </row>
    <row r="71" spans="9:11" x14ac:dyDescent="0.35">
      <c r="I71" s="150"/>
      <c r="J71" s="26"/>
      <c r="K71" s="26"/>
    </row>
    <row r="72" spans="9:11" x14ac:dyDescent="0.35">
      <c r="I72" s="150"/>
      <c r="J72" s="26"/>
      <c r="K72" s="26"/>
    </row>
    <row r="73" spans="9:11" x14ac:dyDescent="0.35">
      <c r="I73" s="150"/>
      <c r="J73" s="26"/>
      <c r="K73" s="26"/>
    </row>
    <row r="74" spans="9:11" x14ac:dyDescent="0.35">
      <c r="I74" s="150"/>
      <c r="J74" s="26"/>
      <c r="K74" s="26"/>
    </row>
    <row r="75" spans="9:11" x14ac:dyDescent="0.35">
      <c r="I75" s="150"/>
      <c r="J75" s="26"/>
      <c r="K75" s="26"/>
    </row>
    <row r="76" spans="9:11" x14ac:dyDescent="0.35">
      <c r="I76" s="150"/>
      <c r="J76" s="26"/>
      <c r="K76" s="26"/>
    </row>
    <row r="77" spans="9:11" x14ac:dyDescent="0.35">
      <c r="I77" s="150"/>
      <c r="J77" s="26"/>
      <c r="K77" s="26"/>
    </row>
    <row r="78" spans="9:11" x14ac:dyDescent="0.35">
      <c r="I78" s="150"/>
      <c r="J78" s="26"/>
      <c r="K78" s="26"/>
    </row>
    <row r="79" spans="9:11" x14ac:dyDescent="0.35">
      <c r="I79" s="150"/>
      <c r="J79" s="26"/>
      <c r="K79" s="26"/>
    </row>
    <row r="80" spans="9:11" x14ac:dyDescent="0.35">
      <c r="I80" s="150"/>
      <c r="J80" s="26"/>
      <c r="K80" s="26"/>
    </row>
    <row r="81" spans="9:11" x14ac:dyDescent="0.35">
      <c r="I81" s="150"/>
      <c r="J81" s="26"/>
      <c r="K81" s="26"/>
    </row>
    <row r="82" spans="9:11" x14ac:dyDescent="0.35">
      <c r="I82" s="150"/>
      <c r="J82" s="26"/>
      <c r="K82" s="26"/>
    </row>
    <row r="83" spans="9:11" x14ac:dyDescent="0.35">
      <c r="I83" s="150"/>
      <c r="J83" s="26"/>
      <c r="K83" s="26"/>
    </row>
    <row r="84" spans="9:11" x14ac:dyDescent="0.35">
      <c r="I84" s="150"/>
      <c r="J84" s="26"/>
      <c r="K84" s="26"/>
    </row>
    <row r="85" spans="9:11" x14ac:dyDescent="0.35">
      <c r="I85" s="150"/>
      <c r="J85" s="26"/>
      <c r="K85" s="26"/>
    </row>
    <row r="86" spans="9:11" x14ac:dyDescent="0.35">
      <c r="I86" s="150"/>
      <c r="J86" s="26"/>
      <c r="K86" s="26"/>
    </row>
    <row r="87" spans="9:11" x14ac:dyDescent="0.35">
      <c r="I87" s="150"/>
      <c r="J87" s="26"/>
      <c r="K87" s="26"/>
    </row>
    <row r="88" spans="9:11" x14ac:dyDescent="0.35">
      <c r="I88" s="150"/>
      <c r="J88" s="26"/>
      <c r="K88" s="26"/>
    </row>
    <row r="89" spans="9:11" x14ac:dyDescent="0.35">
      <c r="I89" s="150"/>
      <c r="J89" s="26"/>
      <c r="K89" s="26"/>
    </row>
    <row r="90" spans="9:11" x14ac:dyDescent="0.35">
      <c r="I90" s="150"/>
      <c r="J90" s="26"/>
      <c r="K90" s="26"/>
    </row>
    <row r="91" spans="9:11" x14ac:dyDescent="0.35">
      <c r="I91" s="150"/>
      <c r="J91" s="26"/>
      <c r="K91" s="26"/>
    </row>
    <row r="92" spans="9:11" x14ac:dyDescent="0.35">
      <c r="I92" s="150"/>
      <c r="J92" s="26"/>
      <c r="K92" s="26"/>
    </row>
    <row r="93" spans="9:11" x14ac:dyDescent="0.35">
      <c r="I93" s="150"/>
      <c r="J93" s="26"/>
      <c r="K93" s="26"/>
    </row>
    <row r="94" spans="9:11" x14ac:dyDescent="0.35">
      <c r="I94" s="150"/>
      <c r="J94" s="26"/>
      <c r="K94" s="26"/>
    </row>
    <row r="95" spans="9:11" x14ac:dyDescent="0.35">
      <c r="I95" s="150"/>
      <c r="J95" s="26"/>
      <c r="K95" s="26"/>
    </row>
    <row r="96" spans="9:11" x14ac:dyDescent="0.35">
      <c r="I96" s="150"/>
      <c r="J96" s="26"/>
      <c r="K96" s="26"/>
    </row>
    <row r="97" spans="9:11" x14ac:dyDescent="0.35">
      <c r="I97" s="150"/>
      <c r="J97" s="26"/>
      <c r="K97" s="26"/>
    </row>
    <row r="98" spans="9:11" x14ac:dyDescent="0.35">
      <c r="I98" s="150"/>
      <c r="J98" s="26"/>
      <c r="K98" s="26"/>
    </row>
    <row r="99" spans="9:11" x14ac:dyDescent="0.35">
      <c r="I99" s="150"/>
      <c r="J99" s="26"/>
      <c r="K99" s="26"/>
    </row>
    <row r="100" spans="9:11" x14ac:dyDescent="0.35">
      <c r="I100" s="150"/>
      <c r="J100" s="26"/>
      <c r="K100" s="26"/>
    </row>
    <row r="101" spans="9:11" x14ac:dyDescent="0.35">
      <c r="I101" s="150"/>
      <c r="J101" s="26"/>
      <c r="K101" s="26"/>
    </row>
    <row r="102" spans="9:11" x14ac:dyDescent="0.35">
      <c r="I102" s="150"/>
      <c r="J102" s="26"/>
      <c r="K102" s="26"/>
    </row>
    <row r="103" spans="9:11" x14ac:dyDescent="0.35">
      <c r="I103" s="150"/>
      <c r="J103" s="26"/>
      <c r="K103" s="26"/>
    </row>
    <row r="104" spans="9:11" x14ac:dyDescent="0.35">
      <c r="I104" s="150"/>
      <c r="J104" s="26"/>
      <c r="K104" s="26"/>
    </row>
    <row r="105" spans="9:11" x14ac:dyDescent="0.35">
      <c r="I105" s="150"/>
      <c r="J105" s="26"/>
      <c r="K105" s="26"/>
    </row>
    <row r="106" spans="9:11" x14ac:dyDescent="0.35">
      <c r="I106" s="150"/>
      <c r="J106" s="26"/>
      <c r="K106" s="26"/>
    </row>
    <row r="107" spans="9:11" x14ac:dyDescent="0.35">
      <c r="I107" s="150"/>
      <c r="J107" s="26"/>
      <c r="K107" s="26"/>
    </row>
    <row r="108" spans="9:11" x14ac:dyDescent="0.35">
      <c r="I108" s="150"/>
      <c r="J108" s="26"/>
      <c r="K108" s="26"/>
    </row>
    <row r="109" spans="9:11" x14ac:dyDescent="0.35">
      <c r="I109" s="150"/>
      <c r="J109" s="26"/>
      <c r="K109" s="26"/>
    </row>
    <row r="110" spans="9:11" x14ac:dyDescent="0.35">
      <c r="I110" s="150"/>
      <c r="J110" s="26"/>
      <c r="K110" s="26"/>
    </row>
    <row r="111" spans="9:11" x14ac:dyDescent="0.35">
      <c r="I111" s="150"/>
      <c r="J111" s="26"/>
      <c r="K111" s="26"/>
    </row>
    <row r="112" spans="9:11" x14ac:dyDescent="0.35">
      <c r="I112" s="150"/>
      <c r="J112" s="26"/>
      <c r="K112" s="26"/>
    </row>
    <row r="113" spans="9:11" x14ac:dyDescent="0.35">
      <c r="I113" s="150"/>
      <c r="J113" s="26"/>
      <c r="K113" s="26"/>
    </row>
    <row r="114" spans="9:11" x14ac:dyDescent="0.35">
      <c r="I114" s="150"/>
      <c r="J114" s="26"/>
      <c r="K114" s="26"/>
    </row>
    <row r="115" spans="9:11" x14ac:dyDescent="0.35">
      <c r="I115" s="150"/>
      <c r="J115" s="26"/>
      <c r="K115" s="26"/>
    </row>
    <row r="116" spans="9:11" x14ac:dyDescent="0.35">
      <c r="I116" s="150"/>
      <c r="J116" s="26"/>
      <c r="K116" s="26"/>
    </row>
    <row r="117" spans="9:11" x14ac:dyDescent="0.35">
      <c r="I117" s="150"/>
      <c r="J117" s="26"/>
      <c r="K117" s="26"/>
    </row>
    <row r="118" spans="9:11" x14ac:dyDescent="0.35">
      <c r="I118" s="150"/>
      <c r="J118" s="26"/>
      <c r="K118" s="26"/>
    </row>
    <row r="119" spans="9:11" x14ac:dyDescent="0.35">
      <c r="I119" s="150"/>
      <c r="J119" s="26"/>
      <c r="K119" s="26"/>
    </row>
    <row r="120" spans="9:11" x14ac:dyDescent="0.35">
      <c r="I120" s="150"/>
      <c r="J120" s="26"/>
      <c r="K120" s="26"/>
    </row>
    <row r="121" spans="9:11" x14ac:dyDescent="0.35">
      <c r="I121" s="150"/>
      <c r="J121" s="26"/>
      <c r="K121" s="26"/>
    </row>
    <row r="122" spans="9:11" x14ac:dyDescent="0.35">
      <c r="I122" s="150"/>
      <c r="J122" s="26"/>
      <c r="K122" s="26"/>
    </row>
    <row r="123" spans="9:11" x14ac:dyDescent="0.35">
      <c r="I123" s="150"/>
      <c r="J123" s="26"/>
      <c r="K123" s="26"/>
    </row>
    <row r="124" spans="9:11" x14ac:dyDescent="0.35">
      <c r="I124" s="150"/>
      <c r="J124" s="26"/>
      <c r="K124" s="26"/>
    </row>
    <row r="125" spans="9:11" x14ac:dyDescent="0.35">
      <c r="I125" s="150"/>
      <c r="J125" s="26"/>
      <c r="K125" s="26"/>
    </row>
    <row r="126" spans="9:11" x14ac:dyDescent="0.35">
      <c r="I126" s="150"/>
      <c r="J126" s="26"/>
      <c r="K126" s="26"/>
    </row>
    <row r="127" spans="9:11" x14ac:dyDescent="0.35">
      <c r="I127" s="150"/>
      <c r="J127" s="26"/>
      <c r="K127" s="26"/>
    </row>
    <row r="128" spans="9:11" x14ac:dyDescent="0.35">
      <c r="I128" s="150"/>
      <c r="J128" s="26"/>
      <c r="K128" s="26"/>
    </row>
    <row r="129" spans="9:11" x14ac:dyDescent="0.35">
      <c r="I129" s="150"/>
      <c r="J129" s="26"/>
      <c r="K129" s="26"/>
    </row>
    <row r="130" spans="9:11" x14ac:dyDescent="0.35">
      <c r="I130" s="150"/>
      <c r="J130" s="26"/>
      <c r="K130" s="26"/>
    </row>
    <row r="131" spans="9:11" x14ac:dyDescent="0.35">
      <c r="I131" s="150"/>
      <c r="J131" s="26"/>
      <c r="K131" s="26"/>
    </row>
    <row r="132" spans="9:11" x14ac:dyDescent="0.35">
      <c r="I132" s="150"/>
      <c r="J132" s="26"/>
      <c r="K132" s="26"/>
    </row>
    <row r="133" spans="9:11" x14ac:dyDescent="0.35">
      <c r="I133" s="150"/>
      <c r="J133" s="26"/>
      <c r="K133" s="26"/>
    </row>
    <row r="134" spans="9:11" x14ac:dyDescent="0.35">
      <c r="I134" s="150"/>
      <c r="J134" s="26"/>
      <c r="K134" s="26"/>
    </row>
    <row r="135" spans="9:11" x14ac:dyDescent="0.35">
      <c r="I135" s="150"/>
      <c r="J135" s="26"/>
      <c r="K135" s="26"/>
    </row>
    <row r="136" spans="9:11" x14ac:dyDescent="0.35">
      <c r="I136" s="150"/>
      <c r="J136" s="26"/>
      <c r="K136" s="26"/>
    </row>
    <row r="137" spans="9:11" x14ac:dyDescent="0.35">
      <c r="I137" s="150"/>
      <c r="J137" s="26"/>
      <c r="K137" s="26"/>
    </row>
    <row r="138" spans="9:11" x14ac:dyDescent="0.35">
      <c r="I138" s="150"/>
      <c r="J138" s="26"/>
      <c r="K138" s="26"/>
    </row>
    <row r="139" spans="9:11" x14ac:dyDescent="0.35">
      <c r="I139" s="150"/>
      <c r="J139" s="26"/>
      <c r="K139" s="26"/>
    </row>
    <row r="140" spans="9:11" x14ac:dyDescent="0.35">
      <c r="I140" s="150"/>
      <c r="J140" s="26"/>
      <c r="K140" s="26"/>
    </row>
    <row r="141" spans="9:11" x14ac:dyDescent="0.35">
      <c r="I141" s="150"/>
      <c r="J141" s="26"/>
      <c r="K141" s="26"/>
    </row>
    <row r="142" spans="9:11" x14ac:dyDescent="0.35">
      <c r="I142" s="150"/>
      <c r="J142" s="26"/>
      <c r="K142" s="26"/>
    </row>
    <row r="143" spans="9:11" x14ac:dyDescent="0.35">
      <c r="I143" s="150"/>
      <c r="J143" s="26"/>
      <c r="K143" s="26"/>
    </row>
    <row r="144" spans="9:11" x14ac:dyDescent="0.35">
      <c r="I144" s="150"/>
      <c r="J144" s="26"/>
      <c r="K144" s="26"/>
    </row>
    <row r="145" spans="9:11" x14ac:dyDescent="0.35">
      <c r="I145" s="150"/>
      <c r="J145" s="26"/>
      <c r="K145" s="26"/>
    </row>
    <row r="146" spans="9:11" x14ac:dyDescent="0.35">
      <c r="I146" s="150"/>
      <c r="J146" s="26"/>
      <c r="K146" s="26"/>
    </row>
    <row r="147" spans="9:11" x14ac:dyDescent="0.35">
      <c r="I147" s="150"/>
      <c r="J147" s="26"/>
      <c r="K147" s="26"/>
    </row>
    <row r="148" spans="9:11" x14ac:dyDescent="0.35">
      <c r="I148" s="150"/>
      <c r="J148" s="26"/>
      <c r="K148" s="26"/>
    </row>
    <row r="149" spans="9:11" x14ac:dyDescent="0.35">
      <c r="I149" s="150"/>
      <c r="J149" s="26"/>
      <c r="K149" s="26"/>
    </row>
    <row r="150" spans="9:11" x14ac:dyDescent="0.35">
      <c r="I150" s="150"/>
      <c r="J150" s="26"/>
      <c r="K150" s="26"/>
    </row>
    <row r="151" spans="9:11" x14ac:dyDescent="0.35">
      <c r="I151" s="150"/>
      <c r="J151" s="26"/>
      <c r="K151" s="26"/>
    </row>
    <row r="152" spans="9:11" x14ac:dyDescent="0.35">
      <c r="I152" s="150"/>
      <c r="J152" s="26"/>
      <c r="K152" s="26"/>
    </row>
    <row r="153" spans="9:11" x14ac:dyDescent="0.35">
      <c r="I153" s="150"/>
      <c r="J153" s="26"/>
      <c r="K153" s="26"/>
    </row>
    <row r="154" spans="9:11" x14ac:dyDescent="0.35">
      <c r="I154" s="150"/>
      <c r="J154" s="26"/>
      <c r="K154" s="26"/>
    </row>
    <row r="155" spans="9:11" x14ac:dyDescent="0.35">
      <c r="I155" s="150"/>
      <c r="J155" s="26"/>
      <c r="K155" s="26"/>
    </row>
    <row r="156" spans="9:11" x14ac:dyDescent="0.35">
      <c r="I156" s="150"/>
      <c r="J156" s="26"/>
      <c r="K156" s="26"/>
    </row>
    <row r="157" spans="9:11" x14ac:dyDescent="0.35">
      <c r="I157" s="150"/>
      <c r="J157" s="26"/>
      <c r="K157" s="26"/>
    </row>
    <row r="158" spans="9:11" x14ac:dyDescent="0.35">
      <c r="I158" s="150"/>
      <c r="J158" s="26"/>
      <c r="K158" s="26"/>
    </row>
    <row r="159" spans="9:11" x14ac:dyDescent="0.35">
      <c r="I159" s="150"/>
      <c r="J159" s="26"/>
      <c r="K159" s="26"/>
    </row>
    <row r="160" spans="9:11" x14ac:dyDescent="0.35">
      <c r="I160" s="150"/>
      <c r="J160" s="26"/>
      <c r="K160" s="26"/>
    </row>
    <row r="161" spans="9:11" x14ac:dyDescent="0.35">
      <c r="I161" s="150"/>
      <c r="J161" s="26"/>
      <c r="K161" s="26"/>
    </row>
    <row r="162" spans="9:11" x14ac:dyDescent="0.35">
      <c r="I162" s="150"/>
      <c r="J162" s="26"/>
      <c r="K162" s="26"/>
    </row>
    <row r="163" spans="9:11" x14ac:dyDescent="0.35">
      <c r="I163" s="150"/>
      <c r="J163" s="26"/>
      <c r="K163" s="26"/>
    </row>
    <row r="164" spans="9:11" x14ac:dyDescent="0.35">
      <c r="I164" s="150"/>
      <c r="J164" s="26"/>
      <c r="K164" s="26"/>
    </row>
    <row r="165" spans="9:11" x14ac:dyDescent="0.35">
      <c r="I165" s="150"/>
      <c r="J165" s="26"/>
      <c r="K165" s="26"/>
    </row>
    <row r="166" spans="9:11" x14ac:dyDescent="0.35">
      <c r="I166" s="150"/>
      <c r="J166" s="26"/>
      <c r="K166" s="26"/>
    </row>
    <row r="167" spans="9:11" x14ac:dyDescent="0.35">
      <c r="I167" s="150"/>
      <c r="J167" s="26"/>
      <c r="K167" s="26"/>
    </row>
    <row r="168" spans="9:11" x14ac:dyDescent="0.35">
      <c r="I168" s="150"/>
      <c r="J168" s="26"/>
      <c r="K168" s="26"/>
    </row>
    <row r="169" spans="9:11" x14ac:dyDescent="0.35">
      <c r="I169" s="150"/>
      <c r="J169" s="26"/>
      <c r="K169" s="26"/>
    </row>
    <row r="170" spans="9:11" x14ac:dyDescent="0.35">
      <c r="I170" s="150"/>
      <c r="J170" s="26"/>
      <c r="K170" s="26"/>
    </row>
    <row r="171" spans="9:11" x14ac:dyDescent="0.35">
      <c r="I171" s="150"/>
      <c r="J171" s="26"/>
      <c r="K171" s="26"/>
    </row>
    <row r="172" spans="9:11" x14ac:dyDescent="0.35">
      <c r="I172" s="150"/>
      <c r="J172" s="26"/>
      <c r="K172" s="26"/>
    </row>
    <row r="173" spans="9:11" x14ac:dyDescent="0.35">
      <c r="I173" s="150"/>
      <c r="J173" s="26"/>
      <c r="K173" s="26"/>
    </row>
    <row r="174" spans="9:11" x14ac:dyDescent="0.35">
      <c r="I174" s="150"/>
      <c r="J174" s="26"/>
      <c r="K174" s="26"/>
    </row>
    <row r="175" spans="9:11" x14ac:dyDescent="0.35">
      <c r="I175" s="150"/>
      <c r="J175" s="26"/>
      <c r="K175" s="26"/>
    </row>
    <row r="176" spans="9:11" x14ac:dyDescent="0.35">
      <c r="I176" s="150"/>
      <c r="J176" s="26"/>
      <c r="K176" s="26"/>
    </row>
    <row r="177" spans="9:11" x14ac:dyDescent="0.35">
      <c r="I177" s="150"/>
      <c r="J177" s="26"/>
      <c r="K177" s="26"/>
    </row>
    <row r="178" spans="9:11" x14ac:dyDescent="0.35">
      <c r="I178" s="150"/>
      <c r="J178" s="26"/>
      <c r="K178" s="26"/>
    </row>
    <row r="179" spans="9:11" x14ac:dyDescent="0.35">
      <c r="I179" s="150"/>
      <c r="J179" s="26"/>
      <c r="K179" s="26"/>
    </row>
    <row r="180" spans="9:11" x14ac:dyDescent="0.35">
      <c r="I180" s="150"/>
      <c r="J180" s="26"/>
      <c r="K180" s="26"/>
    </row>
    <row r="181" spans="9:11" x14ac:dyDescent="0.35">
      <c r="I181" s="150"/>
      <c r="J181" s="26"/>
      <c r="K181" s="26"/>
    </row>
    <row r="182" spans="9:11" x14ac:dyDescent="0.35">
      <c r="I182" s="150"/>
      <c r="J182" s="26"/>
      <c r="K182" s="26"/>
    </row>
    <row r="183" spans="9:11" x14ac:dyDescent="0.35">
      <c r="I183" s="150"/>
      <c r="J183" s="26"/>
      <c r="K183" s="26"/>
    </row>
    <row r="184" spans="9:11" x14ac:dyDescent="0.35">
      <c r="I184" s="150"/>
      <c r="J184" s="26"/>
      <c r="K184" s="26"/>
    </row>
    <row r="185" spans="9:11" x14ac:dyDescent="0.35">
      <c r="I185" s="150"/>
      <c r="J185" s="26"/>
      <c r="K185" s="26"/>
    </row>
    <row r="186" spans="9:11" x14ac:dyDescent="0.35">
      <c r="I186" s="150"/>
      <c r="J186" s="26"/>
      <c r="K186" s="26"/>
    </row>
    <row r="187" spans="9:11" x14ac:dyDescent="0.35">
      <c r="I187" s="150"/>
      <c r="J187" s="26"/>
      <c r="K187" s="26"/>
    </row>
    <row r="188" spans="9:11" x14ac:dyDescent="0.35">
      <c r="I188" s="150"/>
      <c r="J188" s="26"/>
      <c r="K188" s="26"/>
    </row>
    <row r="189" spans="9:11" x14ac:dyDescent="0.35">
      <c r="I189" s="150"/>
      <c r="J189" s="26"/>
      <c r="K189" s="26"/>
    </row>
    <row r="190" spans="9:11" x14ac:dyDescent="0.35">
      <c r="I190" s="150"/>
      <c r="J190" s="26"/>
      <c r="K190" s="26"/>
    </row>
    <row r="191" spans="9:11" x14ac:dyDescent="0.35">
      <c r="I191" s="150"/>
      <c r="J191" s="26"/>
      <c r="K191" s="26"/>
    </row>
    <row r="192" spans="9:11" x14ac:dyDescent="0.35">
      <c r="I192" s="150"/>
      <c r="J192" s="26"/>
      <c r="K192" s="26"/>
    </row>
    <row r="193" spans="9:11" x14ac:dyDescent="0.35">
      <c r="I193" s="150"/>
      <c r="J193" s="26"/>
      <c r="K193" s="26"/>
    </row>
    <row r="194" spans="9:11" x14ac:dyDescent="0.35">
      <c r="I194" s="150"/>
      <c r="J194" s="26"/>
      <c r="K194" s="26"/>
    </row>
    <row r="195" spans="9:11" x14ac:dyDescent="0.35">
      <c r="I195" s="150"/>
      <c r="J195" s="26"/>
      <c r="K195" s="26"/>
    </row>
    <row r="196" spans="9:11" x14ac:dyDescent="0.35">
      <c r="I196" s="150"/>
      <c r="J196" s="26"/>
      <c r="K196" s="26"/>
    </row>
    <row r="197" spans="9:11" x14ac:dyDescent="0.35">
      <c r="I197" s="150"/>
      <c r="J197" s="26"/>
      <c r="K197" s="26"/>
    </row>
    <row r="198" spans="9:11" x14ac:dyDescent="0.35">
      <c r="I198" s="150"/>
      <c r="J198" s="26"/>
      <c r="K198" s="26"/>
    </row>
    <row r="199" spans="9:11" x14ac:dyDescent="0.35">
      <c r="I199" s="150"/>
      <c r="J199" s="26"/>
      <c r="K199" s="26"/>
    </row>
    <row r="200" spans="9:11" x14ac:dyDescent="0.35">
      <c r="I200" s="150"/>
      <c r="J200" s="26"/>
      <c r="K200" s="26"/>
    </row>
    <row r="201" spans="9:11" x14ac:dyDescent="0.35">
      <c r="I201" s="150"/>
      <c r="J201" s="26"/>
      <c r="K201" s="26"/>
    </row>
  </sheetData>
  <autoFilter ref="A1:W201" xr:uid="{00000000-0009-0000-0000-000004000000}"/>
  <phoneticPr fontId="43" type="noConversion"/>
  <dataValidations count="2">
    <dataValidation type="list" allowBlank="1" showErrorMessage="1" sqref="C22:C39 C2:C19 C42:C54" xr:uid="{00000000-0002-0000-0400-000000000000}">
      <formula1>"Periodic,OnChange,OnRequest,OnChangeWithRepetition,IfActive"</formula1>
    </dataValidation>
    <dataValidation type="list" allowBlank="1" showInputMessage="1" showErrorMessage="1" sqref="P2:P56" xr:uid="{00000000-0002-0000-0400-000001000000}">
      <formula1>"Get,Set,/"</formula1>
    </dataValidation>
  </dataValidations>
  <pageMargins left="0.7" right="0.7" top="0.75" bottom="0.75" header="0.3" footer="0.3"/>
  <pageSetup paperSize="9"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605"/>
  <sheetViews>
    <sheetView showGridLines="0" zoomScale="80" zoomScaleNormal="80" workbookViewId="0">
      <pane ySplit="1" topLeftCell="A221" activePane="bottomLeft" state="frozen"/>
      <selection pane="bottomLeft" activeCell="B229" sqref="B229"/>
    </sheetView>
  </sheetViews>
  <sheetFormatPr defaultColWidth="14" defaultRowHeight="15.75" outlineLevelRow="1" x14ac:dyDescent="0.35"/>
  <cols>
    <col min="1" max="1" width="20" style="31" customWidth="1"/>
    <col min="2" max="2" width="33" style="31" customWidth="1"/>
    <col min="3" max="3" width="36" style="31" customWidth="1"/>
    <col min="4" max="4" width="52.28515625" style="82" customWidth="1"/>
    <col min="5" max="5" width="8.92578125" style="83" customWidth="1"/>
    <col min="6" max="6" width="9" style="83" customWidth="1"/>
    <col min="7" max="7" width="12" style="31" customWidth="1"/>
    <col min="8" max="8" width="11" style="31" customWidth="1"/>
    <col min="9" max="9" width="8" style="31" customWidth="1"/>
    <col min="10" max="10" width="13" style="31" customWidth="1"/>
    <col min="11" max="11" width="13.42578125" style="31" customWidth="1"/>
    <col min="12" max="12" width="15.78515625" style="31" customWidth="1"/>
    <col min="13" max="13" width="11" style="31" customWidth="1"/>
    <col min="14" max="14" width="11.78515625" style="31" customWidth="1"/>
    <col min="15" max="15" width="62.0703125" style="31" customWidth="1"/>
    <col min="16" max="16" width="27.0703125" style="83" customWidth="1"/>
    <col min="17" max="17" width="24.0703125" style="83" customWidth="1"/>
    <col min="18" max="18" width="43.78515625" style="31" customWidth="1"/>
    <col min="19" max="22" width="33.640625" style="84" customWidth="1"/>
    <col min="23" max="23" width="15.0703125" style="329" customWidth="1"/>
    <col min="24" max="24" width="10" style="31" customWidth="1"/>
    <col min="25" max="25" width="52.28515625" style="82" customWidth="1"/>
    <col min="26" max="27" width="10" style="31" customWidth="1"/>
    <col min="28" max="16384" width="14" style="31"/>
  </cols>
  <sheetData>
    <row r="1" spans="1:27" ht="24.75" x14ac:dyDescent="0.35">
      <c r="A1" s="27" t="s">
        <v>1121</v>
      </c>
      <c r="B1" s="27" t="s">
        <v>1114</v>
      </c>
      <c r="C1" s="27" t="s">
        <v>1115</v>
      </c>
      <c r="D1" s="27" t="s">
        <v>1116</v>
      </c>
      <c r="E1" s="27" t="s">
        <v>1180</v>
      </c>
      <c r="F1" s="28" t="s">
        <v>96</v>
      </c>
      <c r="G1" s="27" t="s">
        <v>97</v>
      </c>
      <c r="H1" s="27" t="s">
        <v>98</v>
      </c>
      <c r="I1" s="27" t="s">
        <v>99</v>
      </c>
      <c r="J1" s="27" t="s">
        <v>100</v>
      </c>
      <c r="K1" s="27" t="s">
        <v>101</v>
      </c>
      <c r="L1" s="27" t="s">
        <v>1117</v>
      </c>
      <c r="M1" s="27" t="s">
        <v>1118</v>
      </c>
      <c r="N1" s="186" t="s">
        <v>1167</v>
      </c>
      <c r="O1" s="27" t="s">
        <v>1119</v>
      </c>
      <c r="P1" s="341" t="s">
        <v>1915</v>
      </c>
      <c r="Q1" s="27" t="s">
        <v>1123</v>
      </c>
      <c r="R1" s="27" t="s">
        <v>1120</v>
      </c>
      <c r="S1" s="132" t="s">
        <v>1446</v>
      </c>
      <c r="T1" s="133" t="s">
        <v>1447</v>
      </c>
      <c r="U1" s="29" t="s">
        <v>1448</v>
      </c>
      <c r="V1" s="29" t="s">
        <v>1449</v>
      </c>
      <c r="W1" s="341" t="s">
        <v>2197</v>
      </c>
      <c r="X1" s="30"/>
      <c r="Y1" s="341" t="s">
        <v>2184</v>
      </c>
      <c r="Z1" s="30"/>
      <c r="AA1" s="30"/>
    </row>
    <row r="2" spans="1:27" ht="61.9" x14ac:dyDescent="0.35">
      <c r="A2" s="32" t="s">
        <v>486</v>
      </c>
      <c r="B2" s="156" t="str">
        <f>VLOOKUP(A2,'Message ID'!A:O,2,FALSE)</f>
        <v>Rack 概要数据(系统状态、高压状态、接插件温度、消防干接点、TMS、FCU、温湿度、水浸传感器；SOX、持续和瞬时功率、电压温度概要、故障和心跳信号；可充/放容量电量)</v>
      </c>
      <c r="C2" s="34"/>
      <c r="D2" s="34"/>
      <c r="E2" s="90">
        <v>310</v>
      </c>
      <c r="F2" s="35"/>
      <c r="G2" s="36"/>
      <c r="H2" s="36"/>
      <c r="I2" s="36"/>
      <c r="J2" s="36"/>
      <c r="K2" s="36"/>
      <c r="L2" s="36"/>
      <c r="M2" s="36"/>
      <c r="N2" s="33">
        <f>SUM(N3:N139)</f>
        <v>765</v>
      </c>
      <c r="O2" s="37"/>
      <c r="P2" s="36"/>
      <c r="Q2" s="36"/>
      <c r="R2" s="34"/>
      <c r="S2" s="34"/>
      <c r="T2" s="128"/>
      <c r="U2" s="38"/>
      <c r="V2" s="38"/>
      <c r="W2" s="39"/>
      <c r="X2" s="39"/>
      <c r="Y2" s="34"/>
      <c r="Z2" s="39"/>
      <c r="AA2" s="39"/>
    </row>
    <row r="3" spans="1:27" ht="358.9" outlineLevel="1" x14ac:dyDescent="0.35">
      <c r="A3" s="40"/>
      <c r="C3" s="40" t="s">
        <v>1547</v>
      </c>
      <c r="D3" s="270" t="s">
        <v>1264</v>
      </c>
      <c r="E3" s="42">
        <f t="shared" ref="E3:E18" si="0">IF(INT((F3 + G3-1) / 8) + 1 = INT(F3 / 8) + 1, INT(F3 / 8) + 1, INT(F3 / 8) + 1 &amp; "-" &amp; INT((F3 + G3 - 1) / 8) + 1)</f>
        <v>1</v>
      </c>
      <c r="F3" s="43">
        <v>0</v>
      </c>
      <c r="G3" s="44">
        <v>8</v>
      </c>
      <c r="H3" s="44">
        <v>1</v>
      </c>
      <c r="I3" s="44">
        <v>0</v>
      </c>
      <c r="J3" s="44">
        <v>0</v>
      </c>
      <c r="K3" s="44">
        <f t="shared" ref="K3:K17" si="1">(POWER(2,G3)-1)*H3+I3</f>
        <v>255</v>
      </c>
      <c r="L3" s="44">
        <v>0</v>
      </c>
      <c r="M3" s="41" t="s">
        <v>85</v>
      </c>
      <c r="N3" s="44">
        <f>LEN(K3)</f>
        <v>3</v>
      </c>
      <c r="O3" s="432" t="s">
        <v>2481</v>
      </c>
      <c r="P3" s="318" t="s">
        <v>1916</v>
      </c>
      <c r="Q3" s="162" t="s">
        <v>1098</v>
      </c>
      <c r="R3" s="40"/>
      <c r="S3" s="46" t="s">
        <v>487</v>
      </c>
      <c r="T3" s="47" t="s">
        <v>1674</v>
      </c>
      <c r="U3" s="47" t="s">
        <v>488</v>
      </c>
      <c r="V3" s="47" t="s">
        <v>352</v>
      </c>
      <c r="W3" s="48"/>
      <c r="X3" s="48"/>
      <c r="Y3" s="270" t="s">
        <v>2115</v>
      </c>
      <c r="Z3" s="48"/>
      <c r="AA3" s="48"/>
    </row>
    <row r="4" spans="1:27" ht="86.65" outlineLevel="1" x14ac:dyDescent="0.35">
      <c r="A4" s="40"/>
      <c r="B4" s="40"/>
      <c r="C4" s="40" t="s">
        <v>102</v>
      </c>
      <c r="D4" s="270" t="s">
        <v>1270</v>
      </c>
      <c r="E4" s="42">
        <f t="shared" si="0"/>
        <v>2</v>
      </c>
      <c r="F4" s="43">
        <f t="shared" ref="F4:F72" si="2">F3+G3</f>
        <v>8</v>
      </c>
      <c r="G4" s="44">
        <v>8</v>
      </c>
      <c r="H4" s="44">
        <v>1</v>
      </c>
      <c r="I4" s="44">
        <v>0</v>
      </c>
      <c r="J4" s="44">
        <v>0</v>
      </c>
      <c r="K4" s="44">
        <f t="shared" si="1"/>
        <v>255</v>
      </c>
      <c r="L4" s="44">
        <v>0</v>
      </c>
      <c r="M4" s="41" t="s">
        <v>85</v>
      </c>
      <c r="N4" s="44">
        <f t="shared" ref="N4:N72" si="3">LEN(K4)</f>
        <v>3</v>
      </c>
      <c r="O4" s="151" t="s">
        <v>1131</v>
      </c>
      <c r="P4" s="319" t="s">
        <v>1917</v>
      </c>
      <c r="Q4" s="162" t="s">
        <v>1098</v>
      </c>
      <c r="R4" s="120" t="s">
        <v>103</v>
      </c>
      <c r="S4" s="40" t="s">
        <v>934</v>
      </c>
      <c r="T4" s="47" t="s">
        <v>632</v>
      </c>
      <c r="U4" s="47" t="s">
        <v>489</v>
      </c>
      <c r="V4" s="47" t="s">
        <v>352</v>
      </c>
      <c r="W4" s="48"/>
      <c r="X4" s="48"/>
      <c r="Y4" s="270" t="s">
        <v>2116</v>
      </c>
      <c r="Z4" s="48"/>
      <c r="AA4" s="48"/>
    </row>
    <row r="5" spans="1:27" ht="86.65" outlineLevel="1" x14ac:dyDescent="0.35">
      <c r="A5" s="40"/>
      <c r="B5" s="40"/>
      <c r="C5" s="40" t="s">
        <v>2242</v>
      </c>
      <c r="D5" s="46" t="s">
        <v>104</v>
      </c>
      <c r="E5" s="42">
        <f t="shared" si="0"/>
        <v>3</v>
      </c>
      <c r="F5" s="43">
        <f t="shared" si="2"/>
        <v>16</v>
      </c>
      <c r="G5" s="44">
        <v>8</v>
      </c>
      <c r="H5" s="44">
        <v>1</v>
      </c>
      <c r="I5" s="44">
        <v>0</v>
      </c>
      <c r="J5" s="44">
        <v>0</v>
      </c>
      <c r="K5" s="44">
        <f t="shared" si="1"/>
        <v>255</v>
      </c>
      <c r="L5" s="44">
        <v>0</v>
      </c>
      <c r="M5" s="41" t="s">
        <v>85</v>
      </c>
      <c r="N5" s="44">
        <f t="shared" si="3"/>
        <v>3</v>
      </c>
      <c r="O5" s="343" t="s">
        <v>1128</v>
      </c>
      <c r="P5" s="320" t="s">
        <v>1918</v>
      </c>
      <c r="Q5" s="162" t="s">
        <v>1098</v>
      </c>
      <c r="R5" s="120" t="s">
        <v>1441</v>
      </c>
      <c r="S5" s="46" t="s">
        <v>490</v>
      </c>
      <c r="T5" s="47" t="s">
        <v>632</v>
      </c>
      <c r="U5" s="47" t="s">
        <v>491</v>
      </c>
      <c r="V5" s="47" t="s">
        <v>352</v>
      </c>
      <c r="W5" s="48"/>
      <c r="X5" s="48"/>
      <c r="Y5" s="46" t="s">
        <v>2117</v>
      </c>
      <c r="Z5" s="48"/>
      <c r="AA5" s="48"/>
    </row>
    <row r="6" spans="1:27" ht="409.5" outlineLevel="1" x14ac:dyDescent="0.35">
      <c r="A6" s="40"/>
      <c r="B6" s="40"/>
      <c r="C6" s="40" t="s">
        <v>967</v>
      </c>
      <c r="D6" s="40" t="s">
        <v>105</v>
      </c>
      <c r="E6" s="42" t="str">
        <f t="shared" si="0"/>
        <v>4-5</v>
      </c>
      <c r="F6" s="43">
        <f t="shared" si="2"/>
        <v>24</v>
      </c>
      <c r="G6" s="44">
        <v>16</v>
      </c>
      <c r="H6" s="44">
        <v>1</v>
      </c>
      <c r="I6" s="44">
        <v>0</v>
      </c>
      <c r="J6" s="44">
        <v>0</v>
      </c>
      <c r="K6" s="44">
        <f t="shared" si="1"/>
        <v>65535</v>
      </c>
      <c r="L6" s="44">
        <v>0</v>
      </c>
      <c r="M6" s="41" t="s">
        <v>85</v>
      </c>
      <c r="N6" s="44">
        <f t="shared" si="3"/>
        <v>5</v>
      </c>
      <c r="O6" s="280" t="s">
        <v>1583</v>
      </c>
      <c r="P6" s="320" t="s">
        <v>1919</v>
      </c>
      <c r="Q6" s="162" t="s">
        <v>1098</v>
      </c>
      <c r="R6" s="40"/>
      <c r="S6" s="40" t="s">
        <v>492</v>
      </c>
      <c r="T6" s="47" t="s">
        <v>632</v>
      </c>
      <c r="U6" s="47" t="s">
        <v>493</v>
      </c>
      <c r="V6" s="47" t="s">
        <v>352</v>
      </c>
      <c r="W6" s="48"/>
      <c r="X6" s="48"/>
      <c r="Y6" s="40" t="s">
        <v>2118</v>
      </c>
      <c r="Z6" s="48"/>
      <c r="AA6" s="48"/>
    </row>
    <row r="7" spans="1:27" ht="199.5" customHeight="1" outlineLevel="1" x14ac:dyDescent="0.35">
      <c r="A7" s="40"/>
      <c r="B7" s="40"/>
      <c r="C7" s="40" t="s">
        <v>334</v>
      </c>
      <c r="D7" s="40" t="s">
        <v>1549</v>
      </c>
      <c r="E7" s="42" t="str">
        <f t="shared" si="0"/>
        <v>6-7</v>
      </c>
      <c r="F7" s="43">
        <f t="shared" si="2"/>
        <v>40</v>
      </c>
      <c r="G7" s="44">
        <v>16</v>
      </c>
      <c r="H7" s="44">
        <v>1</v>
      </c>
      <c r="I7" s="44">
        <v>0</v>
      </c>
      <c r="J7" s="44">
        <v>0</v>
      </c>
      <c r="K7" s="44">
        <f t="shared" si="1"/>
        <v>65535</v>
      </c>
      <c r="L7" s="44">
        <v>0</v>
      </c>
      <c r="M7" s="41" t="s">
        <v>85</v>
      </c>
      <c r="N7" s="44">
        <f t="shared" si="3"/>
        <v>5</v>
      </c>
      <c r="O7" s="45" t="s">
        <v>2282</v>
      </c>
      <c r="P7" s="320" t="s">
        <v>1920</v>
      </c>
      <c r="Q7" s="162" t="s">
        <v>1098</v>
      </c>
      <c r="R7" s="40"/>
      <c r="S7" s="40" t="s">
        <v>1108</v>
      </c>
      <c r="T7" s="47" t="s">
        <v>632</v>
      </c>
      <c r="U7" s="47" t="s">
        <v>494</v>
      </c>
      <c r="V7" s="47" t="s">
        <v>352</v>
      </c>
      <c r="W7" s="48"/>
      <c r="X7" s="48"/>
      <c r="Y7" s="40" t="s">
        <v>1549</v>
      </c>
      <c r="Z7" s="48"/>
      <c r="AA7" s="48"/>
    </row>
    <row r="8" spans="1:27" ht="24.75" outlineLevel="1" x14ac:dyDescent="0.35">
      <c r="A8" s="40"/>
      <c r="B8" s="40"/>
      <c r="C8" s="40" t="s">
        <v>106</v>
      </c>
      <c r="D8" s="40" t="s">
        <v>1265</v>
      </c>
      <c r="E8" s="42" t="str">
        <f t="shared" si="0"/>
        <v>8-9</v>
      </c>
      <c r="F8" s="43">
        <f t="shared" si="2"/>
        <v>56</v>
      </c>
      <c r="G8" s="44">
        <v>16</v>
      </c>
      <c r="H8" s="44">
        <v>0.5</v>
      </c>
      <c r="I8" s="44">
        <v>0</v>
      </c>
      <c r="J8" s="44">
        <v>0</v>
      </c>
      <c r="K8" s="44">
        <f t="shared" si="1"/>
        <v>32767.5</v>
      </c>
      <c r="L8" s="44">
        <v>0</v>
      </c>
      <c r="M8" s="41" t="s">
        <v>107</v>
      </c>
      <c r="N8" s="44">
        <f t="shared" si="3"/>
        <v>7</v>
      </c>
      <c r="O8" s="49"/>
      <c r="P8" s="321" t="s">
        <v>1921</v>
      </c>
      <c r="Q8" s="162" t="s">
        <v>1098</v>
      </c>
      <c r="R8" s="40"/>
      <c r="S8" s="40" t="s">
        <v>495</v>
      </c>
      <c r="T8" s="47" t="s">
        <v>632</v>
      </c>
      <c r="U8" s="47" t="s">
        <v>496</v>
      </c>
      <c r="V8" s="47" t="s">
        <v>352</v>
      </c>
      <c r="W8" s="48"/>
      <c r="X8" s="48"/>
      <c r="Y8" s="40" t="s">
        <v>1265</v>
      </c>
      <c r="Z8" s="48"/>
      <c r="AA8" s="48"/>
    </row>
    <row r="9" spans="1:27" ht="24.75" outlineLevel="1" x14ac:dyDescent="0.35">
      <c r="A9" s="40"/>
      <c r="B9" s="40"/>
      <c r="C9" s="40" t="s">
        <v>108</v>
      </c>
      <c r="D9" s="40" t="s">
        <v>109</v>
      </c>
      <c r="E9" s="42" t="str">
        <f t="shared" si="0"/>
        <v>10-11</v>
      </c>
      <c r="F9" s="43">
        <f t="shared" si="2"/>
        <v>72</v>
      </c>
      <c r="G9" s="44">
        <v>16</v>
      </c>
      <c r="H9" s="44">
        <v>0.5</v>
      </c>
      <c r="I9" s="44">
        <v>0</v>
      </c>
      <c r="J9" s="44">
        <v>0</v>
      </c>
      <c r="K9" s="44">
        <f t="shared" si="1"/>
        <v>32767.5</v>
      </c>
      <c r="L9" s="44">
        <v>0</v>
      </c>
      <c r="M9" s="41" t="s">
        <v>107</v>
      </c>
      <c r="N9" s="44">
        <f t="shared" si="3"/>
        <v>7</v>
      </c>
      <c r="O9" s="49"/>
      <c r="P9" s="321" t="s">
        <v>1922</v>
      </c>
      <c r="Q9" s="162" t="s">
        <v>1098</v>
      </c>
      <c r="R9" s="40"/>
      <c r="S9" s="40" t="s">
        <v>497</v>
      </c>
      <c r="T9" s="47" t="s">
        <v>632</v>
      </c>
      <c r="U9" s="47" t="s">
        <v>498</v>
      </c>
      <c r="V9" s="47" t="s">
        <v>352</v>
      </c>
      <c r="W9" s="48"/>
      <c r="X9" s="48"/>
      <c r="Y9" s="40" t="s">
        <v>109</v>
      </c>
      <c r="Z9" s="48"/>
      <c r="AA9" s="48"/>
    </row>
    <row r="10" spans="1:27" ht="24.75" outlineLevel="1" x14ac:dyDescent="0.35">
      <c r="A10" s="40"/>
      <c r="B10" s="40"/>
      <c r="C10" s="40" t="s">
        <v>1651</v>
      </c>
      <c r="D10" s="40" t="s">
        <v>1650</v>
      </c>
      <c r="E10" s="42" t="str">
        <f t="shared" si="0"/>
        <v>12-15</v>
      </c>
      <c r="F10" s="43">
        <f t="shared" si="2"/>
        <v>88</v>
      </c>
      <c r="G10" s="152">
        <v>32</v>
      </c>
      <c r="H10" s="152">
        <v>1E-3</v>
      </c>
      <c r="I10" s="152">
        <v>-2000</v>
      </c>
      <c r="J10" s="152">
        <v>-2000</v>
      </c>
      <c r="K10" s="152">
        <f>(POWER(2,G10)-1)*H10+I10</f>
        <v>4292967.2949999999</v>
      </c>
      <c r="L10" s="44">
        <v>0</v>
      </c>
      <c r="M10" s="41" t="s">
        <v>110</v>
      </c>
      <c r="N10" s="44">
        <f t="shared" si="3"/>
        <v>11</v>
      </c>
      <c r="O10" s="49"/>
      <c r="P10" s="321" t="s">
        <v>1923</v>
      </c>
      <c r="Q10" s="41"/>
      <c r="R10" s="40" t="s">
        <v>821</v>
      </c>
      <c r="S10" s="40" t="s">
        <v>1251</v>
      </c>
      <c r="T10" s="47" t="s">
        <v>352</v>
      </c>
      <c r="U10" s="47" t="s">
        <v>352</v>
      </c>
      <c r="V10" s="47" t="s">
        <v>352</v>
      </c>
      <c r="W10" s="48"/>
      <c r="X10" s="48"/>
      <c r="Y10" s="40" t="s">
        <v>1650</v>
      </c>
      <c r="Z10" s="48"/>
      <c r="AA10" s="48"/>
    </row>
    <row r="11" spans="1:27" ht="24.75" outlineLevel="1" x14ac:dyDescent="0.35">
      <c r="A11" s="40"/>
      <c r="B11" s="40"/>
      <c r="C11" s="40" t="s">
        <v>111</v>
      </c>
      <c r="D11" s="40" t="s">
        <v>1266</v>
      </c>
      <c r="E11" s="42" t="str">
        <f t="shared" si="0"/>
        <v>16-17</v>
      </c>
      <c r="F11" s="43">
        <f t="shared" si="2"/>
        <v>120</v>
      </c>
      <c r="G11" s="44">
        <v>16</v>
      </c>
      <c r="H11" s="44">
        <v>1</v>
      </c>
      <c r="I11" s="44">
        <v>0</v>
      </c>
      <c r="J11" s="44">
        <v>0</v>
      </c>
      <c r="K11" s="44">
        <f t="shared" si="1"/>
        <v>65535</v>
      </c>
      <c r="L11" s="44">
        <v>0</v>
      </c>
      <c r="M11" s="41" t="s">
        <v>112</v>
      </c>
      <c r="N11" s="44">
        <f t="shared" si="3"/>
        <v>5</v>
      </c>
      <c r="O11" s="49"/>
      <c r="P11" s="321" t="s">
        <v>1924</v>
      </c>
      <c r="Q11" s="162" t="s">
        <v>1098</v>
      </c>
      <c r="R11" s="40"/>
      <c r="S11" s="40" t="s">
        <v>499</v>
      </c>
      <c r="T11" s="47" t="s">
        <v>632</v>
      </c>
      <c r="U11" s="47" t="s">
        <v>500</v>
      </c>
      <c r="V11" s="47" t="s">
        <v>352</v>
      </c>
      <c r="W11" s="48"/>
      <c r="X11" s="48"/>
      <c r="Y11" s="40" t="s">
        <v>1266</v>
      </c>
      <c r="Z11" s="48"/>
      <c r="AA11" s="48"/>
    </row>
    <row r="12" spans="1:27" ht="24.75" outlineLevel="1" x14ac:dyDescent="0.35">
      <c r="A12" s="40"/>
      <c r="B12" s="40"/>
      <c r="C12" s="40" t="s">
        <v>1573</v>
      </c>
      <c r="D12" s="40" t="s">
        <v>1811</v>
      </c>
      <c r="E12" s="42" t="str">
        <f t="shared" ref="E12:E14" si="4">IF(INT((F12 + G12-1) / 8) + 1 = INT(F12 / 8) + 1, INT(F12 / 8) + 1, INT(F12 / 8) + 1 &amp; "-" &amp; INT((F12 + G12 - 1) / 8) + 1)</f>
        <v>18-19</v>
      </c>
      <c r="F12" s="43">
        <f t="shared" ref="F12:F13" si="5">F11+G11</f>
        <v>136</v>
      </c>
      <c r="G12" s="44">
        <v>16</v>
      </c>
      <c r="H12" s="44">
        <v>0.1</v>
      </c>
      <c r="I12" s="44">
        <v>-40</v>
      </c>
      <c r="J12" s="44">
        <v>-40</v>
      </c>
      <c r="K12" s="44">
        <f t="shared" ref="K12" si="6">(POWER(2,G12)-1)*H12+I12</f>
        <v>6513.5</v>
      </c>
      <c r="L12" s="44">
        <v>0</v>
      </c>
      <c r="M12" s="41" t="s">
        <v>113</v>
      </c>
      <c r="N12" s="44">
        <f t="shared" ref="N12:N13" si="7">LEN(K12)</f>
        <v>6</v>
      </c>
      <c r="O12" s="49"/>
      <c r="P12" s="321" t="s">
        <v>1925</v>
      </c>
      <c r="Q12" s="162" t="s">
        <v>1098</v>
      </c>
      <c r="R12" s="40"/>
      <c r="S12" s="40" t="s">
        <v>1672</v>
      </c>
      <c r="T12" s="47" t="s">
        <v>632</v>
      </c>
      <c r="U12" s="47" t="s">
        <v>1567</v>
      </c>
      <c r="V12" s="47" t="s">
        <v>352</v>
      </c>
      <c r="W12" s="48"/>
      <c r="X12" s="48"/>
      <c r="Y12" s="40" t="s">
        <v>1811</v>
      </c>
      <c r="Z12" s="48"/>
      <c r="AA12" s="48"/>
    </row>
    <row r="13" spans="1:27" ht="24.75" outlineLevel="1" x14ac:dyDescent="0.35">
      <c r="A13" s="40"/>
      <c r="B13" s="40"/>
      <c r="C13" s="46" t="s">
        <v>1572</v>
      </c>
      <c r="D13" s="40" t="s">
        <v>1812</v>
      </c>
      <c r="E13" s="42" t="str">
        <f t="shared" si="4"/>
        <v>20-21</v>
      </c>
      <c r="F13" s="43">
        <f t="shared" si="5"/>
        <v>152</v>
      </c>
      <c r="G13" s="44">
        <v>16</v>
      </c>
      <c r="H13" s="44">
        <v>0.1</v>
      </c>
      <c r="I13" s="44">
        <v>-40</v>
      </c>
      <c r="J13" s="44">
        <v>-40</v>
      </c>
      <c r="K13" s="44">
        <f>(POWER(2,G13)-1)*H13+I13</f>
        <v>6513.5</v>
      </c>
      <c r="L13" s="41">
        <v>0</v>
      </c>
      <c r="M13" s="41" t="s">
        <v>742</v>
      </c>
      <c r="N13" s="44">
        <f t="shared" si="7"/>
        <v>6</v>
      </c>
      <c r="O13" s="40"/>
      <c r="P13" s="321" t="s">
        <v>1926</v>
      </c>
      <c r="Q13" s="162" t="s">
        <v>1098</v>
      </c>
      <c r="R13" s="40"/>
      <c r="S13" s="40" t="s">
        <v>1673</v>
      </c>
      <c r="T13" s="47" t="s">
        <v>632</v>
      </c>
      <c r="U13" s="47" t="s">
        <v>1574</v>
      </c>
      <c r="V13" s="47" t="s">
        <v>352</v>
      </c>
      <c r="W13" s="48"/>
      <c r="X13" s="48"/>
      <c r="Y13" s="40" t="s">
        <v>1812</v>
      </c>
      <c r="Z13" s="48"/>
      <c r="AA13" s="48"/>
    </row>
    <row r="14" spans="1:27" s="231" customFormat="1" ht="26" customHeight="1" outlineLevel="1" x14ac:dyDescent="0.35">
      <c r="A14" s="228"/>
      <c r="B14" s="228"/>
      <c r="C14" s="228" t="s">
        <v>1640</v>
      </c>
      <c r="D14" s="230" t="s">
        <v>1641</v>
      </c>
      <c r="E14" s="212">
        <f t="shared" si="4"/>
        <v>22</v>
      </c>
      <c r="F14" s="227">
        <f>F13+G13</f>
        <v>168</v>
      </c>
      <c r="G14" s="213">
        <v>8</v>
      </c>
      <c r="H14" s="213">
        <v>1</v>
      </c>
      <c r="I14" s="213">
        <v>0</v>
      </c>
      <c r="J14" s="213">
        <v>0</v>
      </c>
      <c r="K14" s="213">
        <f t="shared" ref="K14" si="8">(POWER(2,G14)-1)*H14+I14</f>
        <v>255</v>
      </c>
      <c r="L14" s="213">
        <v>0</v>
      </c>
      <c r="M14" s="229" t="s">
        <v>85</v>
      </c>
      <c r="N14" s="213">
        <v>0</v>
      </c>
      <c r="P14" s="229"/>
      <c r="Q14" s="229"/>
      <c r="R14" s="228"/>
      <c r="S14" s="230" t="s">
        <v>352</v>
      </c>
      <c r="T14" s="232" t="s">
        <v>632</v>
      </c>
      <c r="U14" s="232" t="s">
        <v>352</v>
      </c>
      <c r="V14" s="232" t="s">
        <v>352</v>
      </c>
      <c r="W14" s="233"/>
      <c r="X14" s="233"/>
      <c r="Y14" s="230" t="s">
        <v>1641</v>
      </c>
      <c r="Z14" s="233"/>
      <c r="AA14" s="233"/>
    </row>
    <row r="15" spans="1:27" ht="24.75" outlineLevel="1" x14ac:dyDescent="0.35">
      <c r="A15" s="40"/>
      <c r="B15" s="40"/>
      <c r="C15" s="40" t="s">
        <v>114</v>
      </c>
      <c r="D15" s="40" t="s">
        <v>1271</v>
      </c>
      <c r="E15" s="42" t="str">
        <f t="shared" ref="E15" si="9">IF(INT((F15 + G15-1) / 8) + 1 = INT(F15 / 8) + 1, INT(F15 / 8) + 1, INT(F15 / 8) + 1 &amp; "-" &amp; INT((F15 + G15 - 1) / 8) + 1)</f>
        <v>23-24</v>
      </c>
      <c r="F15" s="43">
        <f>F14+G14</f>
        <v>176</v>
      </c>
      <c r="G15" s="44">
        <v>16</v>
      </c>
      <c r="H15" s="44">
        <v>1</v>
      </c>
      <c r="I15" s="44">
        <v>0</v>
      </c>
      <c r="J15" s="44">
        <v>0</v>
      </c>
      <c r="K15" s="44">
        <f t="shared" si="1"/>
        <v>65535</v>
      </c>
      <c r="L15" s="44">
        <v>0</v>
      </c>
      <c r="M15" s="41" t="s">
        <v>115</v>
      </c>
      <c r="N15" s="44">
        <f t="shared" si="3"/>
        <v>5</v>
      </c>
      <c r="O15" s="49"/>
      <c r="P15" s="321" t="s">
        <v>1927</v>
      </c>
      <c r="Q15" s="162" t="s">
        <v>1098</v>
      </c>
      <c r="R15" s="40"/>
      <c r="S15" s="40" t="s">
        <v>501</v>
      </c>
      <c r="T15" s="47" t="s">
        <v>632</v>
      </c>
      <c r="U15" s="47" t="s">
        <v>502</v>
      </c>
      <c r="V15" s="47" t="s">
        <v>352</v>
      </c>
      <c r="W15" s="48"/>
      <c r="X15" s="48"/>
      <c r="Y15" s="40" t="s">
        <v>1271</v>
      </c>
      <c r="Z15" s="48"/>
      <c r="AA15" s="48"/>
    </row>
    <row r="16" spans="1:27" ht="173.25" outlineLevel="1" x14ac:dyDescent="0.35">
      <c r="A16" s="40"/>
      <c r="B16" s="40"/>
      <c r="C16" s="40" t="s">
        <v>116</v>
      </c>
      <c r="D16" s="46" t="s">
        <v>1272</v>
      </c>
      <c r="E16" s="42">
        <f t="shared" si="0"/>
        <v>25</v>
      </c>
      <c r="F16" s="43">
        <f t="shared" si="2"/>
        <v>192</v>
      </c>
      <c r="G16" s="44">
        <v>4</v>
      </c>
      <c r="H16" s="44">
        <v>1</v>
      </c>
      <c r="I16" s="44">
        <v>0</v>
      </c>
      <c r="J16" s="44">
        <v>0</v>
      </c>
      <c r="K16" s="44">
        <f t="shared" si="1"/>
        <v>15</v>
      </c>
      <c r="L16" s="44">
        <v>0</v>
      </c>
      <c r="M16" s="41" t="s">
        <v>85</v>
      </c>
      <c r="N16" s="44">
        <f t="shared" si="3"/>
        <v>2</v>
      </c>
      <c r="O16" s="49" t="s">
        <v>1099</v>
      </c>
      <c r="P16" s="321" t="s">
        <v>2213</v>
      </c>
      <c r="Q16" s="162" t="s">
        <v>1098</v>
      </c>
      <c r="R16" s="40"/>
      <c r="S16" s="46" t="s">
        <v>117</v>
      </c>
      <c r="T16" s="47" t="s">
        <v>632</v>
      </c>
      <c r="U16" s="47" t="s">
        <v>1877</v>
      </c>
      <c r="V16" s="47" t="s">
        <v>352</v>
      </c>
      <c r="W16" s="48"/>
      <c r="X16" s="48"/>
      <c r="Y16" s="46" t="s">
        <v>1272</v>
      </c>
      <c r="Z16" s="48"/>
      <c r="AA16" s="48"/>
    </row>
    <row r="17" spans="1:27" ht="44" customHeight="1" outlineLevel="1" x14ac:dyDescent="0.35">
      <c r="A17" s="71"/>
      <c r="B17" s="71"/>
      <c r="C17" s="71" t="s">
        <v>2308</v>
      </c>
      <c r="D17" s="80" t="s">
        <v>2307</v>
      </c>
      <c r="E17" s="66">
        <f t="shared" si="0"/>
        <v>25</v>
      </c>
      <c r="F17" s="70">
        <f t="shared" si="2"/>
        <v>196</v>
      </c>
      <c r="G17" s="68">
        <v>1</v>
      </c>
      <c r="H17" s="68">
        <v>1</v>
      </c>
      <c r="I17" s="68">
        <v>0</v>
      </c>
      <c r="J17" s="68">
        <v>0</v>
      </c>
      <c r="K17" s="68">
        <f t="shared" si="1"/>
        <v>1</v>
      </c>
      <c r="L17" s="68">
        <v>1</v>
      </c>
      <c r="M17" s="69" t="s">
        <v>1094</v>
      </c>
      <c r="N17" s="68">
        <f>LEN(K17)</f>
        <v>1</v>
      </c>
      <c r="O17" s="72" t="s">
        <v>2306</v>
      </c>
      <c r="P17" s="69" t="s">
        <v>2309</v>
      </c>
      <c r="Q17" s="71"/>
      <c r="S17" s="80" t="s">
        <v>2304</v>
      </c>
      <c r="T17" s="67" t="s">
        <v>632</v>
      </c>
      <c r="U17" s="67" t="s">
        <v>2305</v>
      </c>
      <c r="V17" s="67" t="s">
        <v>632</v>
      </c>
      <c r="W17" s="48"/>
      <c r="X17" s="80"/>
      <c r="Y17" s="80" t="s">
        <v>2307</v>
      </c>
      <c r="Z17" s="48"/>
      <c r="AA17" s="48"/>
    </row>
    <row r="18" spans="1:27" s="207" customFormat="1" ht="24.75" outlineLevel="1" x14ac:dyDescent="0.35">
      <c r="A18" s="199"/>
      <c r="B18" s="199"/>
      <c r="C18" s="200" t="s">
        <v>948</v>
      </c>
      <c r="D18" s="248" t="s">
        <v>1267</v>
      </c>
      <c r="E18" s="212">
        <f t="shared" si="0"/>
        <v>25</v>
      </c>
      <c r="F18" s="223">
        <f t="shared" si="2"/>
        <v>197</v>
      </c>
      <c r="G18" s="212">
        <v>3</v>
      </c>
      <c r="H18" s="201">
        <v>1</v>
      </c>
      <c r="I18" s="201">
        <v>0</v>
      </c>
      <c r="J18" s="201">
        <v>0</v>
      </c>
      <c r="K18" s="212">
        <f>(POWER(2,G18)-1)*H18+I18</f>
        <v>7</v>
      </c>
      <c r="L18" s="201">
        <v>0</v>
      </c>
      <c r="M18" s="202" t="s">
        <v>352</v>
      </c>
      <c r="N18" s="196">
        <v>0</v>
      </c>
      <c r="O18" s="203"/>
      <c r="P18" s="204"/>
      <c r="Q18" s="204"/>
      <c r="R18" s="205"/>
      <c r="S18" s="206" t="s">
        <v>352</v>
      </c>
      <c r="T18" s="206" t="s">
        <v>352</v>
      </c>
      <c r="U18" s="206" t="s">
        <v>352</v>
      </c>
      <c r="V18" s="198" t="s">
        <v>352</v>
      </c>
      <c r="W18" s="199"/>
      <c r="X18" s="199"/>
      <c r="Y18" s="248" t="s">
        <v>1267</v>
      </c>
      <c r="Z18" s="199"/>
      <c r="AA18" s="199"/>
    </row>
    <row r="19" spans="1:27" ht="55.5" customHeight="1" outlineLevel="1" x14ac:dyDescent="0.35">
      <c r="A19" s="40"/>
      <c r="B19" s="40"/>
      <c r="C19" s="40" t="s">
        <v>2284</v>
      </c>
      <c r="D19" s="46" t="s">
        <v>2283</v>
      </c>
      <c r="E19" s="42">
        <f t="shared" ref="E19:E55" si="10">IF(INT((F19 + G19-1) / 8) + 1 = INT(F19 / 8) + 1, INT(F19 / 8) + 1, INT(F19 / 8) + 1 &amp; "-" &amp; INT((F19 + G19 - 1) / 8) + 1)</f>
        <v>26</v>
      </c>
      <c r="F19" s="43">
        <f>F18+G18</f>
        <v>200</v>
      </c>
      <c r="G19" s="44">
        <v>8</v>
      </c>
      <c r="H19" s="44">
        <v>1</v>
      </c>
      <c r="I19" s="44">
        <v>0</v>
      </c>
      <c r="J19" s="44">
        <v>0</v>
      </c>
      <c r="K19" s="44">
        <f t="shared" ref="K19:K47" si="11">(POWER(2,G19)-1)*H19+I19</f>
        <v>255</v>
      </c>
      <c r="L19" s="44">
        <v>0</v>
      </c>
      <c r="M19" s="41" t="s">
        <v>932</v>
      </c>
      <c r="N19" s="44">
        <f>LEN(K19)</f>
        <v>3</v>
      </c>
      <c r="O19" s="49" t="s">
        <v>2292</v>
      </c>
      <c r="P19" s="41" t="s">
        <v>2288</v>
      </c>
      <c r="Q19" s="41" t="s">
        <v>1098</v>
      </c>
      <c r="R19" s="40"/>
      <c r="S19" s="46" t="s">
        <v>2285</v>
      </c>
      <c r="T19" s="47" t="s">
        <v>632</v>
      </c>
      <c r="U19" s="47" t="s">
        <v>352</v>
      </c>
      <c r="V19" s="47" t="s">
        <v>352</v>
      </c>
      <c r="W19" s="48"/>
      <c r="X19" s="48"/>
      <c r="Y19" s="46" t="s">
        <v>2283</v>
      </c>
      <c r="Z19" s="48"/>
      <c r="AA19" s="48"/>
    </row>
    <row r="20" spans="1:27" ht="24.75" outlineLevel="1" x14ac:dyDescent="0.35">
      <c r="A20" s="40"/>
      <c r="B20" s="40"/>
      <c r="C20" s="40" t="s">
        <v>120</v>
      </c>
      <c r="D20" s="46" t="s">
        <v>1419</v>
      </c>
      <c r="E20" s="42" t="str">
        <f t="shared" si="10"/>
        <v>27-30</v>
      </c>
      <c r="F20" s="43">
        <f t="shared" si="2"/>
        <v>208</v>
      </c>
      <c r="G20" s="44">
        <v>32</v>
      </c>
      <c r="H20" s="44">
        <v>1</v>
      </c>
      <c r="I20" s="44">
        <v>0</v>
      </c>
      <c r="J20" s="44">
        <v>0</v>
      </c>
      <c r="K20" s="44">
        <f t="shared" si="11"/>
        <v>4294967295</v>
      </c>
      <c r="L20" s="44">
        <v>0</v>
      </c>
      <c r="M20" s="41" t="s">
        <v>121</v>
      </c>
      <c r="N20" s="44">
        <f t="shared" si="3"/>
        <v>10</v>
      </c>
      <c r="O20" s="49"/>
      <c r="P20" s="321" t="s">
        <v>1928</v>
      </c>
      <c r="Q20" s="162" t="s">
        <v>1098</v>
      </c>
      <c r="R20" s="40"/>
      <c r="S20" s="46" t="s">
        <v>503</v>
      </c>
      <c r="T20" s="47" t="s">
        <v>632</v>
      </c>
      <c r="U20" s="47" t="s">
        <v>504</v>
      </c>
      <c r="V20" s="47" t="s">
        <v>352</v>
      </c>
      <c r="W20" s="48"/>
      <c r="X20" s="48"/>
      <c r="Y20" s="46" t="s">
        <v>2119</v>
      </c>
      <c r="Z20" s="48"/>
      <c r="AA20" s="48"/>
    </row>
    <row r="21" spans="1:27" ht="24.75" outlineLevel="1" x14ac:dyDescent="0.35">
      <c r="A21" s="40"/>
      <c r="B21" s="40"/>
      <c r="C21" s="40" t="s">
        <v>122</v>
      </c>
      <c r="D21" s="46" t="s">
        <v>123</v>
      </c>
      <c r="E21" s="42" t="str">
        <f t="shared" si="10"/>
        <v>31-34</v>
      </c>
      <c r="F21" s="43">
        <f t="shared" si="2"/>
        <v>240</v>
      </c>
      <c r="G21" s="44">
        <v>32</v>
      </c>
      <c r="H21" s="44">
        <v>1</v>
      </c>
      <c r="I21" s="44">
        <v>0</v>
      </c>
      <c r="J21" s="44">
        <v>0</v>
      </c>
      <c r="K21" s="44">
        <f t="shared" si="11"/>
        <v>4294967295</v>
      </c>
      <c r="L21" s="44">
        <v>0</v>
      </c>
      <c r="M21" s="41" t="s">
        <v>121</v>
      </c>
      <c r="N21" s="44">
        <f t="shared" si="3"/>
        <v>10</v>
      </c>
      <c r="O21" s="49"/>
      <c r="P21" s="321" t="s">
        <v>1929</v>
      </c>
      <c r="Q21" s="162" t="s">
        <v>1098</v>
      </c>
      <c r="R21" s="40"/>
      <c r="S21" s="46" t="s">
        <v>505</v>
      </c>
      <c r="T21" s="47" t="s">
        <v>632</v>
      </c>
      <c r="U21" s="47" t="s">
        <v>506</v>
      </c>
      <c r="V21" s="47" t="s">
        <v>352</v>
      </c>
      <c r="W21" s="48"/>
      <c r="X21" s="48"/>
      <c r="Y21" s="46" t="s">
        <v>2120</v>
      </c>
      <c r="Z21" s="48"/>
      <c r="AA21" s="48"/>
    </row>
    <row r="22" spans="1:27" ht="24.75" outlineLevel="1" x14ac:dyDescent="0.35">
      <c r="A22" s="48"/>
      <c r="B22" s="48"/>
      <c r="C22" s="124" t="s">
        <v>124</v>
      </c>
      <c r="D22" s="269" t="s">
        <v>1468</v>
      </c>
      <c r="E22" s="42" t="str">
        <f t="shared" si="10"/>
        <v>35-38</v>
      </c>
      <c r="F22" s="43">
        <f t="shared" si="2"/>
        <v>272</v>
      </c>
      <c r="G22" s="125">
        <v>32</v>
      </c>
      <c r="H22" s="125">
        <v>1</v>
      </c>
      <c r="I22" s="125">
        <v>0</v>
      </c>
      <c r="J22" s="125">
        <v>0</v>
      </c>
      <c r="K22" s="125">
        <f t="shared" si="11"/>
        <v>4294967295</v>
      </c>
      <c r="L22" s="125">
        <v>0</v>
      </c>
      <c r="M22" s="41" t="s">
        <v>121</v>
      </c>
      <c r="N22" s="44">
        <f t="shared" si="3"/>
        <v>10</v>
      </c>
      <c r="O22" s="124"/>
      <c r="P22" s="321" t="s">
        <v>1930</v>
      </c>
      <c r="Q22" s="125"/>
      <c r="R22" s="122"/>
      <c r="S22" s="46" t="s">
        <v>507</v>
      </c>
      <c r="T22" s="47" t="s">
        <v>632</v>
      </c>
      <c r="U22" s="47"/>
      <c r="V22" s="47" t="s">
        <v>352</v>
      </c>
      <c r="W22" s="48"/>
      <c r="X22" s="48"/>
      <c r="Y22" s="269" t="s">
        <v>1468</v>
      </c>
      <c r="Z22" s="48"/>
      <c r="AA22" s="48"/>
    </row>
    <row r="23" spans="1:27" ht="74.25" outlineLevel="1" x14ac:dyDescent="0.35">
      <c r="A23" s="40"/>
      <c r="B23" s="40"/>
      <c r="C23" s="46" t="s">
        <v>125</v>
      </c>
      <c r="D23" s="46" t="s">
        <v>1554</v>
      </c>
      <c r="E23" s="42">
        <f t="shared" si="10"/>
        <v>39</v>
      </c>
      <c r="F23" s="43">
        <f t="shared" si="2"/>
        <v>304</v>
      </c>
      <c r="G23" s="44">
        <v>8</v>
      </c>
      <c r="H23" s="44">
        <v>1</v>
      </c>
      <c r="I23" s="44">
        <v>0</v>
      </c>
      <c r="J23" s="44">
        <v>0</v>
      </c>
      <c r="K23" s="44">
        <f t="shared" si="11"/>
        <v>255</v>
      </c>
      <c r="L23" s="44">
        <v>0</v>
      </c>
      <c r="M23" s="41" t="s">
        <v>85</v>
      </c>
      <c r="N23" s="44">
        <f t="shared" si="3"/>
        <v>3</v>
      </c>
      <c r="O23" s="50" t="s">
        <v>1100</v>
      </c>
      <c r="P23" s="321" t="s">
        <v>1931</v>
      </c>
      <c r="Q23" s="162" t="s">
        <v>1098</v>
      </c>
      <c r="R23" s="40"/>
      <c r="S23" s="46" t="s">
        <v>508</v>
      </c>
      <c r="T23" s="47" t="s">
        <v>632</v>
      </c>
      <c r="U23" s="47"/>
      <c r="V23" s="47" t="s">
        <v>352</v>
      </c>
      <c r="W23" s="48"/>
      <c r="X23" s="48"/>
      <c r="Y23" s="46" t="s">
        <v>2121</v>
      </c>
      <c r="Z23" s="48"/>
      <c r="AA23" s="48"/>
    </row>
    <row r="24" spans="1:27" ht="24.75" outlineLevel="1" x14ac:dyDescent="0.35">
      <c r="A24" s="40"/>
      <c r="B24" s="40"/>
      <c r="C24" s="40" t="s">
        <v>126</v>
      </c>
      <c r="D24" s="40" t="s">
        <v>1305</v>
      </c>
      <c r="E24" s="42" t="str">
        <f t="shared" si="10"/>
        <v>40-41</v>
      </c>
      <c r="F24" s="43">
        <f t="shared" si="2"/>
        <v>312</v>
      </c>
      <c r="G24" s="44">
        <v>16</v>
      </c>
      <c r="H24" s="44">
        <v>1</v>
      </c>
      <c r="I24" s="44">
        <v>0</v>
      </c>
      <c r="J24" s="44">
        <v>0</v>
      </c>
      <c r="K24" s="44">
        <f t="shared" si="11"/>
        <v>65535</v>
      </c>
      <c r="L24" s="44">
        <v>0</v>
      </c>
      <c r="M24" s="41" t="s">
        <v>112</v>
      </c>
      <c r="N24" s="44">
        <f t="shared" si="3"/>
        <v>5</v>
      </c>
      <c r="O24" s="50"/>
      <c r="P24" s="322" t="s">
        <v>1932</v>
      </c>
      <c r="Q24" s="44"/>
      <c r="R24" s="40"/>
      <c r="S24" s="40" t="s">
        <v>509</v>
      </c>
      <c r="T24" s="47" t="s">
        <v>632</v>
      </c>
      <c r="U24" s="47" t="s">
        <v>510</v>
      </c>
      <c r="V24" s="47" t="s">
        <v>352</v>
      </c>
      <c r="W24" s="48"/>
      <c r="X24" s="48"/>
      <c r="Y24" s="40" t="s">
        <v>2122</v>
      </c>
      <c r="Z24" s="48"/>
      <c r="AA24" s="48"/>
    </row>
    <row r="25" spans="1:27" ht="24.75" outlineLevel="1" x14ac:dyDescent="0.35">
      <c r="A25" s="40"/>
      <c r="B25" s="40"/>
      <c r="C25" s="40" t="s">
        <v>127</v>
      </c>
      <c r="D25" s="40" t="s">
        <v>1306</v>
      </c>
      <c r="E25" s="42" t="str">
        <f t="shared" si="10"/>
        <v>42-43</v>
      </c>
      <c r="F25" s="43">
        <f t="shared" si="2"/>
        <v>328</v>
      </c>
      <c r="G25" s="44">
        <v>16</v>
      </c>
      <c r="H25" s="44">
        <v>1</v>
      </c>
      <c r="I25" s="44">
        <v>0</v>
      </c>
      <c r="J25" s="44">
        <v>0</v>
      </c>
      <c r="K25" s="44">
        <f t="shared" si="11"/>
        <v>65535</v>
      </c>
      <c r="L25" s="44">
        <v>0</v>
      </c>
      <c r="M25" s="41" t="s">
        <v>112</v>
      </c>
      <c r="N25" s="44">
        <f t="shared" si="3"/>
        <v>5</v>
      </c>
      <c r="O25" s="50"/>
      <c r="P25" s="322" t="s">
        <v>1933</v>
      </c>
      <c r="Q25" s="44"/>
      <c r="R25" s="40"/>
      <c r="S25" s="40" t="s">
        <v>511</v>
      </c>
      <c r="T25" s="47" t="s">
        <v>632</v>
      </c>
      <c r="U25" s="47" t="s">
        <v>512</v>
      </c>
      <c r="V25" s="47" t="s">
        <v>352</v>
      </c>
      <c r="W25" s="48"/>
      <c r="X25" s="48"/>
      <c r="Y25" s="40" t="s">
        <v>2123</v>
      </c>
      <c r="Z25" s="48"/>
      <c r="AA25" s="48"/>
    </row>
    <row r="26" spans="1:27" ht="37.15" outlineLevel="1" x14ac:dyDescent="0.35">
      <c r="A26" s="40"/>
      <c r="B26" s="40"/>
      <c r="C26" s="40" t="s">
        <v>128</v>
      </c>
      <c r="D26" s="46" t="s">
        <v>1104</v>
      </c>
      <c r="E26" s="42">
        <f t="shared" si="10"/>
        <v>44</v>
      </c>
      <c r="F26" s="43">
        <f t="shared" si="2"/>
        <v>344</v>
      </c>
      <c r="G26" s="44">
        <v>8</v>
      </c>
      <c r="H26" s="44">
        <v>1</v>
      </c>
      <c r="I26" s="44">
        <v>0</v>
      </c>
      <c r="J26" s="44">
        <v>0</v>
      </c>
      <c r="K26" s="213">
        <v>1</v>
      </c>
      <c r="L26" s="44">
        <v>0</v>
      </c>
      <c r="M26" s="41" t="s">
        <v>938</v>
      </c>
      <c r="N26" s="44">
        <f t="shared" si="3"/>
        <v>1</v>
      </c>
      <c r="O26" s="50" t="s">
        <v>1132</v>
      </c>
      <c r="P26" s="322" t="s">
        <v>1934</v>
      </c>
      <c r="Q26" s="44"/>
      <c r="R26" s="40"/>
      <c r="S26" s="46" t="s">
        <v>513</v>
      </c>
      <c r="T26" s="47" t="s">
        <v>632</v>
      </c>
      <c r="U26" s="47" t="s">
        <v>514</v>
      </c>
      <c r="V26" s="47" t="s">
        <v>352</v>
      </c>
      <c r="W26" s="48"/>
      <c r="X26" s="48"/>
      <c r="Y26" s="46" t="s">
        <v>2124</v>
      </c>
      <c r="Z26" s="48"/>
      <c r="AA26" s="48"/>
    </row>
    <row r="27" spans="1:27" ht="148.5" outlineLevel="1" x14ac:dyDescent="0.35">
      <c r="A27" s="40"/>
      <c r="B27" s="40"/>
      <c r="C27" s="40" t="s">
        <v>129</v>
      </c>
      <c r="D27" s="46" t="s">
        <v>1124</v>
      </c>
      <c r="E27" s="42">
        <f t="shared" si="10"/>
        <v>45</v>
      </c>
      <c r="F27" s="43">
        <f t="shared" si="2"/>
        <v>352</v>
      </c>
      <c r="G27" s="44">
        <v>8</v>
      </c>
      <c r="H27" s="44">
        <v>1</v>
      </c>
      <c r="I27" s="44">
        <v>0</v>
      </c>
      <c r="J27" s="44">
        <v>0</v>
      </c>
      <c r="K27" s="44">
        <f t="shared" si="11"/>
        <v>255</v>
      </c>
      <c r="L27" s="44">
        <v>0</v>
      </c>
      <c r="M27" s="41" t="s">
        <v>85</v>
      </c>
      <c r="N27" s="44">
        <f t="shared" si="3"/>
        <v>3</v>
      </c>
      <c r="O27" s="50" t="s">
        <v>1126</v>
      </c>
      <c r="P27" s="322" t="s">
        <v>1935</v>
      </c>
      <c r="Q27" s="59"/>
      <c r="R27" s="40" t="s">
        <v>130</v>
      </c>
      <c r="S27" s="46" t="s">
        <v>515</v>
      </c>
      <c r="T27" s="47" t="s">
        <v>632</v>
      </c>
      <c r="U27" s="47" t="s">
        <v>516</v>
      </c>
      <c r="V27" s="47" t="s">
        <v>352</v>
      </c>
      <c r="W27" s="48"/>
      <c r="X27" s="48"/>
      <c r="Y27" s="46" t="s">
        <v>2125</v>
      </c>
      <c r="Z27" s="48"/>
      <c r="AA27" s="48"/>
    </row>
    <row r="28" spans="1:27" ht="74.25" outlineLevel="1" x14ac:dyDescent="0.35">
      <c r="A28" s="40"/>
      <c r="B28" s="40"/>
      <c r="C28" s="40" t="s">
        <v>925</v>
      </c>
      <c r="D28" s="46" t="s">
        <v>1269</v>
      </c>
      <c r="E28" s="42">
        <f t="shared" si="10"/>
        <v>46</v>
      </c>
      <c r="F28" s="43">
        <f t="shared" si="2"/>
        <v>360</v>
      </c>
      <c r="G28" s="44">
        <v>8</v>
      </c>
      <c r="H28" s="44">
        <v>1</v>
      </c>
      <c r="I28" s="44">
        <v>0</v>
      </c>
      <c r="J28" s="44">
        <v>0</v>
      </c>
      <c r="K28" s="44">
        <f t="shared" si="11"/>
        <v>255</v>
      </c>
      <c r="L28" s="44">
        <v>0</v>
      </c>
      <c r="M28" s="41" t="s">
        <v>85</v>
      </c>
      <c r="N28" s="44">
        <f t="shared" si="3"/>
        <v>3</v>
      </c>
      <c r="O28" s="346" t="s">
        <v>1618</v>
      </c>
      <c r="P28" s="321" t="s">
        <v>1936</v>
      </c>
      <c r="Q28" s="69" t="s">
        <v>1098</v>
      </c>
      <c r="R28" s="345"/>
      <c r="S28" s="46" t="s">
        <v>517</v>
      </c>
      <c r="T28" s="47" t="s">
        <v>632</v>
      </c>
      <c r="U28" s="47" t="s">
        <v>518</v>
      </c>
      <c r="V28" s="47" t="s">
        <v>352</v>
      </c>
      <c r="W28" s="48"/>
      <c r="X28" s="48"/>
      <c r="Y28" s="46" t="s">
        <v>2126</v>
      </c>
      <c r="Z28" s="48"/>
      <c r="AA28" s="48"/>
    </row>
    <row r="29" spans="1:27" ht="24.75" outlineLevel="1" x14ac:dyDescent="0.35">
      <c r="A29" s="55"/>
      <c r="B29" s="55"/>
      <c r="C29" s="55" t="s">
        <v>2276</v>
      </c>
      <c r="D29" s="347" t="s">
        <v>1563</v>
      </c>
      <c r="E29" s="295" t="str">
        <f>IF(INT((F29 + G29-1) / 8) + 1 = INT(F29 / 8) + 1, INT(F29 / 8) + 1, INT(F29 / 8) + 1 &amp; "-" &amp; INT((F29 + G29 - 1) / 8) + 1)</f>
        <v>47-54</v>
      </c>
      <c r="F29" s="296">
        <f t="shared" si="2"/>
        <v>368</v>
      </c>
      <c r="G29" s="59">
        <v>64</v>
      </c>
      <c r="H29" s="59">
        <v>1</v>
      </c>
      <c r="I29" s="59">
        <v>0</v>
      </c>
      <c r="J29" s="59">
        <v>0</v>
      </c>
      <c r="K29" s="59">
        <f t="shared" si="11"/>
        <v>1.8446744073709552E+19</v>
      </c>
      <c r="L29" s="59">
        <v>0</v>
      </c>
      <c r="M29" s="57" t="s">
        <v>85</v>
      </c>
      <c r="N29" s="59">
        <f t="shared" si="3"/>
        <v>20</v>
      </c>
      <c r="P29" s="348" t="s">
        <v>2359</v>
      </c>
      <c r="Q29" s="170" t="s">
        <v>1098</v>
      </c>
      <c r="R29" s="387" t="s">
        <v>2277</v>
      </c>
      <c r="S29" s="347" t="s">
        <v>2278</v>
      </c>
      <c r="T29" s="58" t="s">
        <v>632</v>
      </c>
      <c r="U29" s="58" t="s">
        <v>352</v>
      </c>
      <c r="V29" s="58" t="s">
        <v>352</v>
      </c>
      <c r="W29" s="349"/>
      <c r="X29" s="60"/>
      <c r="Y29" s="347" t="s">
        <v>1563</v>
      </c>
      <c r="Z29" s="60"/>
      <c r="AA29" s="60"/>
    </row>
    <row r="30" spans="1:27" ht="24.75" outlineLevel="1" x14ac:dyDescent="0.35">
      <c r="A30" s="71"/>
      <c r="B30" s="71"/>
      <c r="C30" s="71" t="s">
        <v>2355</v>
      </c>
      <c r="D30" s="80" t="s">
        <v>2356</v>
      </c>
      <c r="E30" s="413" t="str">
        <f>IF(INT((F30 + G30-1) / 8) + 1 = INT(F30 / 8) + 1, INT(F30 / 8) + 1, INT(F30 / 8) + 1 &amp; "-" &amp; INT((F30 + G30 - 1) / 8) + 1)</f>
        <v>55-56</v>
      </c>
      <c r="F30" s="296">
        <f t="shared" si="2"/>
        <v>432</v>
      </c>
      <c r="G30" s="68">
        <v>16</v>
      </c>
      <c r="H30" s="68">
        <v>0.1</v>
      </c>
      <c r="I30" s="68">
        <v>-40</v>
      </c>
      <c r="J30" s="68">
        <v>0</v>
      </c>
      <c r="K30" s="68">
        <f>(POWER(2,G30)-1)*H30+I30</f>
        <v>6513.5</v>
      </c>
      <c r="L30" s="68">
        <v>0</v>
      </c>
      <c r="M30" s="69" t="s">
        <v>1605</v>
      </c>
      <c r="N30" s="68">
        <f>LEN(K30)</f>
        <v>6</v>
      </c>
      <c r="O30" s="79"/>
      <c r="P30" s="322" t="s">
        <v>2360</v>
      </c>
      <c r="Q30" s="69"/>
      <c r="R30" s="71"/>
      <c r="S30" s="80" t="s">
        <v>2363</v>
      </c>
      <c r="T30" s="67" t="s">
        <v>632</v>
      </c>
      <c r="U30" s="67" t="s">
        <v>632</v>
      </c>
      <c r="V30" s="67" t="s">
        <v>632</v>
      </c>
      <c r="W30" s="360"/>
      <c r="X30" s="65"/>
      <c r="Y30" s="80" t="s">
        <v>2356</v>
      </c>
      <c r="Z30" s="65"/>
      <c r="AA30" s="65"/>
    </row>
    <row r="31" spans="1:27" ht="24.75" outlineLevel="1" x14ac:dyDescent="0.35">
      <c r="A31" s="71"/>
      <c r="B31" s="71"/>
      <c r="C31" s="71" t="s">
        <v>2357</v>
      </c>
      <c r="D31" s="80" t="s">
        <v>2358</v>
      </c>
      <c r="E31" s="413" t="str">
        <f>IF(INT((F31 + G31-1) / 8) + 1 = INT(F31 / 8) + 1, INT(F31 / 8) + 1, INT(F31 / 8) + 1 &amp; "-" &amp; INT((F31 + G31 - 1) / 8) + 1)</f>
        <v>57-58</v>
      </c>
      <c r="F31" s="296">
        <f t="shared" si="2"/>
        <v>448</v>
      </c>
      <c r="G31" s="68">
        <v>16</v>
      </c>
      <c r="H31" s="68">
        <v>0.1</v>
      </c>
      <c r="I31" s="68">
        <v>-40</v>
      </c>
      <c r="J31" s="68">
        <v>0</v>
      </c>
      <c r="K31" s="68">
        <f>(POWER(2,G31)-1)*H31+I31</f>
        <v>6513.5</v>
      </c>
      <c r="L31" s="68">
        <v>0</v>
      </c>
      <c r="M31" s="69" t="s">
        <v>1605</v>
      </c>
      <c r="N31" s="68">
        <f>LEN(K31)</f>
        <v>6</v>
      </c>
      <c r="O31" s="79"/>
      <c r="P31" s="322" t="s">
        <v>2361</v>
      </c>
      <c r="Q31" s="69"/>
      <c r="R31" s="71"/>
      <c r="S31" s="80" t="s">
        <v>2362</v>
      </c>
      <c r="T31" s="67" t="s">
        <v>632</v>
      </c>
      <c r="U31" s="67" t="s">
        <v>632</v>
      </c>
      <c r="V31" s="67" t="s">
        <v>632</v>
      </c>
      <c r="W31" s="360"/>
      <c r="X31" s="65"/>
      <c r="Y31" s="80" t="s">
        <v>2358</v>
      </c>
      <c r="Z31" s="65"/>
      <c r="AA31" s="65"/>
    </row>
    <row r="32" spans="1:27" s="406" customFormat="1" ht="24.75" outlineLevel="1" x14ac:dyDescent="0.35">
      <c r="A32" s="411"/>
      <c r="B32" s="411"/>
      <c r="C32" s="411" t="s">
        <v>2483</v>
      </c>
      <c r="D32" s="411" t="s">
        <v>2487</v>
      </c>
      <c r="E32" s="418" t="str">
        <f t="shared" ref="E32:E35" si="12">IF(INT((F32 + G32-1) / 8) + 1 = INT(F32 / 8) + 1, INT(F32 / 8) + 1, INT(F32 / 8) + 1 &amp; "-" &amp; INT((F32 + G32 - 1) / 8) + 1)</f>
        <v>59-62</v>
      </c>
      <c r="F32" s="419">
        <f t="shared" si="2"/>
        <v>464</v>
      </c>
      <c r="G32" s="420">
        <v>32</v>
      </c>
      <c r="H32" s="420">
        <v>1</v>
      </c>
      <c r="I32" s="420">
        <v>0</v>
      </c>
      <c r="J32" s="420">
        <v>0</v>
      </c>
      <c r="K32" s="420">
        <f t="shared" ref="K32:K35" si="13">(POWER(2,G32)-1)*H32+I32</f>
        <v>4294967295</v>
      </c>
      <c r="L32" s="420">
        <v>0</v>
      </c>
      <c r="M32" s="421" t="s">
        <v>1589</v>
      </c>
      <c r="N32" s="420">
        <f t="shared" ref="N32:N35" si="14">LEN(K32)</f>
        <v>10</v>
      </c>
      <c r="O32" s="424"/>
      <c r="P32" s="433" t="s">
        <v>2493</v>
      </c>
      <c r="Q32" s="421"/>
      <c r="R32" s="411"/>
      <c r="S32" s="411" t="s">
        <v>2501</v>
      </c>
      <c r="T32" s="422" t="s">
        <v>632</v>
      </c>
      <c r="U32" s="422" t="s">
        <v>2497</v>
      </c>
      <c r="V32" s="422" t="s">
        <v>632</v>
      </c>
      <c r="W32" s="423"/>
      <c r="X32" s="423"/>
      <c r="Y32" s="411" t="s">
        <v>2487</v>
      </c>
      <c r="Z32" s="423"/>
      <c r="AA32" s="423"/>
    </row>
    <row r="33" spans="1:27" s="406" customFormat="1" ht="24.75" outlineLevel="1" x14ac:dyDescent="0.35">
      <c r="A33" s="411"/>
      <c r="B33" s="411"/>
      <c r="C33" s="411" t="s">
        <v>2484</v>
      </c>
      <c r="D33" s="411" t="s">
        <v>2488</v>
      </c>
      <c r="E33" s="418" t="str">
        <f t="shared" si="12"/>
        <v>63-66</v>
      </c>
      <c r="F33" s="419">
        <f t="shared" si="2"/>
        <v>496</v>
      </c>
      <c r="G33" s="420">
        <v>32</v>
      </c>
      <c r="H33" s="420">
        <v>1</v>
      </c>
      <c r="I33" s="420">
        <v>0</v>
      </c>
      <c r="J33" s="420">
        <v>0</v>
      </c>
      <c r="K33" s="420">
        <f t="shared" si="13"/>
        <v>4294967295</v>
      </c>
      <c r="L33" s="420">
        <v>0</v>
      </c>
      <c r="M33" s="421" t="s">
        <v>1589</v>
      </c>
      <c r="N33" s="420">
        <f t="shared" si="14"/>
        <v>10</v>
      </c>
      <c r="O33" s="424"/>
      <c r="P33" s="433" t="s">
        <v>2494</v>
      </c>
      <c r="Q33" s="421"/>
      <c r="R33" s="411"/>
      <c r="S33" s="411" t="s">
        <v>2502</v>
      </c>
      <c r="T33" s="422" t="s">
        <v>632</v>
      </c>
      <c r="U33" s="422" t="s">
        <v>2498</v>
      </c>
      <c r="V33" s="422" t="s">
        <v>632</v>
      </c>
      <c r="W33" s="423"/>
      <c r="X33" s="423"/>
      <c r="Y33" s="411" t="s">
        <v>2488</v>
      </c>
      <c r="Z33" s="423"/>
      <c r="AA33" s="423"/>
    </row>
    <row r="34" spans="1:27" s="406" customFormat="1" ht="24.75" outlineLevel="1" x14ac:dyDescent="0.35">
      <c r="A34" s="411"/>
      <c r="B34" s="411"/>
      <c r="C34" s="411" t="s">
        <v>2485</v>
      </c>
      <c r="D34" s="411" t="s">
        <v>2489</v>
      </c>
      <c r="E34" s="418" t="str">
        <f t="shared" si="12"/>
        <v>67-70</v>
      </c>
      <c r="F34" s="419">
        <f t="shared" si="2"/>
        <v>528</v>
      </c>
      <c r="G34" s="420">
        <v>32</v>
      </c>
      <c r="H34" s="420">
        <v>1</v>
      </c>
      <c r="I34" s="420">
        <v>0</v>
      </c>
      <c r="J34" s="420">
        <v>0</v>
      </c>
      <c r="K34" s="420">
        <f t="shared" si="13"/>
        <v>4294967295</v>
      </c>
      <c r="L34" s="420">
        <v>0</v>
      </c>
      <c r="M34" s="421" t="s">
        <v>2482</v>
      </c>
      <c r="N34" s="420">
        <f t="shared" si="14"/>
        <v>10</v>
      </c>
      <c r="O34" s="424"/>
      <c r="P34" s="433" t="s">
        <v>2495</v>
      </c>
      <c r="Q34" s="421"/>
      <c r="R34" s="411"/>
      <c r="S34" s="411" t="s">
        <v>2503</v>
      </c>
      <c r="T34" s="422" t="s">
        <v>632</v>
      </c>
      <c r="U34" s="422" t="s">
        <v>2499</v>
      </c>
      <c r="V34" s="422" t="s">
        <v>632</v>
      </c>
      <c r="W34" s="423"/>
      <c r="X34" s="423"/>
      <c r="Y34" s="411" t="s">
        <v>2489</v>
      </c>
      <c r="Z34" s="423"/>
      <c r="AA34" s="423"/>
    </row>
    <row r="35" spans="1:27" s="406" customFormat="1" ht="24.75" outlineLevel="1" x14ac:dyDescent="0.35">
      <c r="A35" s="411"/>
      <c r="B35" s="411"/>
      <c r="C35" s="411" t="s">
        <v>2486</v>
      </c>
      <c r="D35" s="411" t="s">
        <v>2490</v>
      </c>
      <c r="E35" s="418" t="str">
        <f t="shared" si="12"/>
        <v>71-74</v>
      </c>
      <c r="F35" s="419">
        <f t="shared" si="2"/>
        <v>560</v>
      </c>
      <c r="G35" s="420">
        <v>32</v>
      </c>
      <c r="H35" s="420">
        <v>1</v>
      </c>
      <c r="I35" s="420">
        <v>0</v>
      </c>
      <c r="J35" s="420">
        <v>0</v>
      </c>
      <c r="K35" s="420">
        <f t="shared" si="13"/>
        <v>4294967295</v>
      </c>
      <c r="L35" s="420">
        <v>0</v>
      </c>
      <c r="M35" s="421" t="s">
        <v>2482</v>
      </c>
      <c r="N35" s="420">
        <f t="shared" si="14"/>
        <v>10</v>
      </c>
      <c r="O35" s="424"/>
      <c r="P35" s="433" t="s">
        <v>2496</v>
      </c>
      <c r="Q35" s="421"/>
      <c r="R35" s="411"/>
      <c r="S35" s="411" t="s">
        <v>2504</v>
      </c>
      <c r="T35" s="422" t="s">
        <v>632</v>
      </c>
      <c r="U35" s="422" t="s">
        <v>2500</v>
      </c>
      <c r="V35" s="422" t="s">
        <v>632</v>
      </c>
      <c r="W35" s="423"/>
      <c r="X35" s="423"/>
      <c r="Y35" s="411" t="s">
        <v>2490</v>
      </c>
      <c r="Z35" s="423"/>
      <c r="AA35" s="423"/>
    </row>
    <row r="36" spans="1:27" s="231" customFormat="1" ht="24.75" outlineLevel="1" x14ac:dyDescent="0.35">
      <c r="A36" s="388"/>
      <c r="B36" s="388"/>
      <c r="C36" s="434" t="s">
        <v>2491</v>
      </c>
      <c r="D36" s="222" t="s">
        <v>2275</v>
      </c>
      <c r="E36" s="435" t="s">
        <v>2492</v>
      </c>
      <c r="F36" s="223">
        <f>F29+G29</f>
        <v>432</v>
      </c>
      <c r="G36" s="224">
        <v>8</v>
      </c>
      <c r="H36" s="224">
        <v>1</v>
      </c>
      <c r="I36" s="224">
        <v>0</v>
      </c>
      <c r="J36" s="224">
        <v>0</v>
      </c>
      <c r="K36" s="224">
        <f t="shared" si="11"/>
        <v>255</v>
      </c>
      <c r="L36" s="224">
        <v>0</v>
      </c>
      <c r="M36" s="220" t="s">
        <v>632</v>
      </c>
      <c r="N36" s="224">
        <v>0</v>
      </c>
      <c r="O36" s="219"/>
      <c r="P36" s="389"/>
      <c r="Q36" s="220"/>
      <c r="R36" s="388"/>
      <c r="S36" s="222" t="s">
        <v>632</v>
      </c>
      <c r="T36" s="380" t="s">
        <v>632</v>
      </c>
      <c r="U36" s="380" t="s">
        <v>632</v>
      </c>
      <c r="V36" s="380" t="s">
        <v>632</v>
      </c>
      <c r="W36" s="390"/>
      <c r="X36" s="384"/>
      <c r="Y36" s="222"/>
      <c r="Z36" s="384"/>
      <c r="AA36" s="384"/>
    </row>
    <row r="37" spans="1:27" ht="24.75" outlineLevel="1" x14ac:dyDescent="0.35">
      <c r="A37" s="77"/>
      <c r="B37" s="77"/>
      <c r="C37" s="77" t="s">
        <v>131</v>
      </c>
      <c r="D37" s="77" t="s">
        <v>1451</v>
      </c>
      <c r="E37" s="102">
        <f t="shared" si="10"/>
        <v>111</v>
      </c>
      <c r="F37" s="410">
        <v>880</v>
      </c>
      <c r="G37" s="104">
        <v>8</v>
      </c>
      <c r="H37" s="104">
        <v>0.5</v>
      </c>
      <c r="I37" s="104">
        <v>0</v>
      </c>
      <c r="J37" s="78">
        <v>0</v>
      </c>
      <c r="K37" s="78">
        <f t="shared" si="11"/>
        <v>127.5</v>
      </c>
      <c r="L37" s="104">
        <v>0</v>
      </c>
      <c r="M37" s="78" t="s">
        <v>132</v>
      </c>
      <c r="N37" s="104">
        <f t="shared" si="3"/>
        <v>5</v>
      </c>
      <c r="O37" s="274"/>
      <c r="P37" s="350" t="s">
        <v>1937</v>
      </c>
      <c r="Q37" s="386" t="s">
        <v>1098</v>
      </c>
      <c r="R37" s="77" t="s">
        <v>133</v>
      </c>
      <c r="S37" s="77" t="s">
        <v>519</v>
      </c>
      <c r="T37" s="76" t="s">
        <v>632</v>
      </c>
      <c r="U37" s="76" t="s">
        <v>520</v>
      </c>
      <c r="V37" s="76" t="s">
        <v>352</v>
      </c>
      <c r="W37" s="75"/>
      <c r="X37" s="75"/>
      <c r="Y37" s="77" t="s">
        <v>2127</v>
      </c>
      <c r="Z37" s="75"/>
      <c r="AA37" s="75"/>
    </row>
    <row r="38" spans="1:27" ht="24.75" outlineLevel="1" x14ac:dyDescent="0.35">
      <c r="A38" s="40"/>
      <c r="B38" s="40"/>
      <c r="C38" s="40" t="s">
        <v>134</v>
      </c>
      <c r="D38" s="40" t="s">
        <v>1452</v>
      </c>
      <c r="E38" s="42">
        <f t="shared" si="10"/>
        <v>112</v>
      </c>
      <c r="F38" s="43">
        <f t="shared" si="2"/>
        <v>888</v>
      </c>
      <c r="G38" s="44">
        <v>8</v>
      </c>
      <c r="H38" s="44">
        <v>1</v>
      </c>
      <c r="I38" s="44">
        <v>0</v>
      </c>
      <c r="J38" s="41">
        <v>0</v>
      </c>
      <c r="K38" s="41">
        <f t="shared" si="11"/>
        <v>255</v>
      </c>
      <c r="L38" s="44">
        <v>100</v>
      </c>
      <c r="M38" s="41" t="s">
        <v>132</v>
      </c>
      <c r="N38" s="44">
        <f t="shared" si="3"/>
        <v>3</v>
      </c>
      <c r="O38" s="49"/>
      <c r="P38" s="321" t="s">
        <v>1938</v>
      </c>
      <c r="Q38" s="162" t="s">
        <v>1098</v>
      </c>
      <c r="R38" s="40" t="s">
        <v>135</v>
      </c>
      <c r="S38" s="40" t="s">
        <v>521</v>
      </c>
      <c r="T38" s="47" t="s">
        <v>632</v>
      </c>
      <c r="U38" s="47" t="s">
        <v>522</v>
      </c>
      <c r="V38" s="47" t="s">
        <v>352</v>
      </c>
      <c r="W38" s="48"/>
      <c r="X38" s="48"/>
      <c r="Y38" s="40" t="s">
        <v>2128</v>
      </c>
      <c r="Z38" s="48"/>
      <c r="AA38" s="48"/>
    </row>
    <row r="39" spans="1:27" ht="24.75" outlineLevel="1" x14ac:dyDescent="0.35">
      <c r="A39" s="40"/>
      <c r="B39" s="40"/>
      <c r="C39" s="40" t="s">
        <v>136</v>
      </c>
      <c r="D39" s="40" t="s">
        <v>1442</v>
      </c>
      <c r="E39" s="42" t="str">
        <f t="shared" si="10"/>
        <v>113-114</v>
      </c>
      <c r="F39" s="43">
        <f t="shared" si="2"/>
        <v>896</v>
      </c>
      <c r="G39" s="44">
        <v>16</v>
      </c>
      <c r="H39" s="44">
        <v>0.125</v>
      </c>
      <c r="I39" s="44">
        <v>0</v>
      </c>
      <c r="J39" s="41">
        <v>0</v>
      </c>
      <c r="K39" s="41">
        <f t="shared" si="11"/>
        <v>8191.875</v>
      </c>
      <c r="L39" s="44">
        <v>0</v>
      </c>
      <c r="M39" s="41" t="s">
        <v>137</v>
      </c>
      <c r="N39" s="44">
        <f t="shared" si="3"/>
        <v>8</v>
      </c>
      <c r="O39" s="49"/>
      <c r="P39" s="321" t="s">
        <v>1939</v>
      </c>
      <c r="Q39" s="162" t="s">
        <v>1098</v>
      </c>
      <c r="R39" s="40"/>
      <c r="S39" s="40" t="s">
        <v>523</v>
      </c>
      <c r="T39" s="47" t="s">
        <v>632</v>
      </c>
      <c r="U39" s="47" t="s">
        <v>524</v>
      </c>
      <c r="V39" s="47" t="s">
        <v>352</v>
      </c>
      <c r="W39" s="48"/>
      <c r="X39" s="48"/>
      <c r="Y39" s="40" t="s">
        <v>2129</v>
      </c>
      <c r="Z39" s="48"/>
      <c r="AA39" s="48"/>
    </row>
    <row r="40" spans="1:27" ht="24.75" outlineLevel="1" x14ac:dyDescent="0.35">
      <c r="A40" s="40"/>
      <c r="B40" s="40"/>
      <c r="C40" s="40" t="s">
        <v>138</v>
      </c>
      <c r="D40" s="40" t="s">
        <v>1443</v>
      </c>
      <c r="E40" s="42" t="str">
        <f t="shared" si="10"/>
        <v>115-116</v>
      </c>
      <c r="F40" s="43">
        <f t="shared" si="2"/>
        <v>912</v>
      </c>
      <c r="G40" s="44">
        <v>16</v>
      </c>
      <c r="H40" s="44">
        <v>0.125</v>
      </c>
      <c r="I40" s="44">
        <v>0</v>
      </c>
      <c r="J40" s="41">
        <v>0</v>
      </c>
      <c r="K40" s="41">
        <f t="shared" si="11"/>
        <v>8191.875</v>
      </c>
      <c r="L40" s="44">
        <v>0</v>
      </c>
      <c r="M40" s="41" t="s">
        <v>137</v>
      </c>
      <c r="N40" s="44">
        <f t="shared" si="3"/>
        <v>8</v>
      </c>
      <c r="O40" s="49"/>
      <c r="P40" s="321" t="s">
        <v>1940</v>
      </c>
      <c r="Q40" s="162" t="s">
        <v>1098</v>
      </c>
      <c r="R40" s="40"/>
      <c r="S40" s="40" t="s">
        <v>525</v>
      </c>
      <c r="T40" s="47" t="s">
        <v>632</v>
      </c>
      <c r="U40" s="47" t="s">
        <v>526</v>
      </c>
      <c r="V40" s="47" t="s">
        <v>352</v>
      </c>
      <c r="W40" s="48"/>
      <c r="X40" s="48"/>
      <c r="Y40" s="40" t="s">
        <v>2130</v>
      </c>
      <c r="Z40" s="48"/>
      <c r="AA40" s="48"/>
    </row>
    <row r="41" spans="1:27" ht="24.75" outlineLevel="1" x14ac:dyDescent="0.35">
      <c r="A41" s="40"/>
      <c r="B41" s="40"/>
      <c r="C41" s="40" t="s">
        <v>139</v>
      </c>
      <c r="D41" s="40" t="s">
        <v>140</v>
      </c>
      <c r="E41" s="42" t="str">
        <f t="shared" si="10"/>
        <v>117-118</v>
      </c>
      <c r="F41" s="43">
        <f t="shared" si="2"/>
        <v>928</v>
      </c>
      <c r="G41" s="44">
        <v>16</v>
      </c>
      <c r="H41" s="44">
        <v>0.125</v>
      </c>
      <c r="I41" s="44">
        <v>0</v>
      </c>
      <c r="J41" s="41">
        <v>0</v>
      </c>
      <c r="K41" s="41">
        <f t="shared" si="11"/>
        <v>8191.875</v>
      </c>
      <c r="L41" s="44">
        <v>0</v>
      </c>
      <c r="M41" s="41" t="s">
        <v>110</v>
      </c>
      <c r="N41" s="44">
        <f t="shared" si="3"/>
        <v>8</v>
      </c>
      <c r="O41" s="49"/>
      <c r="P41" s="321" t="s">
        <v>1941</v>
      </c>
      <c r="Q41" s="41"/>
      <c r="R41" s="40"/>
      <c r="S41" s="40" t="s">
        <v>527</v>
      </c>
      <c r="T41" s="47" t="s">
        <v>632</v>
      </c>
      <c r="U41" s="47" t="s">
        <v>528</v>
      </c>
      <c r="V41" s="47" t="s">
        <v>352</v>
      </c>
      <c r="W41" s="48"/>
      <c r="X41" s="48"/>
      <c r="Y41" s="40" t="s">
        <v>140</v>
      </c>
      <c r="Z41" s="48"/>
      <c r="AA41" s="48"/>
    </row>
    <row r="42" spans="1:27" ht="24.75" outlineLevel="1" x14ac:dyDescent="0.35">
      <c r="A42" s="40"/>
      <c r="B42" s="40"/>
      <c r="C42" s="40" t="s">
        <v>141</v>
      </c>
      <c r="D42" s="40" t="s">
        <v>142</v>
      </c>
      <c r="E42" s="42" t="str">
        <f t="shared" si="10"/>
        <v>119-120</v>
      </c>
      <c r="F42" s="43">
        <f t="shared" si="2"/>
        <v>944</v>
      </c>
      <c r="G42" s="44">
        <v>16</v>
      </c>
      <c r="H42" s="44">
        <v>0.125</v>
      </c>
      <c r="I42" s="44">
        <v>0</v>
      </c>
      <c r="J42" s="41">
        <v>0</v>
      </c>
      <c r="K42" s="41">
        <f t="shared" si="11"/>
        <v>8191.875</v>
      </c>
      <c r="L42" s="44">
        <v>0</v>
      </c>
      <c r="M42" s="41" t="s">
        <v>110</v>
      </c>
      <c r="N42" s="44">
        <f t="shared" si="3"/>
        <v>8</v>
      </c>
      <c r="O42" s="49"/>
      <c r="P42" s="321" t="s">
        <v>1942</v>
      </c>
      <c r="Q42" s="41"/>
      <c r="R42" s="40"/>
      <c r="S42" s="40" t="s">
        <v>529</v>
      </c>
      <c r="T42" s="47" t="s">
        <v>632</v>
      </c>
      <c r="U42" s="47" t="s">
        <v>530</v>
      </c>
      <c r="V42" s="47" t="s">
        <v>352</v>
      </c>
      <c r="W42" s="48"/>
      <c r="X42" s="48"/>
      <c r="Y42" s="40" t="s">
        <v>142</v>
      </c>
      <c r="Z42" s="48"/>
      <c r="AA42" s="48"/>
    </row>
    <row r="43" spans="1:27" ht="24.75" outlineLevel="1" x14ac:dyDescent="0.35">
      <c r="A43" s="40"/>
      <c r="B43" s="40"/>
      <c r="C43" s="40" t="s">
        <v>143</v>
      </c>
      <c r="D43" s="40" t="s">
        <v>144</v>
      </c>
      <c r="E43" s="42" t="str">
        <f t="shared" si="10"/>
        <v>121-122</v>
      </c>
      <c r="F43" s="43">
        <f t="shared" si="2"/>
        <v>960</v>
      </c>
      <c r="G43" s="44">
        <v>16</v>
      </c>
      <c r="H43" s="44">
        <v>0.125</v>
      </c>
      <c r="I43" s="44">
        <v>0</v>
      </c>
      <c r="J43" s="41">
        <v>0</v>
      </c>
      <c r="K43" s="41">
        <f t="shared" si="11"/>
        <v>8191.875</v>
      </c>
      <c r="L43" s="44">
        <v>0</v>
      </c>
      <c r="M43" s="41" t="s">
        <v>119</v>
      </c>
      <c r="N43" s="44">
        <f t="shared" si="3"/>
        <v>8</v>
      </c>
      <c r="O43" s="49"/>
      <c r="P43" s="321" t="s">
        <v>1943</v>
      </c>
      <c r="Q43" s="41"/>
      <c r="R43" s="40"/>
      <c r="S43" s="40" t="s">
        <v>531</v>
      </c>
      <c r="T43" s="47" t="s">
        <v>632</v>
      </c>
      <c r="U43" s="47" t="s">
        <v>532</v>
      </c>
      <c r="V43" s="47" t="s">
        <v>352</v>
      </c>
      <c r="W43" s="48"/>
      <c r="X43" s="48"/>
      <c r="Y43" s="40" t="s">
        <v>144</v>
      </c>
      <c r="Z43" s="48"/>
      <c r="AA43" s="48"/>
    </row>
    <row r="44" spans="1:27" ht="24.75" outlineLevel="1" x14ac:dyDescent="0.35">
      <c r="A44" s="40"/>
      <c r="B44" s="40"/>
      <c r="C44" s="40" t="s">
        <v>145</v>
      </c>
      <c r="D44" s="40" t="s">
        <v>146</v>
      </c>
      <c r="E44" s="42" t="str">
        <f t="shared" si="10"/>
        <v>123-124</v>
      </c>
      <c r="F44" s="43">
        <f t="shared" si="2"/>
        <v>976</v>
      </c>
      <c r="G44" s="44">
        <v>16</v>
      </c>
      <c r="H44" s="44">
        <v>0.125</v>
      </c>
      <c r="I44" s="44">
        <v>0</v>
      </c>
      <c r="J44" s="41">
        <v>0</v>
      </c>
      <c r="K44" s="41">
        <f t="shared" si="11"/>
        <v>8191.875</v>
      </c>
      <c r="L44" s="44">
        <v>0</v>
      </c>
      <c r="M44" s="41" t="s">
        <v>119</v>
      </c>
      <c r="N44" s="44">
        <f t="shared" si="3"/>
        <v>8</v>
      </c>
      <c r="O44" s="49"/>
      <c r="P44" s="321" t="s">
        <v>1944</v>
      </c>
      <c r="Q44" s="41"/>
      <c r="R44" s="40"/>
      <c r="S44" s="40" t="s">
        <v>533</v>
      </c>
      <c r="T44" s="47" t="s">
        <v>632</v>
      </c>
      <c r="U44" s="47" t="s">
        <v>534</v>
      </c>
      <c r="V44" s="47" t="s">
        <v>352</v>
      </c>
      <c r="W44" s="48"/>
      <c r="X44" s="48"/>
      <c r="Y44" s="40" t="s">
        <v>146</v>
      </c>
      <c r="Z44" s="48"/>
      <c r="AA44" s="48"/>
    </row>
    <row r="45" spans="1:27" ht="24.75" outlineLevel="1" x14ac:dyDescent="0.35">
      <c r="A45" s="40"/>
      <c r="B45" s="40"/>
      <c r="C45" s="40" t="s">
        <v>147</v>
      </c>
      <c r="D45" s="40" t="s">
        <v>1559</v>
      </c>
      <c r="E45" s="42" t="str">
        <f t="shared" si="10"/>
        <v>125-126</v>
      </c>
      <c r="F45" s="43">
        <f t="shared" si="2"/>
        <v>992</v>
      </c>
      <c r="G45" s="44">
        <v>16</v>
      </c>
      <c r="H45" s="44">
        <v>0.125</v>
      </c>
      <c r="I45" s="44">
        <v>0</v>
      </c>
      <c r="J45" s="41">
        <v>0</v>
      </c>
      <c r="K45" s="41">
        <f t="shared" si="11"/>
        <v>8191.875</v>
      </c>
      <c r="L45" s="44">
        <v>0</v>
      </c>
      <c r="M45" s="41" t="s">
        <v>110</v>
      </c>
      <c r="N45" s="44">
        <f t="shared" si="3"/>
        <v>8</v>
      </c>
      <c r="O45" s="49"/>
      <c r="P45" s="321" t="s">
        <v>1945</v>
      </c>
      <c r="Q45" s="162" t="s">
        <v>1098</v>
      </c>
      <c r="R45" s="40"/>
      <c r="S45" s="40" t="s">
        <v>535</v>
      </c>
      <c r="T45" s="47" t="s">
        <v>632</v>
      </c>
      <c r="U45" s="47" t="s">
        <v>536</v>
      </c>
      <c r="V45" s="47" t="s">
        <v>352</v>
      </c>
      <c r="W45" s="48"/>
      <c r="X45" s="48"/>
      <c r="Y45" s="40" t="s">
        <v>1559</v>
      </c>
      <c r="Z45" s="48"/>
      <c r="AA45" s="48"/>
    </row>
    <row r="46" spans="1:27" ht="24.75" outlineLevel="1" x14ac:dyDescent="0.35">
      <c r="A46" s="40"/>
      <c r="B46" s="40"/>
      <c r="C46" s="40" t="s">
        <v>148</v>
      </c>
      <c r="D46" s="40" t="s">
        <v>1560</v>
      </c>
      <c r="E46" s="42" t="str">
        <f t="shared" si="10"/>
        <v>127-128</v>
      </c>
      <c r="F46" s="43">
        <f t="shared" si="2"/>
        <v>1008</v>
      </c>
      <c r="G46" s="44">
        <v>16</v>
      </c>
      <c r="H46" s="44">
        <v>0.125</v>
      </c>
      <c r="I46" s="44">
        <v>0</v>
      </c>
      <c r="J46" s="41">
        <v>0</v>
      </c>
      <c r="K46" s="41">
        <f t="shared" si="11"/>
        <v>8191.875</v>
      </c>
      <c r="L46" s="44">
        <v>0</v>
      </c>
      <c r="M46" s="41" t="s">
        <v>110</v>
      </c>
      <c r="N46" s="44">
        <f t="shared" si="3"/>
        <v>8</v>
      </c>
      <c r="O46" s="49"/>
      <c r="P46" s="321" t="s">
        <v>1946</v>
      </c>
      <c r="Q46" s="162" t="s">
        <v>1098</v>
      </c>
      <c r="R46" s="40"/>
      <c r="S46" s="40" t="s">
        <v>537</v>
      </c>
      <c r="T46" s="47" t="s">
        <v>632</v>
      </c>
      <c r="U46" s="47" t="s">
        <v>538</v>
      </c>
      <c r="V46" s="47" t="s">
        <v>352</v>
      </c>
      <c r="W46" s="48"/>
      <c r="X46" s="48"/>
      <c r="Y46" s="40" t="s">
        <v>1560</v>
      </c>
      <c r="Z46" s="48"/>
      <c r="AA46" s="48"/>
    </row>
    <row r="47" spans="1:27" ht="24.75" outlineLevel="1" x14ac:dyDescent="0.35">
      <c r="A47" s="40"/>
      <c r="B47" s="40"/>
      <c r="C47" s="40" t="s">
        <v>149</v>
      </c>
      <c r="D47" s="40" t="s">
        <v>1561</v>
      </c>
      <c r="E47" s="42" t="str">
        <f t="shared" si="10"/>
        <v>129-130</v>
      </c>
      <c r="F47" s="43">
        <f t="shared" si="2"/>
        <v>1024</v>
      </c>
      <c r="G47" s="44">
        <v>16</v>
      </c>
      <c r="H47" s="44">
        <v>0.125</v>
      </c>
      <c r="I47" s="44">
        <v>0</v>
      </c>
      <c r="J47" s="41">
        <v>0</v>
      </c>
      <c r="K47" s="41">
        <f t="shared" si="11"/>
        <v>8191.875</v>
      </c>
      <c r="L47" s="44">
        <v>0</v>
      </c>
      <c r="M47" s="41" t="s">
        <v>119</v>
      </c>
      <c r="N47" s="44">
        <f t="shared" si="3"/>
        <v>8</v>
      </c>
      <c r="O47" s="49"/>
      <c r="P47" s="321" t="s">
        <v>1947</v>
      </c>
      <c r="Q47" s="41"/>
      <c r="R47" s="40"/>
      <c r="S47" s="40" t="s">
        <v>539</v>
      </c>
      <c r="T47" s="47" t="s">
        <v>632</v>
      </c>
      <c r="U47" s="47" t="s">
        <v>540</v>
      </c>
      <c r="V47" s="47" t="s">
        <v>352</v>
      </c>
      <c r="W47" s="48"/>
      <c r="X47" s="48"/>
      <c r="Y47" s="40" t="s">
        <v>1561</v>
      </c>
      <c r="Z47" s="48"/>
      <c r="AA47" s="48"/>
    </row>
    <row r="48" spans="1:27" ht="24.75" outlineLevel="1" x14ac:dyDescent="0.35">
      <c r="A48" s="40"/>
      <c r="B48" s="40"/>
      <c r="C48" s="40" t="s">
        <v>150</v>
      </c>
      <c r="D48" s="40" t="s">
        <v>1562</v>
      </c>
      <c r="E48" s="42" t="str">
        <f t="shared" si="10"/>
        <v>131-132</v>
      </c>
      <c r="F48" s="43">
        <f t="shared" si="2"/>
        <v>1040</v>
      </c>
      <c r="G48" s="44">
        <v>16</v>
      </c>
      <c r="H48" s="44">
        <v>0.125</v>
      </c>
      <c r="I48" s="44">
        <v>0</v>
      </c>
      <c r="J48" s="41">
        <v>0</v>
      </c>
      <c r="K48" s="44">
        <f>(POWER(2,G48)-1)*H48+I48</f>
        <v>8191.875</v>
      </c>
      <c r="L48" s="44">
        <v>0</v>
      </c>
      <c r="M48" s="41" t="s">
        <v>119</v>
      </c>
      <c r="N48" s="44">
        <f t="shared" si="3"/>
        <v>8</v>
      </c>
      <c r="O48" s="50"/>
      <c r="P48" s="321" t="s">
        <v>1948</v>
      </c>
      <c r="Q48" s="44"/>
      <c r="R48" s="40"/>
      <c r="S48" s="40" t="s">
        <v>541</v>
      </c>
      <c r="T48" s="47" t="s">
        <v>632</v>
      </c>
      <c r="U48" s="47" t="s">
        <v>542</v>
      </c>
      <c r="V48" s="47" t="s">
        <v>352</v>
      </c>
      <c r="W48" s="48"/>
      <c r="X48" s="48"/>
      <c r="Y48" s="40" t="s">
        <v>1562</v>
      </c>
      <c r="Z48" s="48"/>
      <c r="AA48" s="48"/>
    </row>
    <row r="49" spans="1:27" ht="24.75" outlineLevel="1" x14ac:dyDescent="0.35">
      <c r="A49" s="40"/>
      <c r="B49" s="40"/>
      <c r="C49" s="40" t="s">
        <v>942</v>
      </c>
      <c r="D49" s="40" t="s">
        <v>151</v>
      </c>
      <c r="E49" s="42" t="str">
        <f t="shared" si="10"/>
        <v>133-134</v>
      </c>
      <c r="F49" s="43">
        <f t="shared" si="2"/>
        <v>1056</v>
      </c>
      <c r="G49" s="44">
        <v>14</v>
      </c>
      <c r="H49" s="44">
        <v>1</v>
      </c>
      <c r="I49" s="44">
        <v>0</v>
      </c>
      <c r="J49" s="41">
        <v>0</v>
      </c>
      <c r="K49" s="213">
        <v>5000</v>
      </c>
      <c r="L49" s="44">
        <v>0</v>
      </c>
      <c r="M49" s="41" t="s">
        <v>115</v>
      </c>
      <c r="N49" s="44">
        <f t="shared" si="3"/>
        <v>4</v>
      </c>
      <c r="O49" s="49"/>
      <c r="P49" s="321" t="s">
        <v>1949</v>
      </c>
      <c r="Q49" s="162" t="s">
        <v>1098</v>
      </c>
      <c r="R49" s="40"/>
      <c r="S49" s="40" t="s">
        <v>1201</v>
      </c>
      <c r="T49" s="47" t="s">
        <v>632</v>
      </c>
      <c r="U49" s="47" t="s">
        <v>543</v>
      </c>
      <c r="V49" s="47" t="s">
        <v>352</v>
      </c>
      <c r="W49" s="48"/>
      <c r="X49" s="48"/>
      <c r="Y49" s="40" t="s">
        <v>151</v>
      </c>
      <c r="Z49" s="48"/>
      <c r="AA49" s="48"/>
    </row>
    <row r="50" spans="1:27" ht="24.75" outlineLevel="1" x14ac:dyDescent="0.35">
      <c r="A50" s="40"/>
      <c r="B50" s="40"/>
      <c r="C50" s="40" t="s">
        <v>943</v>
      </c>
      <c r="D50" s="40" t="s">
        <v>152</v>
      </c>
      <c r="E50" s="42" t="str">
        <f t="shared" si="10"/>
        <v>134-136</v>
      </c>
      <c r="F50" s="43">
        <f t="shared" si="2"/>
        <v>1070</v>
      </c>
      <c r="G50" s="44">
        <v>11</v>
      </c>
      <c r="H50" s="44">
        <v>1</v>
      </c>
      <c r="I50" s="44">
        <v>0</v>
      </c>
      <c r="J50" s="41">
        <v>0</v>
      </c>
      <c r="K50" s="44">
        <f>(POWER(2,G50)-1)*H50+I50</f>
        <v>2047</v>
      </c>
      <c r="L50" s="44">
        <v>0</v>
      </c>
      <c r="M50" s="41" t="s">
        <v>85</v>
      </c>
      <c r="N50" s="44">
        <f t="shared" si="3"/>
        <v>4</v>
      </c>
      <c r="O50" s="49"/>
      <c r="P50" s="321" t="s">
        <v>1950</v>
      </c>
      <c r="Q50" s="162" t="s">
        <v>1098</v>
      </c>
      <c r="R50" s="40"/>
      <c r="S50" s="40" t="s">
        <v>1202</v>
      </c>
      <c r="T50" s="47" t="s">
        <v>632</v>
      </c>
      <c r="U50" s="47" t="s">
        <v>544</v>
      </c>
      <c r="V50" s="47" t="s">
        <v>352</v>
      </c>
      <c r="W50" s="48"/>
      <c r="X50" s="48"/>
      <c r="Y50" s="40" t="s">
        <v>152</v>
      </c>
      <c r="Z50" s="48"/>
      <c r="AA50" s="48"/>
    </row>
    <row r="51" spans="1:27" ht="24.75" outlineLevel="1" x14ac:dyDescent="0.35">
      <c r="A51" s="40"/>
      <c r="B51" s="40"/>
      <c r="C51" s="40" t="s">
        <v>153</v>
      </c>
      <c r="D51" s="40" t="s">
        <v>1273</v>
      </c>
      <c r="E51" s="42" t="str">
        <f t="shared" si="10"/>
        <v>136-137</v>
      </c>
      <c r="F51" s="43">
        <f t="shared" si="2"/>
        <v>1081</v>
      </c>
      <c r="G51" s="44">
        <v>14</v>
      </c>
      <c r="H51" s="44">
        <v>1</v>
      </c>
      <c r="I51" s="44">
        <v>0</v>
      </c>
      <c r="J51" s="41">
        <v>0</v>
      </c>
      <c r="K51" s="213">
        <v>5000</v>
      </c>
      <c r="L51" s="44">
        <v>0</v>
      </c>
      <c r="M51" s="41" t="s">
        <v>115</v>
      </c>
      <c r="N51" s="44">
        <f t="shared" si="3"/>
        <v>4</v>
      </c>
      <c r="O51" s="49"/>
      <c r="P51" s="321" t="s">
        <v>1951</v>
      </c>
      <c r="Q51" s="162" t="s">
        <v>1098</v>
      </c>
      <c r="R51" s="40"/>
      <c r="S51" s="40" t="s">
        <v>1203</v>
      </c>
      <c r="T51" s="47" t="s">
        <v>632</v>
      </c>
      <c r="U51" s="47" t="s">
        <v>545</v>
      </c>
      <c r="V51" s="47" t="s">
        <v>352</v>
      </c>
      <c r="W51" s="48"/>
      <c r="X51" s="48"/>
      <c r="Y51" s="40" t="s">
        <v>1273</v>
      </c>
      <c r="Z51" s="48"/>
      <c r="AA51" s="48"/>
    </row>
    <row r="52" spans="1:27" ht="24.75" outlineLevel="1" x14ac:dyDescent="0.35">
      <c r="A52" s="40"/>
      <c r="B52" s="40"/>
      <c r="C52" s="40" t="s">
        <v>155</v>
      </c>
      <c r="D52" s="40" t="s">
        <v>156</v>
      </c>
      <c r="E52" s="42" t="str">
        <f t="shared" si="10"/>
        <v>137-139</v>
      </c>
      <c r="F52" s="43">
        <f t="shared" si="2"/>
        <v>1095</v>
      </c>
      <c r="G52" s="44">
        <v>11</v>
      </c>
      <c r="H52" s="44">
        <v>1</v>
      </c>
      <c r="I52" s="44">
        <v>0</v>
      </c>
      <c r="J52" s="41">
        <v>0</v>
      </c>
      <c r="K52" s="44">
        <f>(POWER(2,G52)-1)*H52+I52</f>
        <v>2047</v>
      </c>
      <c r="L52" s="44">
        <v>0</v>
      </c>
      <c r="M52" s="41" t="s">
        <v>85</v>
      </c>
      <c r="N52" s="44">
        <f t="shared" si="3"/>
        <v>4</v>
      </c>
      <c r="O52" s="49"/>
      <c r="P52" s="321" t="s">
        <v>1952</v>
      </c>
      <c r="Q52" s="162" t="s">
        <v>1098</v>
      </c>
      <c r="R52" s="40"/>
      <c r="S52" s="40" t="s">
        <v>1204</v>
      </c>
      <c r="T52" s="47" t="s">
        <v>632</v>
      </c>
      <c r="U52" s="47" t="s">
        <v>546</v>
      </c>
      <c r="V52" s="47" t="s">
        <v>352</v>
      </c>
      <c r="W52" s="48"/>
      <c r="X52" s="48"/>
      <c r="Y52" s="40" t="s">
        <v>156</v>
      </c>
      <c r="Z52" s="48"/>
      <c r="AA52" s="48"/>
    </row>
    <row r="53" spans="1:27" ht="24.75" outlineLevel="1" x14ac:dyDescent="0.35">
      <c r="A53" s="40"/>
      <c r="B53" s="40"/>
      <c r="C53" s="40" t="s">
        <v>944</v>
      </c>
      <c r="D53" s="40" t="s">
        <v>1274</v>
      </c>
      <c r="E53" s="42" t="str">
        <f t="shared" si="10"/>
        <v>139-140</v>
      </c>
      <c r="F53" s="43">
        <f t="shared" si="2"/>
        <v>1106</v>
      </c>
      <c r="G53" s="44">
        <v>14</v>
      </c>
      <c r="H53" s="44">
        <v>1</v>
      </c>
      <c r="I53" s="44">
        <v>0</v>
      </c>
      <c r="J53" s="41">
        <v>0</v>
      </c>
      <c r="K53" s="213">
        <v>5000</v>
      </c>
      <c r="L53" s="44">
        <v>0</v>
      </c>
      <c r="M53" s="41" t="s">
        <v>115</v>
      </c>
      <c r="N53" s="44">
        <f t="shared" si="3"/>
        <v>4</v>
      </c>
      <c r="O53" s="49"/>
      <c r="P53" s="321" t="s">
        <v>1953</v>
      </c>
      <c r="Q53" s="162" t="s">
        <v>1098</v>
      </c>
      <c r="R53" s="40"/>
      <c r="S53" s="40" t="s">
        <v>1205</v>
      </c>
      <c r="T53" s="47" t="s">
        <v>632</v>
      </c>
      <c r="U53" s="47" t="s">
        <v>547</v>
      </c>
      <c r="V53" s="47" t="s">
        <v>352</v>
      </c>
      <c r="W53" s="48"/>
      <c r="X53" s="48"/>
      <c r="Y53" s="40" t="s">
        <v>1274</v>
      </c>
      <c r="Z53" s="48"/>
      <c r="AA53" s="48"/>
    </row>
    <row r="54" spans="1:27" ht="24.75" outlineLevel="1" x14ac:dyDescent="0.35">
      <c r="A54" s="40"/>
      <c r="B54" s="40"/>
      <c r="C54" s="40" t="s">
        <v>824</v>
      </c>
      <c r="D54" s="40" t="s">
        <v>1453</v>
      </c>
      <c r="E54" s="42" t="str">
        <f t="shared" si="10"/>
        <v>141-142</v>
      </c>
      <c r="F54" s="43">
        <f t="shared" si="2"/>
        <v>1120</v>
      </c>
      <c r="G54" s="44">
        <v>16</v>
      </c>
      <c r="H54" s="44">
        <v>0.1</v>
      </c>
      <c r="I54" s="44">
        <v>-40</v>
      </c>
      <c r="J54" s="41">
        <v>-40</v>
      </c>
      <c r="K54" s="213">
        <v>125.1</v>
      </c>
      <c r="L54" s="44">
        <v>0</v>
      </c>
      <c r="M54" s="41" t="s">
        <v>113</v>
      </c>
      <c r="N54" s="44">
        <f t="shared" si="3"/>
        <v>5</v>
      </c>
      <c r="O54" s="49"/>
      <c r="P54" s="322" t="s">
        <v>1954</v>
      </c>
      <c r="Q54" s="162" t="s">
        <v>1098</v>
      </c>
      <c r="R54" s="40"/>
      <c r="S54" s="40" t="s">
        <v>685</v>
      </c>
      <c r="T54" s="47" t="s">
        <v>352</v>
      </c>
      <c r="U54" s="47" t="s">
        <v>828</v>
      </c>
      <c r="V54" s="47" t="s">
        <v>352</v>
      </c>
      <c r="W54" s="48"/>
      <c r="X54" s="48"/>
      <c r="Y54" s="40" t="s">
        <v>1351</v>
      </c>
      <c r="Z54" s="48"/>
      <c r="AA54" s="48"/>
    </row>
    <row r="55" spans="1:27" s="231" customFormat="1" ht="26" customHeight="1" outlineLevel="1" x14ac:dyDescent="0.35">
      <c r="A55" s="228"/>
      <c r="B55" s="228"/>
      <c r="C55" s="228" t="s">
        <v>1642</v>
      </c>
      <c r="D55" s="230" t="s">
        <v>1643</v>
      </c>
      <c r="E55" s="212">
        <f t="shared" si="10"/>
        <v>143</v>
      </c>
      <c r="F55" s="227">
        <f>F54+G54</f>
        <v>1136</v>
      </c>
      <c r="G55" s="213">
        <v>8</v>
      </c>
      <c r="H55" s="213">
        <v>1</v>
      </c>
      <c r="I55" s="213">
        <v>0</v>
      </c>
      <c r="J55" s="213">
        <v>0</v>
      </c>
      <c r="K55" s="213">
        <f t="shared" ref="K55" si="15">(POWER(2,G55)-1)*H55+I55</f>
        <v>255</v>
      </c>
      <c r="L55" s="213">
        <v>0</v>
      </c>
      <c r="M55" s="229" t="s">
        <v>85</v>
      </c>
      <c r="N55" s="290">
        <v>0</v>
      </c>
      <c r="O55" s="219"/>
      <c r="P55" s="291"/>
      <c r="Q55" s="291"/>
      <c r="R55" s="228"/>
      <c r="S55" s="230" t="s">
        <v>352</v>
      </c>
      <c r="T55" s="232" t="s">
        <v>632</v>
      </c>
      <c r="U55" s="232" t="s">
        <v>352</v>
      </c>
      <c r="V55" s="232" t="s">
        <v>352</v>
      </c>
      <c r="W55" s="233"/>
      <c r="X55" s="233"/>
      <c r="Y55" s="230" t="s">
        <v>1643</v>
      </c>
      <c r="Z55" s="233"/>
      <c r="AA55" s="233"/>
    </row>
    <row r="56" spans="1:27" ht="24.75" outlineLevel="1" x14ac:dyDescent="0.35">
      <c r="A56" s="40"/>
      <c r="B56" s="40"/>
      <c r="C56" s="40" t="s">
        <v>891</v>
      </c>
      <c r="D56" s="40" t="s">
        <v>1352</v>
      </c>
      <c r="E56" s="42" t="str">
        <f t="shared" ref="E56:E81" si="16">IF(INT((F56 + G56-1) / 8) + 1 = INT(F56 / 8) + 1, INT(F56 / 8) + 1, INT(F56 / 8) + 1 &amp; "-" &amp; INT((F56 + G56 - 1) / 8) + 1)</f>
        <v>144-145</v>
      </c>
      <c r="F56" s="43">
        <f t="shared" si="2"/>
        <v>1144</v>
      </c>
      <c r="G56" s="44">
        <v>16</v>
      </c>
      <c r="H56" s="44">
        <v>0.1</v>
      </c>
      <c r="I56" s="44">
        <v>-40</v>
      </c>
      <c r="J56" s="41">
        <v>-40</v>
      </c>
      <c r="K56" s="213">
        <v>125.1</v>
      </c>
      <c r="L56" s="44">
        <v>0</v>
      </c>
      <c r="M56" s="41" t="s">
        <v>113</v>
      </c>
      <c r="N56" s="44">
        <f t="shared" si="3"/>
        <v>5</v>
      </c>
      <c r="O56" s="49"/>
      <c r="P56" s="322" t="s">
        <v>1955</v>
      </c>
      <c r="Q56" s="162" t="s">
        <v>1098</v>
      </c>
      <c r="R56" s="40"/>
      <c r="S56" s="40" t="s">
        <v>686</v>
      </c>
      <c r="T56" s="47" t="s">
        <v>352</v>
      </c>
      <c r="U56" s="47" t="s">
        <v>829</v>
      </c>
      <c r="V56" s="47" t="s">
        <v>352</v>
      </c>
      <c r="W56" s="48"/>
      <c r="X56" s="48"/>
      <c r="Y56" s="40" t="s">
        <v>1352</v>
      </c>
      <c r="Z56" s="48"/>
      <c r="AA56" s="48"/>
    </row>
    <row r="57" spans="1:27" ht="409.5" customHeight="1" outlineLevel="1" x14ac:dyDescent="0.35">
      <c r="A57" s="40"/>
      <c r="B57" s="40"/>
      <c r="C57" s="40" t="s">
        <v>1706</v>
      </c>
      <c r="D57" s="46" t="s">
        <v>1707</v>
      </c>
      <c r="E57" s="42">
        <f t="shared" ref="E57" si="17">IF(INT((F57 + G57-1) / 8) + 1 = INT(F57 / 8) + 1, INT(F57 / 8) + 1, INT(F57 / 8) + 1 &amp; "-" &amp; INT((F57 + G57 - 1) / 8) + 1)</f>
        <v>146</v>
      </c>
      <c r="F57" s="43">
        <f>F56+G56</f>
        <v>1160</v>
      </c>
      <c r="G57" s="44">
        <v>8</v>
      </c>
      <c r="H57" s="44">
        <v>1</v>
      </c>
      <c r="I57" s="44">
        <v>0</v>
      </c>
      <c r="J57" s="44">
        <v>0</v>
      </c>
      <c r="K57" s="44">
        <f t="shared" ref="K57" si="18">(POWER(2,G57)-1)*H57+I57</f>
        <v>255</v>
      </c>
      <c r="L57" s="44">
        <v>0</v>
      </c>
      <c r="M57" s="41" t="s">
        <v>932</v>
      </c>
      <c r="N57" s="293">
        <f>LEN(K57)</f>
        <v>3</v>
      </c>
      <c r="O57" s="40" t="s">
        <v>1709</v>
      </c>
      <c r="P57" s="321" t="s">
        <v>1956</v>
      </c>
      <c r="Q57" s="162"/>
      <c r="R57" s="40"/>
      <c r="S57" s="46" t="s">
        <v>1710</v>
      </c>
      <c r="T57" s="47" t="s">
        <v>632</v>
      </c>
      <c r="U57" s="47" t="s">
        <v>352</v>
      </c>
      <c r="V57" s="47" t="s">
        <v>352</v>
      </c>
      <c r="W57" s="48"/>
      <c r="X57" s="48"/>
      <c r="Y57" s="46" t="s">
        <v>1707</v>
      </c>
      <c r="Z57" s="48"/>
      <c r="AA57" s="48"/>
    </row>
    <row r="58" spans="1:27" ht="24.75" outlineLevel="1" x14ac:dyDescent="0.35">
      <c r="A58" s="40"/>
      <c r="B58" s="40"/>
      <c r="C58" s="40" t="s">
        <v>892</v>
      </c>
      <c r="D58" s="40" t="s">
        <v>1353</v>
      </c>
      <c r="E58" s="42" t="str">
        <f t="shared" si="16"/>
        <v>147-148</v>
      </c>
      <c r="F58" s="43">
        <f t="shared" si="2"/>
        <v>1168</v>
      </c>
      <c r="G58" s="44">
        <v>16</v>
      </c>
      <c r="H58" s="44">
        <v>0.1</v>
      </c>
      <c r="I58" s="44">
        <v>-40</v>
      </c>
      <c r="J58" s="41">
        <v>-40</v>
      </c>
      <c r="K58" s="213">
        <v>125.1</v>
      </c>
      <c r="L58" s="44">
        <v>0</v>
      </c>
      <c r="M58" s="41" t="s">
        <v>113</v>
      </c>
      <c r="N58" s="44">
        <f t="shared" si="3"/>
        <v>5</v>
      </c>
      <c r="O58" s="49"/>
      <c r="P58" s="322" t="s">
        <v>1957</v>
      </c>
      <c r="Q58" s="162" t="s">
        <v>1098</v>
      </c>
      <c r="R58" s="40"/>
      <c r="S58" s="40" t="s">
        <v>687</v>
      </c>
      <c r="T58" s="47" t="s">
        <v>352</v>
      </c>
      <c r="U58" s="47" t="s">
        <v>830</v>
      </c>
      <c r="V58" s="47" t="s">
        <v>352</v>
      </c>
      <c r="W58" s="48"/>
      <c r="X58" s="48"/>
      <c r="Y58" s="40" t="s">
        <v>1353</v>
      </c>
      <c r="Z58" s="48"/>
      <c r="AA58" s="48"/>
    </row>
    <row r="59" spans="1:27" ht="24.75" outlineLevel="1" x14ac:dyDescent="0.35">
      <c r="A59" s="40"/>
      <c r="B59" s="40"/>
      <c r="C59" s="46" t="s">
        <v>825</v>
      </c>
      <c r="D59" s="46" t="s">
        <v>1454</v>
      </c>
      <c r="E59" s="42" t="str">
        <f t="shared" si="16"/>
        <v>149-150</v>
      </c>
      <c r="F59" s="43">
        <f t="shared" si="2"/>
        <v>1184</v>
      </c>
      <c r="G59" s="44">
        <v>16</v>
      </c>
      <c r="H59" s="44">
        <v>0.1</v>
      </c>
      <c r="I59" s="44">
        <v>-40</v>
      </c>
      <c r="J59" s="44">
        <v>-40</v>
      </c>
      <c r="K59" s="213">
        <v>125.1</v>
      </c>
      <c r="L59" s="41">
        <v>0</v>
      </c>
      <c r="M59" s="41" t="s">
        <v>113</v>
      </c>
      <c r="N59" s="44">
        <f t="shared" si="3"/>
        <v>5</v>
      </c>
      <c r="O59" s="40"/>
      <c r="P59" s="321" t="s">
        <v>1958</v>
      </c>
      <c r="Q59" s="162" t="s">
        <v>1098</v>
      </c>
      <c r="R59" s="40"/>
      <c r="S59" s="40" t="s">
        <v>688</v>
      </c>
      <c r="T59" s="47" t="s">
        <v>632</v>
      </c>
      <c r="U59" s="47" t="s">
        <v>1565</v>
      </c>
      <c r="V59" s="47" t="s">
        <v>352</v>
      </c>
      <c r="W59" s="48"/>
      <c r="X59" s="48"/>
      <c r="Y59" s="46" t="s">
        <v>1454</v>
      </c>
      <c r="Z59" s="48"/>
      <c r="AA59" s="48"/>
    </row>
    <row r="60" spans="1:27" ht="24.75" outlineLevel="1" x14ac:dyDescent="0.35">
      <c r="A60" s="40"/>
      <c r="B60" s="40"/>
      <c r="C60" s="46" t="s">
        <v>158</v>
      </c>
      <c r="D60" s="46" t="s">
        <v>1275</v>
      </c>
      <c r="E60" s="42">
        <f t="shared" si="16"/>
        <v>151</v>
      </c>
      <c r="F60" s="43">
        <f t="shared" si="2"/>
        <v>1200</v>
      </c>
      <c r="G60" s="41">
        <v>8</v>
      </c>
      <c r="H60" s="41">
        <v>1</v>
      </c>
      <c r="I60" s="41">
        <v>0</v>
      </c>
      <c r="J60" s="41">
        <v>0</v>
      </c>
      <c r="K60" s="41">
        <f t="shared" ref="K60:K81" si="19">(POWER(2,G60)-1)*H60+I60</f>
        <v>255</v>
      </c>
      <c r="L60" s="41">
        <v>0</v>
      </c>
      <c r="M60" s="41" t="s">
        <v>352</v>
      </c>
      <c r="N60" s="44">
        <f t="shared" si="3"/>
        <v>3</v>
      </c>
      <c r="O60" s="40"/>
      <c r="P60" s="321" t="s">
        <v>1959</v>
      </c>
      <c r="Q60" s="162" t="s">
        <v>1098</v>
      </c>
      <c r="R60" s="40"/>
      <c r="S60" s="40" t="s">
        <v>1662</v>
      </c>
      <c r="T60" s="47" t="s">
        <v>632</v>
      </c>
      <c r="U60" s="47"/>
      <c r="V60" s="47" t="s">
        <v>352</v>
      </c>
      <c r="W60" s="48"/>
      <c r="X60" s="48"/>
      <c r="Y60" s="46" t="s">
        <v>1275</v>
      </c>
      <c r="Z60" s="48"/>
      <c r="AA60" s="48"/>
    </row>
    <row r="61" spans="1:27" ht="24.75" outlineLevel="1" x14ac:dyDescent="0.35">
      <c r="A61" s="40"/>
      <c r="B61" s="40"/>
      <c r="C61" s="46" t="s">
        <v>893</v>
      </c>
      <c r="D61" s="46" t="s">
        <v>1455</v>
      </c>
      <c r="E61" s="42" t="str">
        <f t="shared" si="16"/>
        <v>152-153</v>
      </c>
      <c r="F61" s="43">
        <f t="shared" si="2"/>
        <v>1208</v>
      </c>
      <c r="G61" s="44">
        <v>16</v>
      </c>
      <c r="H61" s="44">
        <v>0.1</v>
      </c>
      <c r="I61" s="44">
        <v>-40</v>
      </c>
      <c r="J61" s="44">
        <v>-40</v>
      </c>
      <c r="K61" s="44">
        <v>125.1</v>
      </c>
      <c r="L61" s="41">
        <v>0</v>
      </c>
      <c r="M61" s="41" t="s">
        <v>113</v>
      </c>
      <c r="N61" s="44">
        <f t="shared" si="3"/>
        <v>5</v>
      </c>
      <c r="O61" s="40"/>
      <c r="P61" s="321" t="s">
        <v>1960</v>
      </c>
      <c r="Q61" s="162" t="s">
        <v>1098</v>
      </c>
      <c r="R61" s="40"/>
      <c r="S61" s="40" t="s">
        <v>689</v>
      </c>
      <c r="T61" s="47" t="s">
        <v>632</v>
      </c>
      <c r="U61" s="47" t="s">
        <v>1566</v>
      </c>
      <c r="V61" s="47" t="s">
        <v>352</v>
      </c>
      <c r="W61" s="48"/>
      <c r="X61" s="48"/>
      <c r="Y61" s="46" t="s">
        <v>1455</v>
      </c>
      <c r="Z61" s="48"/>
      <c r="AA61" s="48"/>
    </row>
    <row r="62" spans="1:27" ht="24.75" outlineLevel="1" x14ac:dyDescent="0.35">
      <c r="A62" s="40"/>
      <c r="B62" s="40"/>
      <c r="C62" s="46" t="s">
        <v>159</v>
      </c>
      <c r="D62" s="46" t="s">
        <v>1276</v>
      </c>
      <c r="E62" s="42">
        <f t="shared" si="16"/>
        <v>154</v>
      </c>
      <c r="F62" s="43">
        <f t="shared" si="2"/>
        <v>1224</v>
      </c>
      <c r="G62" s="41">
        <v>8</v>
      </c>
      <c r="H62" s="41">
        <v>1</v>
      </c>
      <c r="I62" s="41">
        <v>0</v>
      </c>
      <c r="J62" s="41">
        <v>0</v>
      </c>
      <c r="K62" s="41">
        <f t="shared" si="19"/>
        <v>255</v>
      </c>
      <c r="L62" s="41">
        <v>0</v>
      </c>
      <c r="M62" s="41" t="s">
        <v>352</v>
      </c>
      <c r="N62" s="44">
        <f t="shared" si="3"/>
        <v>3</v>
      </c>
      <c r="O62" s="40"/>
      <c r="P62" s="321" t="s">
        <v>1961</v>
      </c>
      <c r="Q62" s="162" t="s">
        <v>1098</v>
      </c>
      <c r="R62" s="40"/>
      <c r="S62" s="40" t="s">
        <v>1665</v>
      </c>
      <c r="T62" s="47" t="s">
        <v>632</v>
      </c>
      <c r="U62" s="47"/>
      <c r="V62" s="47" t="s">
        <v>352</v>
      </c>
      <c r="W62" s="48"/>
      <c r="X62" s="48"/>
      <c r="Y62" s="46" t="s">
        <v>1276</v>
      </c>
      <c r="Z62" s="48"/>
      <c r="AA62" s="48"/>
    </row>
    <row r="63" spans="1:27" ht="24.75" outlineLevel="1" x14ac:dyDescent="0.35">
      <c r="A63" s="40"/>
      <c r="B63" s="40"/>
      <c r="C63" s="46" t="s">
        <v>160</v>
      </c>
      <c r="D63" s="46" t="s">
        <v>1837</v>
      </c>
      <c r="E63" s="42">
        <f t="shared" si="16"/>
        <v>155</v>
      </c>
      <c r="F63" s="43">
        <f t="shared" si="2"/>
        <v>1232</v>
      </c>
      <c r="G63" s="41">
        <v>8</v>
      </c>
      <c r="H63" s="41">
        <v>1</v>
      </c>
      <c r="I63" s="41">
        <v>0</v>
      </c>
      <c r="J63" s="41">
        <v>0</v>
      </c>
      <c r="K63" s="41">
        <f t="shared" si="19"/>
        <v>255</v>
      </c>
      <c r="L63" s="41">
        <v>0</v>
      </c>
      <c r="M63" s="41" t="s">
        <v>352</v>
      </c>
      <c r="N63" s="44">
        <f t="shared" si="3"/>
        <v>3</v>
      </c>
      <c r="O63" s="40"/>
      <c r="P63" s="321" t="s">
        <v>1962</v>
      </c>
      <c r="Q63" s="41"/>
      <c r="R63" s="40"/>
      <c r="S63" s="40" t="s">
        <v>1664</v>
      </c>
      <c r="T63" s="47" t="s">
        <v>632</v>
      </c>
      <c r="U63" s="47" t="s">
        <v>1869</v>
      </c>
      <c r="V63" s="47" t="s">
        <v>352</v>
      </c>
      <c r="W63" s="48"/>
      <c r="X63" s="48"/>
      <c r="Y63" s="46" t="s">
        <v>1837</v>
      </c>
      <c r="Z63" s="48"/>
      <c r="AA63" s="48"/>
    </row>
    <row r="64" spans="1:27" ht="24.75" outlineLevel="1" x14ac:dyDescent="0.35">
      <c r="A64" s="40"/>
      <c r="B64" s="40"/>
      <c r="C64" s="46" t="s">
        <v>161</v>
      </c>
      <c r="D64" s="46" t="s">
        <v>1839</v>
      </c>
      <c r="E64" s="42">
        <f t="shared" si="16"/>
        <v>156</v>
      </c>
      <c r="F64" s="43">
        <f t="shared" si="2"/>
        <v>1240</v>
      </c>
      <c r="G64" s="41">
        <v>8</v>
      </c>
      <c r="H64" s="41">
        <v>1</v>
      </c>
      <c r="I64" s="41">
        <v>0</v>
      </c>
      <c r="J64" s="41">
        <v>0</v>
      </c>
      <c r="K64" s="41">
        <f>(POWER(2,G64)-1)*H64+I64</f>
        <v>255</v>
      </c>
      <c r="L64" s="41">
        <v>0</v>
      </c>
      <c r="M64" s="41" t="s">
        <v>352</v>
      </c>
      <c r="N64" s="44">
        <f t="shared" si="3"/>
        <v>3</v>
      </c>
      <c r="O64" s="40"/>
      <c r="P64" s="321" t="s">
        <v>1963</v>
      </c>
      <c r="Q64" s="41"/>
      <c r="R64" s="40"/>
      <c r="S64" s="40" t="s">
        <v>1663</v>
      </c>
      <c r="T64" s="47" t="s">
        <v>632</v>
      </c>
      <c r="U64" s="47" t="s">
        <v>1870</v>
      </c>
      <c r="V64" s="47" t="s">
        <v>352</v>
      </c>
      <c r="W64" s="48"/>
      <c r="X64" s="48"/>
      <c r="Y64" s="46" t="s">
        <v>1839</v>
      </c>
      <c r="Z64" s="48"/>
      <c r="AA64" s="48"/>
    </row>
    <row r="65" spans="1:27" ht="24.75" outlineLevel="1" x14ac:dyDescent="0.35">
      <c r="A65" s="40"/>
      <c r="B65" s="40"/>
      <c r="C65" s="46" t="s">
        <v>894</v>
      </c>
      <c r="D65" s="46" t="s">
        <v>1456</v>
      </c>
      <c r="E65" s="42" t="str">
        <f t="shared" si="16"/>
        <v>157-158</v>
      </c>
      <c r="F65" s="43">
        <f t="shared" si="2"/>
        <v>1248</v>
      </c>
      <c r="G65" s="44">
        <v>16</v>
      </c>
      <c r="H65" s="44">
        <v>0.1</v>
      </c>
      <c r="I65" s="44">
        <v>-40</v>
      </c>
      <c r="J65" s="44">
        <v>-40</v>
      </c>
      <c r="K65" s="44">
        <v>125.1</v>
      </c>
      <c r="L65" s="41">
        <v>0</v>
      </c>
      <c r="M65" s="41" t="s">
        <v>113</v>
      </c>
      <c r="N65" s="44">
        <f t="shared" si="3"/>
        <v>5</v>
      </c>
      <c r="O65" s="55"/>
      <c r="P65" s="321" t="s">
        <v>1964</v>
      </c>
      <c r="Q65" s="385" t="s">
        <v>1098</v>
      </c>
      <c r="R65" s="40"/>
      <c r="S65" s="40" t="s">
        <v>690</v>
      </c>
      <c r="T65" s="47" t="s">
        <v>632</v>
      </c>
      <c r="U65" s="47" t="s">
        <v>352</v>
      </c>
      <c r="V65" s="47" t="s">
        <v>352</v>
      </c>
      <c r="W65" s="48"/>
      <c r="X65" s="48"/>
      <c r="Y65" s="46" t="s">
        <v>1456</v>
      </c>
      <c r="Z65" s="48"/>
      <c r="AA65" s="48"/>
    </row>
    <row r="66" spans="1:27" ht="39.5" customHeight="1" outlineLevel="1" x14ac:dyDescent="0.35">
      <c r="A66" s="40"/>
      <c r="B66" s="40"/>
      <c r="C66" s="40" t="s">
        <v>1696</v>
      </c>
      <c r="D66" s="46" t="s">
        <v>1697</v>
      </c>
      <c r="E66" s="42">
        <f t="shared" si="16"/>
        <v>159</v>
      </c>
      <c r="F66" s="43">
        <f>F65+G65</f>
        <v>1264</v>
      </c>
      <c r="G66" s="44">
        <v>8</v>
      </c>
      <c r="H66" s="44">
        <v>1</v>
      </c>
      <c r="I66" s="44">
        <v>0</v>
      </c>
      <c r="J66" s="44">
        <v>0</v>
      </c>
      <c r="K66" s="44">
        <f t="shared" ref="K66" si="20">(POWER(2,G66)-1)*H66+I66</f>
        <v>255</v>
      </c>
      <c r="L66" s="44">
        <v>0</v>
      </c>
      <c r="M66" s="41" t="s">
        <v>932</v>
      </c>
      <c r="N66" s="293">
        <f>LEN(K66)</f>
        <v>3</v>
      </c>
      <c r="O66" s="268" t="s">
        <v>1699</v>
      </c>
      <c r="P66" s="321" t="s">
        <v>1965</v>
      </c>
      <c r="Q66" s="69" t="s">
        <v>1098</v>
      </c>
      <c r="R66" s="345"/>
      <c r="S66" s="46" t="s">
        <v>1698</v>
      </c>
      <c r="T66" s="47" t="s">
        <v>632</v>
      </c>
      <c r="U66" s="47" t="s">
        <v>352</v>
      </c>
      <c r="V66" s="47" t="s">
        <v>352</v>
      </c>
      <c r="W66" s="48"/>
      <c r="X66" s="48"/>
      <c r="Y66" s="46" t="s">
        <v>1697</v>
      </c>
      <c r="Z66" s="48"/>
      <c r="AA66" s="48"/>
    </row>
    <row r="67" spans="1:27" ht="24.75" outlineLevel="1" x14ac:dyDescent="0.35">
      <c r="A67" s="40"/>
      <c r="B67" s="40"/>
      <c r="C67" s="40" t="s">
        <v>1240</v>
      </c>
      <c r="D67" s="40" t="s">
        <v>1440</v>
      </c>
      <c r="E67" s="42" t="str">
        <f t="shared" si="16"/>
        <v>160-161</v>
      </c>
      <c r="F67" s="43">
        <f t="shared" si="2"/>
        <v>1272</v>
      </c>
      <c r="G67" s="44">
        <v>16</v>
      </c>
      <c r="H67" s="44">
        <v>1</v>
      </c>
      <c r="I67" s="44">
        <v>0</v>
      </c>
      <c r="J67" s="41">
        <v>0</v>
      </c>
      <c r="K67" s="41">
        <f t="shared" si="19"/>
        <v>65535</v>
      </c>
      <c r="L67" s="44">
        <v>0</v>
      </c>
      <c r="M67" s="41" t="s">
        <v>85</v>
      </c>
      <c r="N67" s="44">
        <f t="shared" si="3"/>
        <v>5</v>
      </c>
      <c r="P67" s="321" t="s">
        <v>1966</v>
      </c>
      <c r="Q67" s="69" t="s">
        <v>1098</v>
      </c>
      <c r="R67" s="345" t="s">
        <v>162</v>
      </c>
      <c r="S67" s="40" t="s">
        <v>550</v>
      </c>
      <c r="T67" s="47" t="s">
        <v>1239</v>
      </c>
      <c r="U67" s="47" t="s">
        <v>1238</v>
      </c>
      <c r="V67" s="47" t="s">
        <v>352</v>
      </c>
      <c r="W67" s="48"/>
      <c r="X67" s="48"/>
      <c r="Y67" s="40" t="s">
        <v>2131</v>
      </c>
      <c r="Z67" s="48"/>
      <c r="AA67" s="48"/>
    </row>
    <row r="68" spans="1:27" ht="24.75" outlineLevel="1" x14ac:dyDescent="0.35">
      <c r="A68" s="48"/>
      <c r="B68" s="48"/>
      <c r="C68" s="40" t="s">
        <v>163</v>
      </c>
      <c r="D68" s="40" t="s">
        <v>1801</v>
      </c>
      <c r="E68" s="42" t="str">
        <f t="shared" si="16"/>
        <v>162-163</v>
      </c>
      <c r="F68" s="43">
        <f t="shared" si="2"/>
        <v>1288</v>
      </c>
      <c r="G68" s="44">
        <v>16</v>
      </c>
      <c r="H68" s="44">
        <v>1</v>
      </c>
      <c r="I68" s="44">
        <v>0</v>
      </c>
      <c r="J68" s="44">
        <v>0</v>
      </c>
      <c r="K68" s="44">
        <f t="shared" si="19"/>
        <v>65535</v>
      </c>
      <c r="L68" s="44">
        <v>0</v>
      </c>
      <c r="M68" s="41" t="s">
        <v>164</v>
      </c>
      <c r="N68" s="44">
        <f t="shared" si="3"/>
        <v>5</v>
      </c>
      <c r="O68" s="40"/>
      <c r="P68" s="321" t="s">
        <v>1967</v>
      </c>
      <c r="Q68" s="386" t="s">
        <v>1098</v>
      </c>
      <c r="R68" s="48"/>
      <c r="S68" s="40" t="s">
        <v>551</v>
      </c>
      <c r="T68" s="47" t="s">
        <v>632</v>
      </c>
      <c r="U68" s="47" t="s">
        <v>1590</v>
      </c>
      <c r="V68" s="47" t="s">
        <v>352</v>
      </c>
      <c r="W68" s="48"/>
      <c r="X68" s="48"/>
      <c r="Y68" s="40" t="s">
        <v>1801</v>
      </c>
      <c r="Z68" s="48"/>
      <c r="AA68" s="48"/>
    </row>
    <row r="69" spans="1:27" ht="24.75" outlineLevel="1" x14ac:dyDescent="0.35">
      <c r="A69" s="48"/>
      <c r="B69" s="48"/>
      <c r="C69" s="40" t="s">
        <v>165</v>
      </c>
      <c r="D69" s="40" t="s">
        <v>1800</v>
      </c>
      <c r="E69" s="42" t="str">
        <f t="shared" si="16"/>
        <v>164-165</v>
      </c>
      <c r="F69" s="43">
        <f t="shared" si="2"/>
        <v>1304</v>
      </c>
      <c r="G69" s="44">
        <v>16</v>
      </c>
      <c r="H69" s="44">
        <v>1</v>
      </c>
      <c r="I69" s="44">
        <v>0</v>
      </c>
      <c r="J69" s="44">
        <v>0</v>
      </c>
      <c r="K69" s="44">
        <f t="shared" si="19"/>
        <v>65535</v>
      </c>
      <c r="L69" s="44">
        <v>0</v>
      </c>
      <c r="M69" s="41" t="s">
        <v>164</v>
      </c>
      <c r="N69" s="44">
        <f t="shared" si="3"/>
        <v>5</v>
      </c>
      <c r="O69" s="40"/>
      <c r="P69" s="321" t="s">
        <v>1968</v>
      </c>
      <c r="Q69" s="162" t="s">
        <v>1098</v>
      </c>
      <c r="R69" s="48"/>
      <c r="S69" s="40" t="s">
        <v>552</v>
      </c>
      <c r="T69" s="47" t="s">
        <v>632</v>
      </c>
      <c r="U69" s="47" t="s">
        <v>553</v>
      </c>
      <c r="V69" s="47" t="s">
        <v>352</v>
      </c>
      <c r="W69" s="48"/>
      <c r="X69" s="48"/>
      <c r="Y69" s="40" t="s">
        <v>1800</v>
      </c>
      <c r="Z69" s="48"/>
      <c r="AA69" s="48"/>
    </row>
    <row r="70" spans="1:27" ht="24.75" outlineLevel="1" x14ac:dyDescent="0.35">
      <c r="A70" s="48"/>
      <c r="B70" s="48"/>
      <c r="C70" s="40" t="s">
        <v>166</v>
      </c>
      <c r="D70" s="40" t="s">
        <v>1788</v>
      </c>
      <c r="E70" s="42" t="str">
        <f t="shared" si="16"/>
        <v>166-167</v>
      </c>
      <c r="F70" s="43">
        <f t="shared" si="2"/>
        <v>1320</v>
      </c>
      <c r="G70" s="44">
        <v>16</v>
      </c>
      <c r="H70" s="44">
        <v>1</v>
      </c>
      <c r="I70" s="44">
        <v>0</v>
      </c>
      <c r="J70" s="44">
        <v>0</v>
      </c>
      <c r="K70" s="44">
        <f t="shared" si="19"/>
        <v>65535</v>
      </c>
      <c r="L70" s="44">
        <v>0</v>
      </c>
      <c r="M70" s="41" t="s">
        <v>164</v>
      </c>
      <c r="N70" s="44">
        <f t="shared" si="3"/>
        <v>5</v>
      </c>
      <c r="O70" s="48"/>
      <c r="P70" s="322" t="s">
        <v>1969</v>
      </c>
      <c r="Q70" s="42"/>
      <c r="R70" s="48"/>
      <c r="S70" s="40" t="s">
        <v>554</v>
      </c>
      <c r="T70" s="47" t="s">
        <v>632</v>
      </c>
      <c r="U70" s="47" t="s">
        <v>555</v>
      </c>
      <c r="V70" s="47" t="s">
        <v>352</v>
      </c>
      <c r="W70" s="48"/>
      <c r="X70" s="48"/>
      <c r="Y70" s="40" t="s">
        <v>2132</v>
      </c>
      <c r="Z70" s="48"/>
      <c r="AA70" s="48"/>
    </row>
    <row r="71" spans="1:27" ht="24.75" outlineLevel="1" x14ac:dyDescent="0.35">
      <c r="A71" s="48"/>
      <c r="B71" s="48"/>
      <c r="C71" s="40" t="s">
        <v>167</v>
      </c>
      <c r="D71" s="40" t="s">
        <v>1789</v>
      </c>
      <c r="E71" s="42" t="str">
        <f t="shared" si="16"/>
        <v>168-169</v>
      </c>
      <c r="F71" s="43">
        <f t="shared" si="2"/>
        <v>1336</v>
      </c>
      <c r="G71" s="44">
        <v>16</v>
      </c>
      <c r="H71" s="44">
        <v>1</v>
      </c>
      <c r="I71" s="44">
        <v>0</v>
      </c>
      <c r="J71" s="44">
        <v>0</v>
      </c>
      <c r="K71" s="44">
        <f t="shared" si="19"/>
        <v>65535</v>
      </c>
      <c r="L71" s="44">
        <v>0</v>
      </c>
      <c r="M71" s="41" t="s">
        <v>164</v>
      </c>
      <c r="N71" s="44">
        <f t="shared" si="3"/>
        <v>5</v>
      </c>
      <c r="O71" s="40"/>
      <c r="P71" s="322" t="s">
        <v>1970</v>
      </c>
      <c r="Q71" s="41"/>
      <c r="R71" s="48"/>
      <c r="S71" s="40" t="s">
        <v>556</v>
      </c>
      <c r="T71" s="47" t="s">
        <v>632</v>
      </c>
      <c r="U71" s="47" t="s">
        <v>557</v>
      </c>
      <c r="V71" s="47" t="s">
        <v>352</v>
      </c>
      <c r="W71" s="48"/>
      <c r="X71" s="48"/>
      <c r="Y71" s="40" t="s">
        <v>2133</v>
      </c>
      <c r="Z71" s="48"/>
      <c r="AA71" s="48"/>
    </row>
    <row r="72" spans="1:27" ht="24.75" outlineLevel="1" x14ac:dyDescent="0.35">
      <c r="A72" s="48"/>
      <c r="B72" s="48"/>
      <c r="C72" s="40" t="s">
        <v>168</v>
      </c>
      <c r="D72" s="40" t="s">
        <v>1804</v>
      </c>
      <c r="E72" s="42" t="str">
        <f t="shared" si="16"/>
        <v>170-171</v>
      </c>
      <c r="F72" s="43">
        <f t="shared" si="2"/>
        <v>1352</v>
      </c>
      <c r="G72" s="44">
        <v>16</v>
      </c>
      <c r="H72" s="44">
        <v>1</v>
      </c>
      <c r="I72" s="44">
        <v>0</v>
      </c>
      <c r="J72" s="44">
        <v>0</v>
      </c>
      <c r="K72" s="44">
        <f t="shared" si="19"/>
        <v>65535</v>
      </c>
      <c r="L72" s="44">
        <v>0</v>
      </c>
      <c r="M72" s="41" t="s">
        <v>85</v>
      </c>
      <c r="N72" s="44">
        <f t="shared" si="3"/>
        <v>5</v>
      </c>
      <c r="O72" s="40"/>
      <c r="P72" s="321" t="s">
        <v>1971</v>
      </c>
      <c r="Q72" s="162" t="s">
        <v>1098</v>
      </c>
      <c r="R72" s="48"/>
      <c r="S72" s="40" t="s">
        <v>558</v>
      </c>
      <c r="T72" s="47" t="s">
        <v>632</v>
      </c>
      <c r="U72" s="47" t="s">
        <v>559</v>
      </c>
      <c r="V72" s="47" t="s">
        <v>352</v>
      </c>
      <c r="W72" s="48"/>
      <c r="X72" s="48"/>
      <c r="Y72" s="40" t="s">
        <v>1804</v>
      </c>
      <c r="Z72" s="48"/>
      <c r="AA72" s="48"/>
    </row>
    <row r="73" spans="1:27" ht="24.75" outlineLevel="1" x14ac:dyDescent="0.35">
      <c r="A73" s="48"/>
      <c r="B73" s="48"/>
      <c r="C73" s="40" t="s">
        <v>1851</v>
      </c>
      <c r="D73" s="40" t="s">
        <v>1853</v>
      </c>
      <c r="E73" s="42">
        <f t="shared" si="16"/>
        <v>172</v>
      </c>
      <c r="F73" s="43">
        <f t="shared" ref="F73:F122" si="21">F72+G72</f>
        <v>1368</v>
      </c>
      <c r="G73" s="44">
        <v>8</v>
      </c>
      <c r="H73" s="44">
        <v>1</v>
      </c>
      <c r="I73" s="44">
        <v>0</v>
      </c>
      <c r="J73" s="44">
        <v>0</v>
      </c>
      <c r="K73" s="44">
        <f t="shared" si="19"/>
        <v>255</v>
      </c>
      <c r="L73" s="44">
        <v>0</v>
      </c>
      <c r="M73" s="41" t="s">
        <v>85</v>
      </c>
      <c r="N73" s="44">
        <v>0</v>
      </c>
      <c r="O73" s="40"/>
      <c r="P73" s="321" t="s">
        <v>1972</v>
      </c>
      <c r="Q73" s="41"/>
      <c r="R73" s="48"/>
      <c r="S73" s="40" t="s">
        <v>1855</v>
      </c>
      <c r="T73" s="47" t="s">
        <v>632</v>
      </c>
      <c r="U73" s="47" t="s">
        <v>1867</v>
      </c>
      <c r="V73" s="47" t="s">
        <v>352</v>
      </c>
      <c r="W73" s="48"/>
      <c r="X73" s="48"/>
      <c r="Y73" s="40" t="s">
        <v>1853</v>
      </c>
      <c r="Z73" s="48"/>
      <c r="AA73" s="48"/>
    </row>
    <row r="74" spans="1:27" ht="24.75" outlineLevel="1" x14ac:dyDescent="0.35">
      <c r="A74" s="48"/>
      <c r="B74" s="48"/>
      <c r="C74" s="40" t="s">
        <v>1852</v>
      </c>
      <c r="D74" s="40" t="s">
        <v>1854</v>
      </c>
      <c r="E74" s="42">
        <f t="shared" si="16"/>
        <v>173</v>
      </c>
      <c r="F74" s="43">
        <f t="shared" si="21"/>
        <v>1376</v>
      </c>
      <c r="G74" s="44">
        <v>8</v>
      </c>
      <c r="H74" s="44">
        <v>1</v>
      </c>
      <c r="I74" s="44">
        <v>0</v>
      </c>
      <c r="J74" s="44">
        <v>0</v>
      </c>
      <c r="K74" s="44">
        <f t="shared" si="19"/>
        <v>255</v>
      </c>
      <c r="L74" s="44">
        <v>0</v>
      </c>
      <c r="M74" s="41" t="s">
        <v>85</v>
      </c>
      <c r="N74" s="44">
        <v>0</v>
      </c>
      <c r="O74" s="40"/>
      <c r="P74" s="321" t="s">
        <v>1973</v>
      </c>
      <c r="Q74" s="41"/>
      <c r="R74" s="48"/>
      <c r="S74" s="40" t="s">
        <v>1856</v>
      </c>
      <c r="T74" s="47" t="s">
        <v>632</v>
      </c>
      <c r="U74" s="47" t="s">
        <v>1868</v>
      </c>
      <c r="V74" s="47" t="s">
        <v>352</v>
      </c>
      <c r="W74" s="48"/>
      <c r="X74" s="48"/>
      <c r="Y74" s="40" t="s">
        <v>1854</v>
      </c>
      <c r="Z74" s="48"/>
      <c r="AA74" s="48"/>
    </row>
    <row r="75" spans="1:27" ht="24.75" outlineLevel="1" x14ac:dyDescent="0.35">
      <c r="A75" s="48"/>
      <c r="B75" s="48"/>
      <c r="C75" s="40" t="s">
        <v>169</v>
      </c>
      <c r="D75" s="40" t="s">
        <v>1858</v>
      </c>
      <c r="E75" s="42">
        <f t="shared" si="16"/>
        <v>174</v>
      </c>
      <c r="F75" s="43">
        <f t="shared" si="21"/>
        <v>1384</v>
      </c>
      <c r="G75" s="44">
        <v>8</v>
      </c>
      <c r="H75" s="44">
        <v>1</v>
      </c>
      <c r="I75" s="44">
        <v>-40</v>
      </c>
      <c r="J75" s="44">
        <v>-40</v>
      </c>
      <c r="K75" s="44">
        <f t="shared" si="19"/>
        <v>215</v>
      </c>
      <c r="L75" s="44">
        <v>0</v>
      </c>
      <c r="M75" s="41" t="s">
        <v>742</v>
      </c>
      <c r="N75" s="44">
        <f t="shared" ref="N75:N122" si="22">LEN(K75)</f>
        <v>3</v>
      </c>
      <c r="O75" s="40"/>
      <c r="P75" s="321" t="s">
        <v>1974</v>
      </c>
      <c r="Q75" s="44" t="s">
        <v>1098</v>
      </c>
      <c r="R75" s="48"/>
      <c r="S75" s="40" t="s">
        <v>1236</v>
      </c>
      <c r="T75" s="47" t="s">
        <v>632</v>
      </c>
      <c r="U75" s="47"/>
      <c r="V75" s="47" t="s">
        <v>352</v>
      </c>
      <c r="W75" s="48"/>
      <c r="X75" s="48"/>
      <c r="Y75" s="40" t="s">
        <v>1858</v>
      </c>
      <c r="Z75" s="48"/>
      <c r="AA75" s="48"/>
    </row>
    <row r="76" spans="1:27" ht="24.75" outlineLevel="1" x14ac:dyDescent="0.35">
      <c r="A76" s="48"/>
      <c r="B76" s="48"/>
      <c r="C76" s="40" t="s">
        <v>170</v>
      </c>
      <c r="D76" s="40" t="s">
        <v>2134</v>
      </c>
      <c r="E76" s="42">
        <f t="shared" si="16"/>
        <v>175</v>
      </c>
      <c r="F76" s="43">
        <f t="shared" si="21"/>
        <v>1392</v>
      </c>
      <c r="G76" s="44">
        <v>8</v>
      </c>
      <c r="H76" s="44">
        <v>1</v>
      </c>
      <c r="I76" s="44">
        <v>-40</v>
      </c>
      <c r="J76" s="44">
        <v>-40</v>
      </c>
      <c r="K76" s="44">
        <f t="shared" si="19"/>
        <v>215</v>
      </c>
      <c r="L76" s="44">
        <v>0</v>
      </c>
      <c r="M76" s="41" t="s">
        <v>113</v>
      </c>
      <c r="N76" s="44">
        <f t="shared" si="22"/>
        <v>3</v>
      </c>
      <c r="O76" s="40"/>
      <c r="P76" s="321" t="s">
        <v>1975</v>
      </c>
      <c r="Q76" s="41"/>
      <c r="R76" s="48"/>
      <c r="S76" s="40" t="s">
        <v>560</v>
      </c>
      <c r="T76" s="47" t="s">
        <v>632</v>
      </c>
      <c r="U76" s="47"/>
      <c r="V76" s="47" t="s">
        <v>352</v>
      </c>
      <c r="W76" s="48"/>
      <c r="X76" s="48"/>
      <c r="Y76" s="40" t="s">
        <v>2134</v>
      </c>
      <c r="Z76" s="48"/>
      <c r="AA76" s="48"/>
    </row>
    <row r="77" spans="1:27" ht="97.5" customHeight="1" outlineLevel="1" x14ac:dyDescent="0.35">
      <c r="A77" s="48"/>
      <c r="B77" s="48"/>
      <c r="C77" s="40" t="s">
        <v>1701</v>
      </c>
      <c r="D77" s="40" t="s">
        <v>1708</v>
      </c>
      <c r="E77" s="42" t="str">
        <f t="shared" si="16"/>
        <v>176-177</v>
      </c>
      <c r="F77" s="43">
        <f t="shared" si="21"/>
        <v>1400</v>
      </c>
      <c r="G77" s="44">
        <v>16</v>
      </c>
      <c r="H77" s="44">
        <v>1</v>
      </c>
      <c r="I77" s="44">
        <v>0</v>
      </c>
      <c r="J77" s="44">
        <v>0</v>
      </c>
      <c r="K77" s="44">
        <f t="shared" si="19"/>
        <v>65535</v>
      </c>
      <c r="L77" s="44">
        <v>0</v>
      </c>
      <c r="M77" s="41" t="s">
        <v>85</v>
      </c>
      <c r="N77" s="44">
        <f t="shared" si="22"/>
        <v>5</v>
      </c>
      <c r="O77" s="40" t="s">
        <v>1871</v>
      </c>
      <c r="P77" s="321" t="s">
        <v>1976</v>
      </c>
      <c r="Q77" s="41"/>
      <c r="R77" s="48"/>
      <c r="S77" s="40" t="s">
        <v>1105</v>
      </c>
      <c r="T77" s="47" t="s">
        <v>632</v>
      </c>
      <c r="U77" s="47" t="s">
        <v>888</v>
      </c>
      <c r="V77" s="47" t="s">
        <v>352</v>
      </c>
      <c r="W77" s="48"/>
      <c r="X77" s="48"/>
      <c r="Y77" s="40" t="s">
        <v>1708</v>
      </c>
      <c r="Z77" s="48"/>
      <c r="AA77" s="48"/>
    </row>
    <row r="78" spans="1:27" ht="371.55" customHeight="1" outlineLevel="1" x14ac:dyDescent="0.35">
      <c r="A78" s="48"/>
      <c r="B78" s="48"/>
      <c r="C78" s="40" t="s">
        <v>1582</v>
      </c>
      <c r="D78" s="40" t="s">
        <v>1247</v>
      </c>
      <c r="E78" s="42" t="str">
        <f t="shared" si="16"/>
        <v>178-179</v>
      </c>
      <c r="F78" s="43">
        <f t="shared" si="21"/>
        <v>1416</v>
      </c>
      <c r="G78" s="44">
        <v>16</v>
      </c>
      <c r="H78" s="44">
        <v>1</v>
      </c>
      <c r="I78" s="44">
        <v>0</v>
      </c>
      <c r="J78" s="44">
        <v>0</v>
      </c>
      <c r="K78" s="44">
        <f t="shared" si="19"/>
        <v>65535</v>
      </c>
      <c r="L78" s="44">
        <v>0</v>
      </c>
      <c r="M78" s="41" t="s">
        <v>85</v>
      </c>
      <c r="N78" s="44">
        <f t="shared" si="22"/>
        <v>5</v>
      </c>
      <c r="O78" s="51" t="s">
        <v>1740</v>
      </c>
      <c r="P78" s="321" t="s">
        <v>1977</v>
      </c>
      <c r="Q78" s="44" t="s">
        <v>1098</v>
      </c>
      <c r="R78" s="48"/>
      <c r="S78" s="40" t="s">
        <v>1747</v>
      </c>
      <c r="T78" s="47" t="s">
        <v>632</v>
      </c>
      <c r="U78" s="47" t="s">
        <v>889</v>
      </c>
      <c r="V78" s="47" t="s">
        <v>352</v>
      </c>
      <c r="W78" s="48"/>
      <c r="X78" s="48"/>
      <c r="Y78" s="40" t="s">
        <v>2135</v>
      </c>
      <c r="Z78" s="48"/>
      <c r="AA78" s="48"/>
    </row>
    <row r="79" spans="1:27" ht="24.75" outlineLevel="1" x14ac:dyDescent="0.35">
      <c r="A79" s="48"/>
      <c r="B79" s="48"/>
      <c r="C79" s="40" t="s">
        <v>171</v>
      </c>
      <c r="D79" s="40" t="s">
        <v>1278</v>
      </c>
      <c r="E79" s="42" t="str">
        <f t="shared" si="16"/>
        <v>180-181</v>
      </c>
      <c r="F79" s="43">
        <f t="shared" si="21"/>
        <v>1432</v>
      </c>
      <c r="G79" s="44">
        <v>16</v>
      </c>
      <c r="H79" s="44">
        <v>1</v>
      </c>
      <c r="I79" s="44">
        <v>0</v>
      </c>
      <c r="J79" s="44">
        <v>0</v>
      </c>
      <c r="K79" s="44">
        <f t="shared" si="19"/>
        <v>65535</v>
      </c>
      <c r="L79" s="44">
        <v>0</v>
      </c>
      <c r="M79" s="41" t="s">
        <v>107</v>
      </c>
      <c r="N79" s="44">
        <f t="shared" si="22"/>
        <v>5</v>
      </c>
      <c r="O79" s="40"/>
      <c r="P79" s="321" t="s">
        <v>1978</v>
      </c>
      <c r="Q79" s="41"/>
      <c r="R79" s="48"/>
      <c r="S79" s="40" t="s">
        <v>561</v>
      </c>
      <c r="T79" s="47" t="s">
        <v>632</v>
      </c>
      <c r="U79" s="47" t="s">
        <v>562</v>
      </c>
      <c r="V79" s="47" t="s">
        <v>352</v>
      </c>
      <c r="W79" s="48"/>
      <c r="X79" s="48"/>
      <c r="Y79" s="40" t="s">
        <v>2136</v>
      </c>
      <c r="Z79" s="48"/>
      <c r="AA79" s="48"/>
    </row>
    <row r="80" spans="1:27" ht="24.75" outlineLevel="1" x14ac:dyDescent="0.35">
      <c r="A80" s="48"/>
      <c r="B80" s="48"/>
      <c r="C80" s="40" t="s">
        <v>172</v>
      </c>
      <c r="D80" s="40" t="s">
        <v>1279</v>
      </c>
      <c r="E80" s="42" t="str">
        <f t="shared" si="16"/>
        <v>182-183</v>
      </c>
      <c r="F80" s="43">
        <f t="shared" si="21"/>
        <v>1448</v>
      </c>
      <c r="G80" s="44">
        <v>16</v>
      </c>
      <c r="H80" s="44">
        <v>1</v>
      </c>
      <c r="I80" s="44">
        <v>0</v>
      </c>
      <c r="J80" s="44">
        <v>0</v>
      </c>
      <c r="K80" s="44">
        <f t="shared" si="19"/>
        <v>65535</v>
      </c>
      <c r="L80" s="44">
        <v>0</v>
      </c>
      <c r="M80" s="41" t="s">
        <v>107</v>
      </c>
      <c r="N80" s="44">
        <f t="shared" si="22"/>
        <v>5</v>
      </c>
      <c r="O80" s="40"/>
      <c r="P80" s="321" t="s">
        <v>1979</v>
      </c>
      <c r="Q80" s="41"/>
      <c r="R80" s="48"/>
      <c r="S80" s="40" t="s">
        <v>563</v>
      </c>
      <c r="T80" s="47" t="s">
        <v>632</v>
      </c>
      <c r="U80" s="47" t="s">
        <v>564</v>
      </c>
      <c r="V80" s="47" t="s">
        <v>352</v>
      </c>
      <c r="W80" s="48"/>
      <c r="X80" s="48"/>
      <c r="Y80" s="40" t="s">
        <v>1279</v>
      </c>
      <c r="Z80" s="48"/>
      <c r="AA80" s="48"/>
    </row>
    <row r="81" spans="1:27" ht="24.75" outlineLevel="1" x14ac:dyDescent="0.35">
      <c r="A81" s="48"/>
      <c r="B81" s="48"/>
      <c r="C81" s="40" t="s">
        <v>173</v>
      </c>
      <c r="D81" s="40" t="s">
        <v>1280</v>
      </c>
      <c r="E81" s="42" t="str">
        <f t="shared" si="16"/>
        <v>184-185</v>
      </c>
      <c r="F81" s="43">
        <f t="shared" si="21"/>
        <v>1464</v>
      </c>
      <c r="G81" s="44">
        <v>16</v>
      </c>
      <c r="H81" s="44">
        <v>1</v>
      </c>
      <c r="I81" s="44">
        <v>0</v>
      </c>
      <c r="J81" s="44">
        <v>0</v>
      </c>
      <c r="K81" s="44">
        <f t="shared" si="19"/>
        <v>65535</v>
      </c>
      <c r="L81" s="44">
        <v>0</v>
      </c>
      <c r="M81" s="41" t="s">
        <v>107</v>
      </c>
      <c r="N81" s="44">
        <f t="shared" si="22"/>
        <v>5</v>
      </c>
      <c r="O81" s="40"/>
      <c r="P81" s="321" t="s">
        <v>1980</v>
      </c>
      <c r="Q81" s="41"/>
      <c r="R81" s="48"/>
      <c r="S81" s="40" t="s">
        <v>565</v>
      </c>
      <c r="T81" s="47" t="s">
        <v>632</v>
      </c>
      <c r="U81" s="47" t="s">
        <v>566</v>
      </c>
      <c r="V81" s="47" t="s">
        <v>352</v>
      </c>
      <c r="W81" s="48"/>
      <c r="X81" s="48"/>
      <c r="Y81" s="40" t="s">
        <v>1280</v>
      </c>
      <c r="Z81" s="48"/>
      <c r="AA81" s="48"/>
    </row>
    <row r="82" spans="1:27" ht="61.9" outlineLevel="1" x14ac:dyDescent="0.35">
      <c r="A82" s="48"/>
      <c r="B82" s="48"/>
      <c r="C82" s="40" t="s">
        <v>174</v>
      </c>
      <c r="D82" s="40" t="s">
        <v>1558</v>
      </c>
      <c r="E82" s="42" t="str">
        <f t="shared" ref="E82:E101" si="23">IF(INT((F82 + G82-1) / 8) + 1 = INT(F82 / 8) + 1, INT(F82 / 8) + 1, INT(F82 / 8) + 1 &amp; "-" &amp; INT((F82 + G82 - 1) / 8) + 1)</f>
        <v>186-187</v>
      </c>
      <c r="F82" s="43">
        <f t="shared" si="21"/>
        <v>1480</v>
      </c>
      <c r="G82" s="44">
        <v>16</v>
      </c>
      <c r="H82" s="44">
        <v>1</v>
      </c>
      <c r="I82" s="44">
        <v>0</v>
      </c>
      <c r="J82" s="44">
        <v>0</v>
      </c>
      <c r="K82" s="44">
        <f t="shared" ref="K82:K91" si="24">(POWER(2,G82)-1)*H82+I82</f>
        <v>65535</v>
      </c>
      <c r="L82" s="44">
        <v>0</v>
      </c>
      <c r="M82" s="41" t="s">
        <v>85</v>
      </c>
      <c r="N82" s="44">
        <f t="shared" si="22"/>
        <v>5</v>
      </c>
      <c r="O82" s="50" t="s">
        <v>1127</v>
      </c>
      <c r="P82" s="321" t="s">
        <v>1981</v>
      </c>
      <c r="Q82" s="44" t="s">
        <v>1098</v>
      </c>
      <c r="R82" s="48"/>
      <c r="S82" s="40" t="s">
        <v>567</v>
      </c>
      <c r="T82" s="47" t="s">
        <v>632</v>
      </c>
      <c r="U82" s="47" t="s">
        <v>568</v>
      </c>
      <c r="V82" s="47" t="s">
        <v>352</v>
      </c>
      <c r="W82" s="48"/>
      <c r="X82" s="48"/>
      <c r="Y82" s="40" t="s">
        <v>1558</v>
      </c>
      <c r="Z82" s="48"/>
      <c r="AA82" s="48"/>
    </row>
    <row r="83" spans="1:27" ht="24.75" outlineLevel="1" x14ac:dyDescent="0.35">
      <c r="A83" s="48"/>
      <c r="B83" s="48"/>
      <c r="C83" s="40" t="s">
        <v>175</v>
      </c>
      <c r="D83" s="40" t="s">
        <v>1556</v>
      </c>
      <c r="E83" s="42" t="str">
        <f t="shared" si="23"/>
        <v>188-189</v>
      </c>
      <c r="F83" s="43">
        <f t="shared" si="21"/>
        <v>1496</v>
      </c>
      <c r="G83" s="44">
        <v>16</v>
      </c>
      <c r="H83" s="44">
        <v>0.1</v>
      </c>
      <c r="I83" s="44">
        <v>0</v>
      </c>
      <c r="J83" s="44">
        <v>0</v>
      </c>
      <c r="K83" s="44">
        <f t="shared" si="24"/>
        <v>6553.5</v>
      </c>
      <c r="L83" s="44">
        <v>0</v>
      </c>
      <c r="M83" s="41" t="s">
        <v>137</v>
      </c>
      <c r="N83" s="44">
        <f t="shared" si="22"/>
        <v>6</v>
      </c>
      <c r="O83" s="40"/>
      <c r="P83" s="322" t="s">
        <v>1982</v>
      </c>
      <c r="Q83" s="44" t="s">
        <v>1098</v>
      </c>
      <c r="R83" s="48"/>
      <c r="S83" s="40" t="s">
        <v>569</v>
      </c>
      <c r="T83" s="47" t="s">
        <v>632</v>
      </c>
      <c r="U83" s="47" t="s">
        <v>1500</v>
      </c>
      <c r="V83" s="47" t="s">
        <v>352</v>
      </c>
      <c r="W83" s="48"/>
      <c r="X83" s="48"/>
      <c r="Y83" s="40" t="s">
        <v>2137</v>
      </c>
      <c r="Z83" s="48"/>
      <c r="AA83" s="48"/>
    </row>
    <row r="84" spans="1:27" ht="24.75" outlineLevel="1" x14ac:dyDescent="0.35">
      <c r="A84" s="48"/>
      <c r="B84" s="48"/>
      <c r="C84" s="40" t="s">
        <v>176</v>
      </c>
      <c r="D84" s="40" t="s">
        <v>1557</v>
      </c>
      <c r="E84" s="42" t="str">
        <f t="shared" si="23"/>
        <v>190-191</v>
      </c>
      <c r="F84" s="43">
        <f t="shared" si="21"/>
        <v>1512</v>
      </c>
      <c r="G84" s="44">
        <v>16</v>
      </c>
      <c r="H84" s="44">
        <v>0.1</v>
      </c>
      <c r="I84" s="44">
        <v>0</v>
      </c>
      <c r="J84" s="44">
        <v>0</v>
      </c>
      <c r="K84" s="44">
        <f t="shared" si="24"/>
        <v>6553.5</v>
      </c>
      <c r="L84" s="44">
        <v>0</v>
      </c>
      <c r="M84" s="41" t="s">
        <v>137</v>
      </c>
      <c r="N84" s="44">
        <f t="shared" si="22"/>
        <v>6</v>
      </c>
      <c r="O84" s="49"/>
      <c r="P84" s="322" t="s">
        <v>1983</v>
      </c>
      <c r="Q84" s="44" t="s">
        <v>1098</v>
      </c>
      <c r="R84" s="48"/>
      <c r="S84" s="40" t="s">
        <v>570</v>
      </c>
      <c r="T84" s="47" t="s">
        <v>632</v>
      </c>
      <c r="U84" s="47" t="s">
        <v>1501</v>
      </c>
      <c r="V84" s="47" t="s">
        <v>352</v>
      </c>
      <c r="W84" s="48"/>
      <c r="X84" s="48"/>
      <c r="Y84" s="40" t="s">
        <v>2138</v>
      </c>
      <c r="Z84" s="48"/>
      <c r="AA84" s="48"/>
    </row>
    <row r="85" spans="1:27" ht="24.75" outlineLevel="1" x14ac:dyDescent="0.35">
      <c r="A85" s="48"/>
      <c r="B85" s="48"/>
      <c r="C85" s="40" t="s">
        <v>177</v>
      </c>
      <c r="D85" s="40" t="s">
        <v>1814</v>
      </c>
      <c r="E85" s="42" t="str">
        <f t="shared" si="23"/>
        <v>192-193</v>
      </c>
      <c r="F85" s="43">
        <f t="shared" si="21"/>
        <v>1528</v>
      </c>
      <c r="G85" s="44">
        <v>16</v>
      </c>
      <c r="H85" s="44">
        <v>0.1</v>
      </c>
      <c r="I85" s="44">
        <v>-40</v>
      </c>
      <c r="J85" s="44">
        <v>-40</v>
      </c>
      <c r="K85" s="44">
        <f t="shared" si="24"/>
        <v>6513.5</v>
      </c>
      <c r="L85" s="44">
        <v>0</v>
      </c>
      <c r="M85" s="41" t="s">
        <v>113</v>
      </c>
      <c r="N85" s="44">
        <f t="shared" si="22"/>
        <v>6</v>
      </c>
      <c r="O85" s="40"/>
      <c r="P85" s="321" t="s">
        <v>1984</v>
      </c>
      <c r="Q85" s="44" t="s">
        <v>1098</v>
      </c>
      <c r="R85" s="48"/>
      <c r="S85" s="40" t="s">
        <v>1666</v>
      </c>
      <c r="T85" s="47" t="s">
        <v>632</v>
      </c>
      <c r="U85" s="47" t="s">
        <v>632</v>
      </c>
      <c r="V85" s="47" t="s">
        <v>352</v>
      </c>
      <c r="W85" s="48"/>
      <c r="X85" s="48"/>
      <c r="Y85" s="40" t="s">
        <v>1814</v>
      </c>
      <c r="Z85" s="48"/>
      <c r="AA85" s="48"/>
    </row>
    <row r="86" spans="1:27" ht="24.75" outlineLevel="1" x14ac:dyDescent="0.35">
      <c r="A86" s="48"/>
      <c r="B86" s="48"/>
      <c r="C86" s="40" t="s">
        <v>179</v>
      </c>
      <c r="D86" s="40" t="s">
        <v>1281</v>
      </c>
      <c r="E86" s="42" t="str">
        <f t="shared" ref="E86" si="25">IF(INT((F86 + G86-1) / 8) + 1 = INT(F86 / 8) + 1, INT(F86 / 8) + 1, INT(F86 / 8) + 1 &amp; "-" &amp; INT((F86 + G86 - 1) / 8) + 1)</f>
        <v>194-195</v>
      </c>
      <c r="F86" s="43">
        <f t="shared" ref="F86" si="26">F85+G85</f>
        <v>1544</v>
      </c>
      <c r="G86" s="44">
        <v>16</v>
      </c>
      <c r="H86" s="44">
        <v>1</v>
      </c>
      <c r="I86" s="44">
        <v>0</v>
      </c>
      <c r="J86" s="44">
        <v>0</v>
      </c>
      <c r="K86" s="44">
        <f t="shared" si="24"/>
        <v>65535</v>
      </c>
      <c r="L86" s="44">
        <v>0</v>
      </c>
      <c r="M86" s="41" t="s">
        <v>121</v>
      </c>
      <c r="N86" s="44">
        <f t="shared" si="22"/>
        <v>5</v>
      </c>
      <c r="O86" s="40"/>
      <c r="P86" s="321" t="s">
        <v>1985</v>
      </c>
      <c r="Q86" s="44" t="s">
        <v>1098</v>
      </c>
      <c r="R86" s="48"/>
      <c r="S86" s="40" t="s">
        <v>571</v>
      </c>
      <c r="T86" s="47" t="s">
        <v>632</v>
      </c>
      <c r="U86" s="47"/>
      <c r="V86" s="47" t="s">
        <v>352</v>
      </c>
      <c r="W86" s="48"/>
      <c r="X86" s="48"/>
      <c r="Y86" s="40" t="s">
        <v>2139</v>
      </c>
      <c r="Z86" s="48"/>
      <c r="AA86" s="48"/>
    </row>
    <row r="87" spans="1:27" ht="24.75" outlineLevel="1" x14ac:dyDescent="0.35">
      <c r="A87" s="48"/>
      <c r="B87" s="48"/>
      <c r="C87" s="120" t="s">
        <v>180</v>
      </c>
      <c r="D87" s="158" t="s">
        <v>1282</v>
      </c>
      <c r="E87" s="164" t="str">
        <f t="shared" si="23"/>
        <v>196-197</v>
      </c>
      <c r="F87" s="165">
        <f t="shared" si="21"/>
        <v>1560</v>
      </c>
      <c r="G87" s="166">
        <v>16</v>
      </c>
      <c r="H87" s="44">
        <v>0.01</v>
      </c>
      <c r="I87" s="44">
        <v>0</v>
      </c>
      <c r="J87" s="44">
        <v>0</v>
      </c>
      <c r="K87" s="44">
        <f t="shared" si="24"/>
        <v>655.35</v>
      </c>
      <c r="L87" s="44">
        <v>0</v>
      </c>
      <c r="M87" s="41" t="s">
        <v>132</v>
      </c>
      <c r="N87" s="44">
        <f t="shared" si="22"/>
        <v>6</v>
      </c>
      <c r="O87" s="40"/>
      <c r="P87" s="321" t="s">
        <v>1986</v>
      </c>
      <c r="Q87" s="41"/>
      <c r="R87" s="48"/>
      <c r="S87" s="40" t="s">
        <v>572</v>
      </c>
      <c r="T87" s="47" t="s">
        <v>632</v>
      </c>
      <c r="U87" s="47" t="s">
        <v>352</v>
      </c>
      <c r="V87" s="47" t="s">
        <v>352</v>
      </c>
      <c r="W87" s="48"/>
      <c r="X87" s="48"/>
      <c r="Y87" s="158" t="s">
        <v>2140</v>
      </c>
      <c r="Z87" s="48"/>
      <c r="AA87" s="48"/>
    </row>
    <row r="88" spans="1:27" ht="32" customHeight="1" outlineLevel="1" x14ac:dyDescent="0.35">
      <c r="A88" s="48"/>
      <c r="B88" s="48"/>
      <c r="C88" s="158" t="s">
        <v>1471</v>
      </c>
      <c r="D88" s="158" t="s">
        <v>1555</v>
      </c>
      <c r="E88" s="164" t="str">
        <f t="shared" si="23"/>
        <v>198-199</v>
      </c>
      <c r="F88" s="165">
        <f t="shared" si="21"/>
        <v>1576</v>
      </c>
      <c r="G88" s="166">
        <v>16</v>
      </c>
      <c r="H88" s="44">
        <v>0.1</v>
      </c>
      <c r="I88" s="44">
        <v>0</v>
      </c>
      <c r="J88" s="44">
        <v>0</v>
      </c>
      <c r="K88" s="44">
        <f t="shared" si="24"/>
        <v>6553.5</v>
      </c>
      <c r="L88" s="44">
        <v>0</v>
      </c>
      <c r="M88" s="161" t="s">
        <v>164</v>
      </c>
      <c r="N88" s="44">
        <f t="shared" si="22"/>
        <v>6</v>
      </c>
      <c r="O88" s="127"/>
      <c r="P88" s="321" t="s">
        <v>1987</v>
      </c>
      <c r="Q88" s="44" t="s">
        <v>1098</v>
      </c>
      <c r="R88" s="47" t="s">
        <v>181</v>
      </c>
      <c r="S88" s="268" t="s">
        <v>1470</v>
      </c>
      <c r="T88" s="47" t="s">
        <v>632</v>
      </c>
      <c r="U88" s="47" t="s">
        <v>352</v>
      </c>
      <c r="V88" s="47" t="s">
        <v>352</v>
      </c>
      <c r="W88" s="48"/>
      <c r="X88" s="48"/>
      <c r="Y88" s="158" t="s">
        <v>2141</v>
      </c>
      <c r="Z88" s="48"/>
      <c r="AA88" s="48"/>
    </row>
    <row r="89" spans="1:27" ht="32" customHeight="1" outlineLevel="1" x14ac:dyDescent="0.35">
      <c r="A89" s="48"/>
      <c r="B89" s="48"/>
      <c r="C89" s="158" t="s">
        <v>1472</v>
      </c>
      <c r="D89" s="158" t="s">
        <v>1283</v>
      </c>
      <c r="E89" s="164" t="str">
        <f t="shared" si="23"/>
        <v>200-201</v>
      </c>
      <c r="F89" s="165">
        <f t="shared" si="21"/>
        <v>1592</v>
      </c>
      <c r="G89" s="166">
        <v>16</v>
      </c>
      <c r="H89" s="44">
        <v>0.1</v>
      </c>
      <c r="I89" s="44">
        <v>0</v>
      </c>
      <c r="J89" s="44">
        <v>0</v>
      </c>
      <c r="K89" s="44">
        <f t="shared" si="24"/>
        <v>6553.5</v>
      </c>
      <c r="L89" s="44">
        <v>0</v>
      </c>
      <c r="M89" s="161" t="s">
        <v>164</v>
      </c>
      <c r="N89" s="44">
        <f t="shared" si="22"/>
        <v>6</v>
      </c>
      <c r="O89" s="127"/>
      <c r="P89" s="321" t="s">
        <v>1988</v>
      </c>
      <c r="Q89" s="178"/>
      <c r="R89" s="47" t="s">
        <v>182</v>
      </c>
      <c r="S89" s="268" t="s">
        <v>1470</v>
      </c>
      <c r="T89" s="47" t="s">
        <v>632</v>
      </c>
      <c r="U89" s="47" t="s">
        <v>352</v>
      </c>
      <c r="V89" s="47" t="s">
        <v>352</v>
      </c>
      <c r="W89" s="48"/>
      <c r="X89" s="48"/>
      <c r="Y89" s="158" t="s">
        <v>1283</v>
      </c>
      <c r="Z89" s="48"/>
      <c r="AA89" s="48"/>
    </row>
    <row r="90" spans="1:27" ht="24.75" outlineLevel="1" x14ac:dyDescent="0.35">
      <c r="A90" s="48"/>
      <c r="B90" s="48"/>
      <c r="C90" s="158" t="s">
        <v>183</v>
      </c>
      <c r="D90" s="158" t="s">
        <v>1284</v>
      </c>
      <c r="E90" s="164" t="str">
        <f t="shared" si="23"/>
        <v>202-203</v>
      </c>
      <c r="F90" s="165">
        <f t="shared" si="21"/>
        <v>1608</v>
      </c>
      <c r="G90" s="166">
        <v>16</v>
      </c>
      <c r="H90" s="44">
        <v>0.01</v>
      </c>
      <c r="I90" s="44">
        <v>0</v>
      </c>
      <c r="J90" s="44">
        <v>0</v>
      </c>
      <c r="K90" s="44">
        <f t="shared" si="24"/>
        <v>655.35</v>
      </c>
      <c r="L90" s="44">
        <v>0</v>
      </c>
      <c r="M90" s="41" t="s">
        <v>132</v>
      </c>
      <c r="N90" s="44">
        <f t="shared" si="22"/>
        <v>6</v>
      </c>
      <c r="O90" s="40"/>
      <c r="P90" s="321" t="s">
        <v>1989</v>
      </c>
      <c r="Q90" s="41"/>
      <c r="R90" s="48"/>
      <c r="S90" s="40" t="s">
        <v>573</v>
      </c>
      <c r="T90" s="47" t="s">
        <v>352</v>
      </c>
      <c r="U90" s="47" t="s">
        <v>352</v>
      </c>
      <c r="V90" s="47" t="s">
        <v>352</v>
      </c>
      <c r="W90" s="48"/>
      <c r="X90" s="48"/>
      <c r="Y90" s="158" t="s">
        <v>2142</v>
      </c>
      <c r="Z90" s="48"/>
      <c r="AA90" s="48"/>
    </row>
    <row r="91" spans="1:27" ht="24.75" outlineLevel="1" x14ac:dyDescent="0.35">
      <c r="A91" s="48"/>
      <c r="B91" s="48"/>
      <c r="C91" s="158" t="s">
        <v>184</v>
      </c>
      <c r="D91" s="158" t="s">
        <v>1285</v>
      </c>
      <c r="E91" s="164" t="str">
        <f t="shared" si="23"/>
        <v>204-205</v>
      </c>
      <c r="F91" s="165">
        <f t="shared" si="21"/>
        <v>1624</v>
      </c>
      <c r="G91" s="166">
        <v>16</v>
      </c>
      <c r="H91" s="44">
        <v>0.01</v>
      </c>
      <c r="I91" s="44">
        <v>0</v>
      </c>
      <c r="J91" s="44">
        <v>0</v>
      </c>
      <c r="K91" s="44">
        <f t="shared" si="24"/>
        <v>655.35</v>
      </c>
      <c r="L91" s="44">
        <v>0</v>
      </c>
      <c r="M91" s="41" t="s">
        <v>132</v>
      </c>
      <c r="N91" s="44">
        <f t="shared" si="22"/>
        <v>6</v>
      </c>
      <c r="O91" s="40"/>
      <c r="P91" s="321" t="s">
        <v>1990</v>
      </c>
      <c r="Q91" s="41"/>
      <c r="R91" s="48"/>
      <c r="S91" s="40" t="s">
        <v>574</v>
      </c>
      <c r="T91" s="47" t="s">
        <v>352</v>
      </c>
      <c r="U91" s="47" t="s">
        <v>352</v>
      </c>
      <c r="V91" s="47" t="s">
        <v>352</v>
      </c>
      <c r="W91" s="48"/>
      <c r="X91" s="48"/>
      <c r="Y91" s="158" t="s">
        <v>2143</v>
      </c>
      <c r="Z91" s="48"/>
      <c r="AA91" s="48"/>
    </row>
    <row r="92" spans="1:27" ht="24.75" outlineLevel="1" x14ac:dyDescent="0.35">
      <c r="A92" s="48"/>
      <c r="B92" s="48"/>
      <c r="C92" s="167" t="s">
        <v>1474</v>
      </c>
      <c r="D92" s="264" t="s">
        <v>1286</v>
      </c>
      <c r="E92" s="164" t="str">
        <f t="shared" si="23"/>
        <v>206-209</v>
      </c>
      <c r="F92" s="165">
        <f t="shared" si="21"/>
        <v>1640</v>
      </c>
      <c r="G92" s="164">
        <v>32</v>
      </c>
      <c r="H92" s="125">
        <v>0.01</v>
      </c>
      <c r="I92" s="125">
        <v>0</v>
      </c>
      <c r="J92" s="125">
        <v>0</v>
      </c>
      <c r="K92" s="125">
        <v>100</v>
      </c>
      <c r="L92" s="125">
        <v>0</v>
      </c>
      <c r="M92" s="125" t="s">
        <v>132</v>
      </c>
      <c r="N92" s="44">
        <f t="shared" si="22"/>
        <v>3</v>
      </c>
      <c r="O92" s="124"/>
      <c r="P92" s="321" t="s">
        <v>1991</v>
      </c>
      <c r="Q92" s="125"/>
      <c r="R92" s="122"/>
      <c r="S92" s="124" t="s">
        <v>1473</v>
      </c>
      <c r="T92" s="47" t="s">
        <v>352</v>
      </c>
      <c r="U92" s="47" t="s">
        <v>352</v>
      </c>
      <c r="V92" s="47" t="s">
        <v>352</v>
      </c>
      <c r="W92" s="48"/>
      <c r="X92" s="48"/>
      <c r="Y92" s="264" t="s">
        <v>2144</v>
      </c>
      <c r="Z92" s="48"/>
      <c r="AA92" s="48"/>
    </row>
    <row r="93" spans="1:27" ht="24.75" outlineLevel="1" x14ac:dyDescent="0.35">
      <c r="A93" s="48"/>
      <c r="B93" s="48"/>
      <c r="C93" s="167" t="s">
        <v>1490</v>
      </c>
      <c r="D93" s="264" t="s">
        <v>1790</v>
      </c>
      <c r="E93" s="164" t="str">
        <f t="shared" si="23"/>
        <v>210-213</v>
      </c>
      <c r="F93" s="165">
        <f t="shared" si="21"/>
        <v>1672</v>
      </c>
      <c r="G93" s="164">
        <v>32</v>
      </c>
      <c r="H93" s="154">
        <v>6.25E-2</v>
      </c>
      <c r="I93" s="42">
        <v>0</v>
      </c>
      <c r="J93" s="42">
        <v>0</v>
      </c>
      <c r="K93" s="42">
        <f>(POWER(2,G93)-1)*H93+I93</f>
        <v>268435455.9375</v>
      </c>
      <c r="L93" s="42">
        <v>0</v>
      </c>
      <c r="M93" s="42" t="s">
        <v>164</v>
      </c>
      <c r="N93" s="44">
        <f t="shared" si="22"/>
        <v>14</v>
      </c>
      <c r="O93" s="48"/>
      <c r="P93" s="321" t="s">
        <v>1992</v>
      </c>
      <c r="Q93" s="44" t="s">
        <v>1098</v>
      </c>
      <c r="R93" s="40" t="s">
        <v>186</v>
      </c>
      <c r="S93" s="47" t="s">
        <v>1035</v>
      </c>
      <c r="T93" s="47" t="s">
        <v>632</v>
      </c>
      <c r="U93" s="47" t="s">
        <v>352</v>
      </c>
      <c r="V93" s="47" t="s">
        <v>352</v>
      </c>
      <c r="W93" s="48"/>
      <c r="X93" s="48"/>
      <c r="Y93" s="264" t="s">
        <v>1790</v>
      </c>
      <c r="Z93" s="48"/>
      <c r="AA93" s="48"/>
    </row>
    <row r="94" spans="1:27" ht="24.75" outlineLevel="1" x14ac:dyDescent="0.35">
      <c r="A94" s="48"/>
      <c r="B94" s="48"/>
      <c r="C94" s="167" t="s">
        <v>1491</v>
      </c>
      <c r="D94" s="264" t="s">
        <v>1791</v>
      </c>
      <c r="E94" s="164" t="str">
        <f t="shared" si="23"/>
        <v>214-217</v>
      </c>
      <c r="F94" s="165">
        <f t="shared" si="21"/>
        <v>1704</v>
      </c>
      <c r="G94" s="164">
        <v>32</v>
      </c>
      <c r="H94" s="154">
        <v>6.25E-2</v>
      </c>
      <c r="I94" s="42">
        <v>0</v>
      </c>
      <c r="J94" s="42">
        <v>0</v>
      </c>
      <c r="K94" s="42">
        <f>(POWER(2,G94)-1)*H94+I94</f>
        <v>268435455.9375</v>
      </c>
      <c r="L94" s="42">
        <v>0</v>
      </c>
      <c r="M94" s="42" t="s">
        <v>137</v>
      </c>
      <c r="N94" s="44">
        <f t="shared" si="22"/>
        <v>14</v>
      </c>
      <c r="O94" s="48"/>
      <c r="P94" s="321" t="s">
        <v>1993</v>
      </c>
      <c r="Q94" s="44" t="s">
        <v>1098</v>
      </c>
      <c r="R94" s="40" t="s">
        <v>188</v>
      </c>
      <c r="S94" s="47" t="s">
        <v>1036</v>
      </c>
      <c r="T94" s="47" t="s">
        <v>632</v>
      </c>
      <c r="U94" s="47" t="s">
        <v>352</v>
      </c>
      <c r="V94" s="47" t="s">
        <v>352</v>
      </c>
      <c r="W94" s="48"/>
      <c r="X94" s="48"/>
      <c r="Y94" s="264" t="s">
        <v>1791</v>
      </c>
      <c r="Z94" s="48"/>
      <c r="AA94" s="48"/>
    </row>
    <row r="95" spans="1:27" ht="24.75" outlineLevel="1" x14ac:dyDescent="0.35">
      <c r="A95" s="48"/>
      <c r="B95" s="48"/>
      <c r="C95" s="167" t="s">
        <v>1492</v>
      </c>
      <c r="D95" s="264" t="s">
        <v>1792</v>
      </c>
      <c r="E95" s="164" t="str">
        <f t="shared" si="23"/>
        <v>218-221</v>
      </c>
      <c r="F95" s="165">
        <f t="shared" si="21"/>
        <v>1736</v>
      </c>
      <c r="G95" s="164">
        <v>32</v>
      </c>
      <c r="H95" s="154">
        <v>6.25E-2</v>
      </c>
      <c r="I95" s="42">
        <v>0</v>
      </c>
      <c r="J95" s="42">
        <v>0</v>
      </c>
      <c r="K95" s="42">
        <f>(POWER(2,G95)-1)*H95+I95</f>
        <v>268435455.9375</v>
      </c>
      <c r="L95" s="42">
        <v>0</v>
      </c>
      <c r="M95" s="42" t="s">
        <v>164</v>
      </c>
      <c r="N95" s="44">
        <f t="shared" si="22"/>
        <v>14</v>
      </c>
      <c r="O95" s="48"/>
      <c r="P95" s="321" t="s">
        <v>1994</v>
      </c>
      <c r="Q95" s="44" t="s">
        <v>1098</v>
      </c>
      <c r="R95" s="40" t="s">
        <v>186</v>
      </c>
      <c r="S95" s="47" t="s">
        <v>1037</v>
      </c>
      <c r="T95" s="47" t="s">
        <v>632</v>
      </c>
      <c r="U95" s="47" t="s">
        <v>352</v>
      </c>
      <c r="V95" s="47" t="s">
        <v>352</v>
      </c>
      <c r="W95" s="48"/>
      <c r="X95" s="48"/>
      <c r="Y95" s="264" t="s">
        <v>1792</v>
      </c>
      <c r="Z95" s="48"/>
      <c r="AA95" s="48"/>
    </row>
    <row r="96" spans="1:27" ht="24.75" outlineLevel="1" x14ac:dyDescent="0.35">
      <c r="A96" s="48"/>
      <c r="B96" s="48"/>
      <c r="C96" s="167" t="s">
        <v>1493</v>
      </c>
      <c r="D96" s="264" t="s">
        <v>1793</v>
      </c>
      <c r="E96" s="164" t="str">
        <f t="shared" si="23"/>
        <v>222-225</v>
      </c>
      <c r="F96" s="165">
        <f t="shared" si="21"/>
        <v>1768</v>
      </c>
      <c r="G96" s="164">
        <v>32</v>
      </c>
      <c r="H96" s="154">
        <v>6.25E-2</v>
      </c>
      <c r="I96" s="42">
        <v>0</v>
      </c>
      <c r="J96" s="42">
        <v>0</v>
      </c>
      <c r="K96" s="42">
        <f>(POWER(2,G96)-1)*H96+I96</f>
        <v>268435455.9375</v>
      </c>
      <c r="L96" s="42">
        <v>0</v>
      </c>
      <c r="M96" s="42" t="s">
        <v>137</v>
      </c>
      <c r="N96" s="44">
        <f t="shared" si="22"/>
        <v>14</v>
      </c>
      <c r="O96" s="48"/>
      <c r="P96" s="321" t="s">
        <v>1995</v>
      </c>
      <c r="Q96" s="44" t="s">
        <v>1098</v>
      </c>
      <c r="R96" s="40" t="s">
        <v>188</v>
      </c>
      <c r="S96" s="47" t="s">
        <v>1038</v>
      </c>
      <c r="T96" s="47" t="s">
        <v>632</v>
      </c>
      <c r="U96" s="47" t="s">
        <v>352</v>
      </c>
      <c r="V96" s="47" t="s">
        <v>352</v>
      </c>
      <c r="W96" s="48"/>
      <c r="X96" s="48"/>
      <c r="Y96" s="264" t="s">
        <v>1793</v>
      </c>
      <c r="Z96" s="48"/>
      <c r="AA96" s="48"/>
    </row>
    <row r="97" spans="1:27" ht="61.9" outlineLevel="1" x14ac:dyDescent="0.35">
      <c r="A97" s="40"/>
      <c r="B97" s="40"/>
      <c r="C97" s="158" t="s">
        <v>191</v>
      </c>
      <c r="D97" s="264" t="s">
        <v>1302</v>
      </c>
      <c r="E97" s="164">
        <f t="shared" si="23"/>
        <v>226</v>
      </c>
      <c r="F97" s="165">
        <f t="shared" si="21"/>
        <v>1800</v>
      </c>
      <c r="G97" s="166">
        <v>8</v>
      </c>
      <c r="H97" s="152">
        <v>1</v>
      </c>
      <c r="I97" s="44">
        <v>0</v>
      </c>
      <c r="J97" s="44">
        <v>0</v>
      </c>
      <c r="K97" s="44">
        <f>(POWER(2,G97)-1)*H97+I97</f>
        <v>255</v>
      </c>
      <c r="L97" s="44">
        <v>0</v>
      </c>
      <c r="M97" s="41" t="s">
        <v>85</v>
      </c>
      <c r="N97" s="44">
        <f t="shared" si="22"/>
        <v>3</v>
      </c>
      <c r="O97" s="40" t="s">
        <v>1125</v>
      </c>
      <c r="P97" s="321" t="s">
        <v>1996</v>
      </c>
      <c r="Q97" s="44" t="s">
        <v>1098</v>
      </c>
      <c r="R97" s="40"/>
      <c r="S97" s="46" t="s">
        <v>582</v>
      </c>
      <c r="T97" s="47" t="s">
        <v>632</v>
      </c>
      <c r="U97" s="47" t="s">
        <v>583</v>
      </c>
      <c r="V97" s="47" t="s">
        <v>352</v>
      </c>
      <c r="W97" s="48"/>
      <c r="X97" s="48"/>
      <c r="Y97" s="264" t="s">
        <v>2145</v>
      </c>
      <c r="Z97" s="48"/>
      <c r="AA97" s="48"/>
    </row>
    <row r="98" spans="1:27" ht="34.25" customHeight="1" outlineLevel="1" x14ac:dyDescent="0.35">
      <c r="A98" s="48"/>
      <c r="B98" s="48"/>
      <c r="C98" s="167" t="s">
        <v>584</v>
      </c>
      <c r="D98" s="264" t="s">
        <v>1289</v>
      </c>
      <c r="E98" s="164" t="str">
        <f t="shared" si="23"/>
        <v>227-228</v>
      </c>
      <c r="F98" s="165">
        <f t="shared" si="21"/>
        <v>1808</v>
      </c>
      <c r="G98" s="164">
        <v>16</v>
      </c>
      <c r="H98" s="44">
        <v>0.1</v>
      </c>
      <c r="I98" s="42">
        <v>-40</v>
      </c>
      <c r="J98" s="42">
        <v>-40</v>
      </c>
      <c r="K98" s="44">
        <v>125.1</v>
      </c>
      <c r="L98" s="42">
        <v>0</v>
      </c>
      <c r="M98" s="41" t="s">
        <v>742</v>
      </c>
      <c r="N98" s="44">
        <f t="shared" si="22"/>
        <v>5</v>
      </c>
      <c r="O98" s="48"/>
      <c r="P98" s="322" t="s">
        <v>1997</v>
      </c>
      <c r="Q98" s="129"/>
      <c r="R98" s="130" t="s">
        <v>192</v>
      </c>
      <c r="S98" s="148" t="s">
        <v>691</v>
      </c>
      <c r="T98" s="47" t="s">
        <v>352</v>
      </c>
      <c r="U98" s="47" t="s">
        <v>352</v>
      </c>
      <c r="V98" s="47" t="s">
        <v>352</v>
      </c>
      <c r="W98" s="48"/>
      <c r="X98" s="48"/>
      <c r="Y98" s="264" t="s">
        <v>2146</v>
      </c>
      <c r="Z98" s="48"/>
      <c r="AA98" s="48"/>
    </row>
    <row r="99" spans="1:27" ht="34.25" customHeight="1" outlineLevel="1" x14ac:dyDescent="0.35">
      <c r="A99" s="48"/>
      <c r="B99" s="48"/>
      <c r="C99" s="167" t="s">
        <v>693</v>
      </c>
      <c r="D99" s="264" t="s">
        <v>1290</v>
      </c>
      <c r="E99" s="164" t="str">
        <f t="shared" si="23"/>
        <v>229-230</v>
      </c>
      <c r="F99" s="165">
        <f t="shared" si="21"/>
        <v>1824</v>
      </c>
      <c r="G99" s="164">
        <v>16</v>
      </c>
      <c r="H99" s="44">
        <v>0.1</v>
      </c>
      <c r="I99" s="42">
        <v>-40</v>
      </c>
      <c r="J99" s="42">
        <v>-40</v>
      </c>
      <c r="K99" s="44">
        <v>125.1</v>
      </c>
      <c r="L99" s="42">
        <v>0</v>
      </c>
      <c r="M99" s="41" t="s">
        <v>742</v>
      </c>
      <c r="N99" s="44">
        <f t="shared" si="22"/>
        <v>5</v>
      </c>
      <c r="O99" s="48"/>
      <c r="P99" s="322" t="s">
        <v>1998</v>
      </c>
      <c r="Q99" s="129"/>
      <c r="R99" s="130" t="s">
        <v>192</v>
      </c>
      <c r="S99" s="148" t="s">
        <v>692</v>
      </c>
      <c r="T99" s="47" t="s">
        <v>352</v>
      </c>
      <c r="U99" s="47" t="s">
        <v>352</v>
      </c>
      <c r="V99" s="47" t="s">
        <v>352</v>
      </c>
      <c r="W99" s="48"/>
      <c r="X99" s="48"/>
      <c r="Y99" s="264" t="s">
        <v>2147</v>
      </c>
      <c r="Z99" s="48"/>
      <c r="AA99" s="48"/>
    </row>
    <row r="100" spans="1:27" ht="38.549999999999997" customHeight="1" outlineLevel="1" x14ac:dyDescent="0.35">
      <c r="A100" s="48"/>
      <c r="B100" s="48"/>
      <c r="C100" s="167" t="s">
        <v>193</v>
      </c>
      <c r="D100" s="264" t="s">
        <v>1291</v>
      </c>
      <c r="E100" s="164">
        <f t="shared" si="23"/>
        <v>231</v>
      </c>
      <c r="F100" s="165">
        <f t="shared" si="21"/>
        <v>1840</v>
      </c>
      <c r="G100" s="164">
        <v>8</v>
      </c>
      <c r="H100" s="42">
        <v>1</v>
      </c>
      <c r="I100" s="42">
        <v>0</v>
      </c>
      <c r="J100" s="42">
        <v>0</v>
      </c>
      <c r="K100" s="44">
        <f t="shared" ref="K100:K103" si="27">(POWER(2,G100)-1)*H100+I100</f>
        <v>255</v>
      </c>
      <c r="L100" s="42">
        <v>0</v>
      </c>
      <c r="M100" s="163" t="s">
        <v>194</v>
      </c>
      <c r="N100" s="44">
        <f t="shared" si="22"/>
        <v>3</v>
      </c>
      <c r="O100" s="50" t="s">
        <v>1107</v>
      </c>
      <c r="P100" s="322" t="s">
        <v>1999</v>
      </c>
      <c r="Q100" s="129"/>
      <c r="R100" s="130" t="s">
        <v>192</v>
      </c>
      <c r="S100" s="148" t="s">
        <v>585</v>
      </c>
      <c r="T100" s="47" t="s">
        <v>352</v>
      </c>
      <c r="U100" s="47" t="s">
        <v>352</v>
      </c>
      <c r="V100" s="47" t="s">
        <v>352</v>
      </c>
      <c r="W100" s="48"/>
      <c r="X100" s="48"/>
      <c r="Y100" s="264" t="s">
        <v>2148</v>
      </c>
      <c r="Z100" s="48"/>
      <c r="AA100" s="48"/>
    </row>
    <row r="101" spans="1:27" ht="39.5" customHeight="1" outlineLevel="1" x14ac:dyDescent="0.35">
      <c r="A101" s="48"/>
      <c r="B101" s="48"/>
      <c r="C101" s="167" t="s">
        <v>195</v>
      </c>
      <c r="D101" s="264" t="s">
        <v>1292</v>
      </c>
      <c r="E101" s="164">
        <f t="shared" si="23"/>
        <v>232</v>
      </c>
      <c r="F101" s="165">
        <f t="shared" si="21"/>
        <v>1848</v>
      </c>
      <c r="G101" s="164">
        <v>8</v>
      </c>
      <c r="H101" s="42">
        <v>1</v>
      </c>
      <c r="I101" s="42">
        <v>0</v>
      </c>
      <c r="J101" s="42">
        <v>0</v>
      </c>
      <c r="K101" s="44">
        <f t="shared" si="27"/>
        <v>255</v>
      </c>
      <c r="L101" s="42">
        <v>0</v>
      </c>
      <c r="M101" s="163" t="s">
        <v>194</v>
      </c>
      <c r="N101" s="44">
        <f t="shared" si="22"/>
        <v>3</v>
      </c>
      <c r="O101" s="50" t="s">
        <v>1107</v>
      </c>
      <c r="P101" s="322" t="s">
        <v>2000</v>
      </c>
      <c r="Q101" s="129"/>
      <c r="R101" s="130" t="s">
        <v>192</v>
      </c>
      <c r="S101" s="148" t="s">
        <v>586</v>
      </c>
      <c r="T101" s="47" t="s">
        <v>352</v>
      </c>
      <c r="U101" s="47" t="s">
        <v>352</v>
      </c>
      <c r="V101" s="47" t="s">
        <v>352</v>
      </c>
      <c r="W101" s="48"/>
      <c r="X101" s="48"/>
      <c r="Y101" s="264" t="s">
        <v>2149</v>
      </c>
      <c r="Z101" s="48"/>
      <c r="AA101" s="48"/>
    </row>
    <row r="102" spans="1:27" ht="24.75" outlineLevel="1" x14ac:dyDescent="0.35">
      <c r="A102" s="48"/>
      <c r="B102" s="48"/>
      <c r="C102" s="168" t="s">
        <v>822</v>
      </c>
      <c r="D102" s="292" t="s">
        <v>1263</v>
      </c>
      <c r="E102" s="169" t="str">
        <f t="shared" ref="E102:E110" si="28">IF(INT((F102 + G102-1) / 8) + 1 = INT(F102 / 8) + 1, INT(F102 / 8) + 1, INT(F102 / 8) + 1 &amp; "-" &amp; INT((F102 + G102 - 1) / 8) + 1)</f>
        <v>233-234</v>
      </c>
      <c r="F102" s="165">
        <f t="shared" si="21"/>
        <v>1856</v>
      </c>
      <c r="G102" s="164">
        <v>16</v>
      </c>
      <c r="H102" s="42">
        <v>0.125</v>
      </c>
      <c r="I102" s="42">
        <v>-2000</v>
      </c>
      <c r="J102" s="42">
        <v>-2000</v>
      </c>
      <c r="K102" s="44">
        <f t="shared" si="27"/>
        <v>6191.875</v>
      </c>
      <c r="L102" s="42">
        <v>0</v>
      </c>
      <c r="M102" s="42" t="s">
        <v>356</v>
      </c>
      <c r="N102" s="44">
        <f t="shared" si="22"/>
        <v>8</v>
      </c>
      <c r="O102" s="48"/>
      <c r="P102" s="321" t="s">
        <v>2001</v>
      </c>
      <c r="Q102" s="44" t="s">
        <v>1098</v>
      </c>
      <c r="R102" s="130"/>
      <c r="S102" s="131" t="s">
        <v>826</v>
      </c>
      <c r="T102" s="47" t="s">
        <v>632</v>
      </c>
      <c r="U102" s="47" t="s">
        <v>827</v>
      </c>
      <c r="V102" s="47" t="s">
        <v>352</v>
      </c>
      <c r="W102" s="48"/>
      <c r="X102" s="48"/>
      <c r="Y102" s="292" t="s">
        <v>1263</v>
      </c>
      <c r="Z102" s="48"/>
      <c r="AA102" s="48"/>
    </row>
    <row r="103" spans="1:27" ht="26" customHeight="1" outlineLevel="1" x14ac:dyDescent="0.35">
      <c r="A103" s="40"/>
      <c r="B103" s="40"/>
      <c r="C103" s="40" t="s">
        <v>1652</v>
      </c>
      <c r="D103" s="46" t="s">
        <v>1815</v>
      </c>
      <c r="E103" s="42" t="str">
        <f t="shared" si="28"/>
        <v>235-236</v>
      </c>
      <c r="F103" s="43">
        <f>F102+G102</f>
        <v>1872</v>
      </c>
      <c r="G103" s="44">
        <v>16</v>
      </c>
      <c r="H103" s="44">
        <v>0.125</v>
      </c>
      <c r="I103" s="44">
        <v>-2000</v>
      </c>
      <c r="J103" s="44">
        <v>-2000</v>
      </c>
      <c r="K103" s="44">
        <f t="shared" si="27"/>
        <v>6191.875</v>
      </c>
      <c r="L103" s="44">
        <v>0</v>
      </c>
      <c r="M103" s="41" t="s">
        <v>1653</v>
      </c>
      <c r="N103" s="44">
        <f t="shared" si="22"/>
        <v>8</v>
      </c>
      <c r="O103" s="79"/>
      <c r="P103" s="321" t="s">
        <v>2002</v>
      </c>
      <c r="Q103" s="44" t="s">
        <v>1098</v>
      </c>
      <c r="R103" s="40"/>
      <c r="S103" s="46" t="s">
        <v>1654</v>
      </c>
      <c r="T103" s="47" t="s">
        <v>632</v>
      </c>
      <c r="U103" s="47" t="s">
        <v>352</v>
      </c>
      <c r="V103" s="47" t="s">
        <v>352</v>
      </c>
      <c r="W103" s="48"/>
      <c r="X103" s="48"/>
      <c r="Y103" s="46" t="s">
        <v>1815</v>
      </c>
      <c r="Z103" s="48"/>
      <c r="AA103" s="48"/>
    </row>
    <row r="104" spans="1:27" ht="26" customHeight="1" outlineLevel="1" x14ac:dyDescent="0.35">
      <c r="A104" s="40"/>
      <c r="B104" s="40"/>
      <c r="C104" s="40" t="s">
        <v>823</v>
      </c>
      <c r="D104" s="46" t="s">
        <v>1816</v>
      </c>
      <c r="E104" s="42" t="str">
        <f t="shared" ref="E104:E105" si="29">IF(INT((F104 + G104-1) / 8) + 1 = INT(F104 / 8) + 1, INT(F104 / 8) + 1, INT(F104 / 8) + 1 &amp; "-" &amp; INT((F104 + G104 - 1) / 8) + 1)</f>
        <v>237-238</v>
      </c>
      <c r="F104" s="43">
        <f>F103+G103</f>
        <v>1888</v>
      </c>
      <c r="G104" s="44">
        <v>16</v>
      </c>
      <c r="H104" s="44">
        <v>0.125</v>
      </c>
      <c r="I104" s="44">
        <v>-2000</v>
      </c>
      <c r="J104" s="44">
        <v>-2000</v>
      </c>
      <c r="K104" s="44">
        <f t="shared" ref="K104:K105" si="30">(POWER(2,G104)-1)*H104+I104</f>
        <v>6191.875</v>
      </c>
      <c r="L104" s="44">
        <v>0</v>
      </c>
      <c r="M104" s="41" t="s">
        <v>1653</v>
      </c>
      <c r="N104" s="44">
        <f t="shared" si="22"/>
        <v>8</v>
      </c>
      <c r="O104" s="79"/>
      <c r="P104" s="321" t="s">
        <v>2003</v>
      </c>
      <c r="Q104" s="44" t="s">
        <v>1098</v>
      </c>
      <c r="R104" s="40"/>
      <c r="S104" s="46" t="s">
        <v>1655</v>
      </c>
      <c r="T104" s="47" t="s">
        <v>632</v>
      </c>
      <c r="U104" s="47" t="s">
        <v>352</v>
      </c>
      <c r="V104" s="47" t="s">
        <v>352</v>
      </c>
      <c r="W104" s="48"/>
      <c r="X104" s="48"/>
      <c r="Y104" s="46" t="s">
        <v>1816</v>
      </c>
      <c r="Z104" s="48"/>
      <c r="AA104" s="48"/>
    </row>
    <row r="105" spans="1:27" ht="24.75" outlineLevel="1" x14ac:dyDescent="0.35">
      <c r="A105" s="48"/>
      <c r="B105" s="48"/>
      <c r="C105" s="40" t="s">
        <v>178</v>
      </c>
      <c r="D105" s="40" t="s">
        <v>1813</v>
      </c>
      <c r="E105" s="42" t="str">
        <f t="shared" si="29"/>
        <v>239-240</v>
      </c>
      <c r="F105" s="43">
        <f t="shared" ref="F105" si="31">F104+G104</f>
        <v>1904</v>
      </c>
      <c r="G105" s="44">
        <v>16</v>
      </c>
      <c r="H105" s="44">
        <v>0.1</v>
      </c>
      <c r="I105" s="44">
        <v>-40</v>
      </c>
      <c r="J105" s="44">
        <v>-40</v>
      </c>
      <c r="K105" s="44">
        <f t="shared" si="30"/>
        <v>6513.5</v>
      </c>
      <c r="L105" s="44">
        <v>0</v>
      </c>
      <c r="M105" s="41" t="s">
        <v>113</v>
      </c>
      <c r="N105" s="44">
        <f t="shared" ref="N105" si="32">LEN(K105)</f>
        <v>6</v>
      </c>
      <c r="O105" s="40"/>
      <c r="P105" s="321" t="s">
        <v>2004</v>
      </c>
      <c r="Q105" s="41"/>
      <c r="R105" s="48"/>
      <c r="S105" s="40" t="s">
        <v>1667</v>
      </c>
      <c r="T105" s="47" t="s">
        <v>632</v>
      </c>
      <c r="U105" s="47" t="s">
        <v>632</v>
      </c>
      <c r="V105" s="47" t="s">
        <v>352</v>
      </c>
      <c r="W105" s="48"/>
      <c r="X105" s="48"/>
      <c r="Y105" s="40" t="s">
        <v>1813</v>
      </c>
      <c r="Z105" s="48"/>
      <c r="AA105" s="48"/>
    </row>
    <row r="106" spans="1:27" ht="24.75" outlineLevel="1" x14ac:dyDescent="0.35">
      <c r="A106" s="48"/>
      <c r="B106" s="48"/>
      <c r="C106" s="148" t="s">
        <v>895</v>
      </c>
      <c r="D106" s="265" t="s">
        <v>1293</v>
      </c>
      <c r="E106" s="42">
        <f t="shared" ref="E106" si="33">IF(INT((F106 + G106-1) / 8) + 1 = INT(F106 / 8) + 1, INT(F106 / 8) + 1, INT(F106 / 8) + 1 &amp; "-" &amp; INT((F106 + G106 - 1) / 8) + 1)</f>
        <v>241</v>
      </c>
      <c r="F106" s="43">
        <f>F105+G105</f>
        <v>1920</v>
      </c>
      <c r="G106" s="42">
        <v>8</v>
      </c>
      <c r="H106" s="42">
        <v>1</v>
      </c>
      <c r="I106" s="42">
        <v>-40</v>
      </c>
      <c r="J106" s="42">
        <v>-40</v>
      </c>
      <c r="K106" s="42">
        <f>(POWER(2,G106)-1)*H106+I106</f>
        <v>215</v>
      </c>
      <c r="L106" s="42">
        <v>0</v>
      </c>
      <c r="M106" s="41" t="s">
        <v>742</v>
      </c>
      <c r="N106" s="44">
        <f t="shared" si="22"/>
        <v>3</v>
      </c>
      <c r="O106" s="48"/>
      <c r="P106" s="321" t="s">
        <v>2005</v>
      </c>
      <c r="Q106" s="129"/>
      <c r="R106" s="130"/>
      <c r="S106" s="131" t="s">
        <v>898</v>
      </c>
      <c r="T106" s="47" t="s">
        <v>632</v>
      </c>
      <c r="U106" s="47" t="s">
        <v>896</v>
      </c>
      <c r="V106" s="47"/>
      <c r="W106" s="48"/>
      <c r="X106" s="48"/>
      <c r="Y106" s="265" t="s">
        <v>1293</v>
      </c>
      <c r="Z106" s="48"/>
      <c r="AA106" s="48"/>
    </row>
    <row r="107" spans="1:27" ht="365" customHeight="1" outlineLevel="1" x14ac:dyDescent="0.35">
      <c r="A107" s="48"/>
      <c r="B107" s="48"/>
      <c r="C107" s="148" t="s">
        <v>1134</v>
      </c>
      <c r="D107" s="266" t="s">
        <v>1450</v>
      </c>
      <c r="E107" s="129">
        <f t="shared" si="28"/>
        <v>242</v>
      </c>
      <c r="F107" s="43">
        <f t="shared" si="21"/>
        <v>1928</v>
      </c>
      <c r="G107" s="42">
        <v>8</v>
      </c>
      <c r="H107" s="42">
        <v>1</v>
      </c>
      <c r="I107" s="42">
        <v>0</v>
      </c>
      <c r="J107" s="42">
        <v>0</v>
      </c>
      <c r="K107" s="42">
        <f>(POWER(2,G107)-1)*H107+I107</f>
        <v>255</v>
      </c>
      <c r="L107" s="42">
        <v>0</v>
      </c>
      <c r="M107" s="41" t="s">
        <v>352</v>
      </c>
      <c r="N107" s="44">
        <f t="shared" si="22"/>
        <v>3</v>
      </c>
      <c r="O107" s="50" t="s">
        <v>1584</v>
      </c>
      <c r="P107" s="322" t="s">
        <v>2006</v>
      </c>
      <c r="Q107" s="179"/>
      <c r="R107" s="130"/>
      <c r="S107" s="131" t="s">
        <v>899</v>
      </c>
      <c r="T107" s="47" t="s">
        <v>632</v>
      </c>
      <c r="U107" s="47"/>
      <c r="V107" s="47" t="s">
        <v>352</v>
      </c>
      <c r="W107" s="48"/>
      <c r="X107" s="48"/>
      <c r="Y107" s="266" t="s">
        <v>1450</v>
      </c>
      <c r="Z107" s="48"/>
      <c r="AA107" s="48"/>
    </row>
    <row r="108" spans="1:27" ht="409.5" outlineLevel="1" x14ac:dyDescent="0.35">
      <c r="A108" s="48"/>
      <c r="B108" s="48"/>
      <c r="C108" s="148" t="s">
        <v>1133</v>
      </c>
      <c r="D108" s="266" t="s">
        <v>1294</v>
      </c>
      <c r="E108" s="129" t="str">
        <f t="shared" si="28"/>
        <v>243-246</v>
      </c>
      <c r="F108" s="43">
        <f t="shared" si="21"/>
        <v>1936</v>
      </c>
      <c r="G108" s="42">
        <v>32</v>
      </c>
      <c r="H108" s="42">
        <v>1</v>
      </c>
      <c r="I108" s="42">
        <v>0</v>
      </c>
      <c r="J108" s="42">
        <v>0</v>
      </c>
      <c r="K108" s="42">
        <f t="shared" ref="K108:K109" si="34">(POWER(2,G108)-1)*H108+I108</f>
        <v>4294967295</v>
      </c>
      <c r="L108" s="42">
        <v>0</v>
      </c>
      <c r="M108" s="41" t="s">
        <v>352</v>
      </c>
      <c r="N108" s="44">
        <f t="shared" si="22"/>
        <v>10</v>
      </c>
      <c r="O108" s="46" t="s">
        <v>1129</v>
      </c>
      <c r="P108" s="322" t="s">
        <v>2007</v>
      </c>
      <c r="Q108" s="179"/>
      <c r="R108" s="130"/>
      <c r="S108" s="131" t="s">
        <v>1106</v>
      </c>
      <c r="T108" s="47" t="s">
        <v>632</v>
      </c>
      <c r="U108" s="47" t="s">
        <v>897</v>
      </c>
      <c r="V108" s="47" t="s">
        <v>352</v>
      </c>
      <c r="W108" s="48"/>
      <c r="X108" s="48"/>
      <c r="Y108" s="267" t="s">
        <v>1294</v>
      </c>
      <c r="Z108" s="48"/>
      <c r="AA108" s="48"/>
    </row>
    <row r="109" spans="1:27" ht="247.5" outlineLevel="1" x14ac:dyDescent="0.35">
      <c r="A109" s="48"/>
      <c r="B109" s="48"/>
      <c r="C109" s="149" t="s">
        <v>900</v>
      </c>
      <c r="D109" s="267" t="s">
        <v>1295</v>
      </c>
      <c r="E109" s="129">
        <f t="shared" si="28"/>
        <v>247</v>
      </c>
      <c r="F109" s="43">
        <f t="shared" si="21"/>
        <v>1968</v>
      </c>
      <c r="G109" s="42">
        <v>8</v>
      </c>
      <c r="H109" s="42">
        <v>1</v>
      </c>
      <c r="I109" s="42">
        <v>0</v>
      </c>
      <c r="J109" s="42">
        <v>0</v>
      </c>
      <c r="K109" s="42">
        <f t="shared" si="34"/>
        <v>255</v>
      </c>
      <c r="L109" s="42">
        <v>0</v>
      </c>
      <c r="M109" s="41" t="s">
        <v>352</v>
      </c>
      <c r="N109" s="44">
        <f t="shared" si="22"/>
        <v>3</v>
      </c>
      <c r="O109" s="50" t="s">
        <v>1130</v>
      </c>
      <c r="P109" s="322" t="s">
        <v>2008</v>
      </c>
      <c r="Q109" s="179"/>
      <c r="R109" s="130"/>
      <c r="S109" s="131" t="s">
        <v>1802</v>
      </c>
      <c r="T109" s="47" t="s">
        <v>632</v>
      </c>
      <c r="U109" s="47"/>
      <c r="V109" s="47" t="s">
        <v>352</v>
      </c>
      <c r="W109" s="48"/>
      <c r="X109" s="48"/>
      <c r="Y109" s="266" t="s">
        <v>1295</v>
      </c>
      <c r="Z109" s="48"/>
      <c r="AA109" s="48"/>
    </row>
    <row r="110" spans="1:27" ht="86.55" customHeight="1" outlineLevel="1" x14ac:dyDescent="0.35">
      <c r="A110" s="48"/>
      <c r="B110" s="48"/>
      <c r="C110" s="40" t="s">
        <v>2287</v>
      </c>
      <c r="D110" s="46" t="s">
        <v>2286</v>
      </c>
      <c r="E110" s="129">
        <f t="shared" si="28"/>
        <v>248</v>
      </c>
      <c r="F110" s="43">
        <f t="shared" si="21"/>
        <v>1976</v>
      </c>
      <c r="G110" s="42">
        <v>8</v>
      </c>
      <c r="H110" s="42">
        <v>1</v>
      </c>
      <c r="I110" s="42">
        <v>0</v>
      </c>
      <c r="J110" s="42">
        <v>0</v>
      </c>
      <c r="K110" s="42">
        <f>(POWER(2,G110)-1)*H110+I110</f>
        <v>255</v>
      </c>
      <c r="L110" s="42">
        <v>0</v>
      </c>
      <c r="M110" s="41" t="s">
        <v>932</v>
      </c>
      <c r="N110" s="44">
        <f>LEN(K110)</f>
        <v>3</v>
      </c>
      <c r="O110" s="391" t="s">
        <v>2293</v>
      </c>
      <c r="P110" s="41" t="s">
        <v>2289</v>
      </c>
      <c r="Q110" s="179" t="s">
        <v>1098</v>
      </c>
      <c r="R110" s="130"/>
      <c r="S110" s="131" t="s">
        <v>2291</v>
      </c>
      <c r="T110" s="47" t="s">
        <v>632</v>
      </c>
      <c r="U110" s="47" t="s">
        <v>352</v>
      </c>
      <c r="V110" s="47" t="s">
        <v>352</v>
      </c>
      <c r="W110" s="48"/>
      <c r="X110" s="48"/>
      <c r="Y110" s="46" t="s">
        <v>2286</v>
      </c>
      <c r="Z110" s="48"/>
      <c r="AA110" s="48"/>
    </row>
    <row r="111" spans="1:27" ht="24.75" outlineLevel="1" x14ac:dyDescent="0.35">
      <c r="A111" s="48"/>
      <c r="B111" s="48"/>
      <c r="C111" s="40" t="s">
        <v>965</v>
      </c>
      <c r="D111" s="40" t="s">
        <v>1845</v>
      </c>
      <c r="E111" s="42" t="str">
        <f t="shared" ref="E111:E118" si="35">IF(INT((F111 + G111-1) / 8) + 1 = INT(F111 / 8) + 1, INT(F111 / 8) + 1, INT(F111 / 8) + 1 &amp; "-" &amp; INT((F111 + G111 - 1) / 8) + 1)</f>
        <v>249-250</v>
      </c>
      <c r="F111" s="43">
        <f t="shared" si="21"/>
        <v>1984</v>
      </c>
      <c r="G111" s="44">
        <v>16</v>
      </c>
      <c r="H111" s="44">
        <v>1</v>
      </c>
      <c r="I111" s="44">
        <v>0</v>
      </c>
      <c r="J111" s="44">
        <v>0</v>
      </c>
      <c r="K111" s="44">
        <f t="shared" ref="K111:K117" si="36">(POWER(2,G111)-1)*H111+I111</f>
        <v>65535</v>
      </c>
      <c r="L111" s="44">
        <v>0</v>
      </c>
      <c r="M111" s="41" t="s">
        <v>932</v>
      </c>
      <c r="N111" s="44">
        <f t="shared" si="22"/>
        <v>5</v>
      </c>
      <c r="O111" s="40"/>
      <c r="P111" s="321" t="s">
        <v>2009</v>
      </c>
      <c r="Q111" s="41"/>
      <c r="R111" s="48"/>
      <c r="S111" s="40" t="s">
        <v>951</v>
      </c>
      <c r="T111" s="47" t="s">
        <v>632</v>
      </c>
      <c r="U111" s="47" t="s">
        <v>957</v>
      </c>
      <c r="V111" s="47" t="s">
        <v>352</v>
      </c>
      <c r="W111" s="48"/>
      <c r="X111" s="48"/>
      <c r="Y111" s="40" t="s">
        <v>1819</v>
      </c>
      <c r="Z111" s="48"/>
      <c r="AA111" s="48"/>
    </row>
    <row r="112" spans="1:27" ht="24.75" outlineLevel="1" x14ac:dyDescent="0.35">
      <c r="A112" s="48"/>
      <c r="B112" s="48"/>
      <c r="C112" s="40" t="s">
        <v>966</v>
      </c>
      <c r="D112" s="40" t="s">
        <v>1846</v>
      </c>
      <c r="E112" s="42" t="str">
        <f t="shared" si="35"/>
        <v>251-252</v>
      </c>
      <c r="F112" s="43">
        <f t="shared" si="21"/>
        <v>2000</v>
      </c>
      <c r="G112" s="44">
        <v>16</v>
      </c>
      <c r="H112" s="44">
        <v>1</v>
      </c>
      <c r="I112" s="44">
        <v>0</v>
      </c>
      <c r="J112" s="44">
        <v>0</v>
      </c>
      <c r="K112" s="44">
        <f t="shared" si="36"/>
        <v>65535</v>
      </c>
      <c r="L112" s="44">
        <v>0</v>
      </c>
      <c r="M112" s="41" t="s">
        <v>932</v>
      </c>
      <c r="N112" s="44">
        <f t="shared" si="22"/>
        <v>5</v>
      </c>
      <c r="O112" s="40"/>
      <c r="P112" s="321" t="s">
        <v>2010</v>
      </c>
      <c r="Q112" s="41"/>
      <c r="R112" s="48"/>
      <c r="S112" s="40" t="s">
        <v>952</v>
      </c>
      <c r="T112" s="47" t="s">
        <v>632</v>
      </c>
      <c r="U112" s="47" t="s">
        <v>958</v>
      </c>
      <c r="V112" s="47" t="s">
        <v>352</v>
      </c>
      <c r="W112" s="48"/>
      <c r="X112" s="48"/>
      <c r="Y112" s="40" t="s">
        <v>1821</v>
      </c>
      <c r="Z112" s="48"/>
      <c r="AA112" s="48"/>
    </row>
    <row r="113" spans="1:27" ht="24.75" outlineLevel="1" x14ac:dyDescent="0.35">
      <c r="A113" s="48"/>
      <c r="B113" s="48"/>
      <c r="C113" s="40" t="s">
        <v>1644</v>
      </c>
      <c r="D113" s="40" t="s">
        <v>1824</v>
      </c>
      <c r="E113" s="42" t="str">
        <f t="shared" si="35"/>
        <v>253-254</v>
      </c>
      <c r="F113" s="43">
        <f t="shared" si="21"/>
        <v>2016</v>
      </c>
      <c r="G113" s="44">
        <v>16</v>
      </c>
      <c r="H113" s="44">
        <v>1</v>
      </c>
      <c r="I113" s="44">
        <v>0</v>
      </c>
      <c r="J113" s="44">
        <v>0</v>
      </c>
      <c r="K113" s="44">
        <f t="shared" ref="K113:K114" si="37">(POWER(2,G113)-1)*H113+I113</f>
        <v>65535</v>
      </c>
      <c r="L113" s="44">
        <v>0</v>
      </c>
      <c r="M113" s="41" t="s">
        <v>932</v>
      </c>
      <c r="N113" s="44">
        <f t="shared" si="22"/>
        <v>5</v>
      </c>
      <c r="O113" s="40"/>
      <c r="P113" s="322" t="s">
        <v>2011</v>
      </c>
      <c r="Q113" s="41"/>
      <c r="R113" s="48"/>
      <c r="S113" s="40" t="s">
        <v>955</v>
      </c>
      <c r="T113" s="47" t="s">
        <v>632</v>
      </c>
      <c r="U113" s="47" t="s">
        <v>961</v>
      </c>
      <c r="V113" s="47" t="s">
        <v>352</v>
      </c>
      <c r="W113" s="48"/>
      <c r="X113" s="48"/>
      <c r="Y113" s="40" t="s">
        <v>1824</v>
      </c>
      <c r="Z113" s="48"/>
      <c r="AA113" s="48"/>
    </row>
    <row r="114" spans="1:27" ht="24.75" outlineLevel="1" x14ac:dyDescent="0.35">
      <c r="A114" s="48"/>
      <c r="B114" s="48"/>
      <c r="C114" s="40" t="s">
        <v>1645</v>
      </c>
      <c r="D114" s="40" t="s">
        <v>1827</v>
      </c>
      <c r="E114" s="42" t="str">
        <f t="shared" si="35"/>
        <v>255-256</v>
      </c>
      <c r="F114" s="43">
        <f t="shared" si="21"/>
        <v>2032</v>
      </c>
      <c r="G114" s="44">
        <v>16</v>
      </c>
      <c r="H114" s="44">
        <v>1</v>
      </c>
      <c r="I114" s="44">
        <v>0</v>
      </c>
      <c r="J114" s="44">
        <v>0</v>
      </c>
      <c r="K114" s="44">
        <f t="shared" si="37"/>
        <v>65535</v>
      </c>
      <c r="L114" s="44">
        <v>0</v>
      </c>
      <c r="M114" s="41" t="s">
        <v>932</v>
      </c>
      <c r="N114" s="44">
        <f t="shared" si="22"/>
        <v>5</v>
      </c>
      <c r="O114" s="40"/>
      <c r="P114" s="322" t="s">
        <v>2012</v>
      </c>
      <c r="Q114" s="41"/>
      <c r="R114" s="48"/>
      <c r="S114" s="40" t="s">
        <v>956</v>
      </c>
      <c r="T114" s="47" t="s">
        <v>632</v>
      </c>
      <c r="U114" s="47" t="s">
        <v>962</v>
      </c>
      <c r="V114" s="47" t="s">
        <v>352</v>
      </c>
      <c r="W114" s="48"/>
      <c r="X114" s="48"/>
      <c r="Y114" s="40" t="s">
        <v>1827</v>
      </c>
      <c r="Z114" s="48"/>
      <c r="AA114" s="48"/>
    </row>
    <row r="115" spans="1:27" ht="24.75" outlineLevel="1" x14ac:dyDescent="0.35">
      <c r="A115" s="48"/>
      <c r="B115" s="48"/>
      <c r="C115" s="40" t="s">
        <v>946</v>
      </c>
      <c r="D115" s="40" t="s">
        <v>1847</v>
      </c>
      <c r="E115" s="42" t="str">
        <f t="shared" si="35"/>
        <v>257-258</v>
      </c>
      <c r="F115" s="43">
        <f t="shared" si="21"/>
        <v>2048</v>
      </c>
      <c r="G115" s="44">
        <v>16</v>
      </c>
      <c r="H115" s="44">
        <v>1</v>
      </c>
      <c r="I115" s="44">
        <v>0</v>
      </c>
      <c r="J115" s="44">
        <v>0</v>
      </c>
      <c r="K115" s="44">
        <f t="shared" ref="K115" si="38">(POWER(2,G115)-1)*H115+I115</f>
        <v>65535</v>
      </c>
      <c r="L115" s="44">
        <v>0</v>
      </c>
      <c r="M115" s="41" t="s">
        <v>932</v>
      </c>
      <c r="N115" s="44">
        <f t="shared" si="22"/>
        <v>5</v>
      </c>
      <c r="O115" s="40"/>
      <c r="P115" s="321" t="s">
        <v>2013</v>
      </c>
      <c r="Q115" s="41"/>
      <c r="R115" s="48"/>
      <c r="S115" s="40" t="s">
        <v>949</v>
      </c>
      <c r="T115" s="47" t="s">
        <v>632</v>
      </c>
      <c r="U115" s="47" t="s">
        <v>959</v>
      </c>
      <c r="V115" s="47" t="s">
        <v>352</v>
      </c>
      <c r="W115" s="48"/>
      <c r="X115" s="48"/>
      <c r="Y115" s="40" t="s">
        <v>1817</v>
      </c>
      <c r="Z115" s="48"/>
      <c r="AA115" s="48"/>
    </row>
    <row r="116" spans="1:27" ht="24.75" outlineLevel="1" x14ac:dyDescent="0.35">
      <c r="A116" s="48"/>
      <c r="B116" s="48"/>
      <c r="C116" s="40" t="s">
        <v>947</v>
      </c>
      <c r="D116" s="40" t="s">
        <v>1848</v>
      </c>
      <c r="E116" s="42" t="str">
        <f t="shared" si="35"/>
        <v>259-260</v>
      </c>
      <c r="F116" s="43">
        <f t="shared" si="21"/>
        <v>2064</v>
      </c>
      <c r="G116" s="44">
        <v>16</v>
      </c>
      <c r="H116" s="44">
        <v>1</v>
      </c>
      <c r="I116" s="44">
        <v>0</v>
      </c>
      <c r="J116" s="44">
        <v>0</v>
      </c>
      <c r="K116" s="44">
        <f t="shared" ref="K116" si="39">(POWER(2,G116)-1)*H116+I116</f>
        <v>65535</v>
      </c>
      <c r="L116" s="44">
        <v>0</v>
      </c>
      <c r="M116" s="41" t="s">
        <v>932</v>
      </c>
      <c r="N116" s="44">
        <f t="shared" si="22"/>
        <v>5</v>
      </c>
      <c r="O116" s="40"/>
      <c r="P116" s="321" t="s">
        <v>2014</v>
      </c>
      <c r="Q116" s="41"/>
      <c r="R116" s="48"/>
      <c r="S116" s="40" t="s">
        <v>950</v>
      </c>
      <c r="T116" s="47" t="s">
        <v>632</v>
      </c>
      <c r="U116" s="47" t="s">
        <v>960</v>
      </c>
      <c r="V116" s="47" t="s">
        <v>352</v>
      </c>
      <c r="W116" s="48"/>
      <c r="X116" s="48"/>
      <c r="Y116" s="40" t="s">
        <v>2150</v>
      </c>
      <c r="Z116" s="48"/>
      <c r="AA116" s="48"/>
    </row>
    <row r="117" spans="1:27" ht="24.75" outlineLevel="1" x14ac:dyDescent="0.35">
      <c r="A117" s="48"/>
      <c r="B117" s="48"/>
      <c r="C117" s="40" t="s">
        <v>1646</v>
      </c>
      <c r="D117" s="40" t="s">
        <v>1849</v>
      </c>
      <c r="E117" s="42" t="str">
        <f t="shared" si="35"/>
        <v>261-262</v>
      </c>
      <c r="F117" s="43">
        <f t="shared" si="21"/>
        <v>2080</v>
      </c>
      <c r="G117" s="44">
        <v>16</v>
      </c>
      <c r="H117" s="44">
        <v>1</v>
      </c>
      <c r="I117" s="44">
        <v>0</v>
      </c>
      <c r="J117" s="44">
        <v>0</v>
      </c>
      <c r="K117" s="44">
        <f t="shared" si="36"/>
        <v>65535</v>
      </c>
      <c r="L117" s="44">
        <v>0</v>
      </c>
      <c r="M117" s="41" t="s">
        <v>932</v>
      </c>
      <c r="N117" s="44">
        <f t="shared" si="22"/>
        <v>5</v>
      </c>
      <c r="O117" s="40"/>
      <c r="P117" s="322" t="s">
        <v>2015</v>
      </c>
      <c r="Q117" s="41"/>
      <c r="R117" s="48"/>
      <c r="S117" s="40" t="s">
        <v>953</v>
      </c>
      <c r="T117" s="47" t="s">
        <v>632</v>
      </c>
      <c r="U117" s="47" t="s">
        <v>963</v>
      </c>
      <c r="V117" s="47" t="s">
        <v>352</v>
      </c>
      <c r="W117" s="48"/>
      <c r="X117" s="48"/>
      <c r="Y117" s="40" t="s">
        <v>1849</v>
      </c>
      <c r="Z117" s="48"/>
      <c r="AA117" s="48"/>
    </row>
    <row r="118" spans="1:27" ht="24.75" outlineLevel="1" x14ac:dyDescent="0.35">
      <c r="A118" s="48"/>
      <c r="B118" s="48"/>
      <c r="C118" s="40" t="s">
        <v>1647</v>
      </c>
      <c r="D118" s="40" t="s">
        <v>1850</v>
      </c>
      <c r="E118" s="42" t="str">
        <f t="shared" si="35"/>
        <v>263-264</v>
      </c>
      <c r="F118" s="43">
        <f t="shared" si="21"/>
        <v>2096</v>
      </c>
      <c r="G118" s="44">
        <v>16</v>
      </c>
      <c r="H118" s="44">
        <v>1</v>
      </c>
      <c r="I118" s="44">
        <v>0</v>
      </c>
      <c r="J118" s="44">
        <v>0</v>
      </c>
      <c r="K118" s="44">
        <f t="shared" ref="K118:K122" si="40">(POWER(2,G118)-1)*H118+I118</f>
        <v>65535</v>
      </c>
      <c r="L118" s="44">
        <v>0</v>
      </c>
      <c r="M118" s="41" t="s">
        <v>932</v>
      </c>
      <c r="N118" s="44">
        <f t="shared" si="22"/>
        <v>5</v>
      </c>
      <c r="O118" s="40"/>
      <c r="P118" s="322" t="s">
        <v>2016</v>
      </c>
      <c r="Q118" s="41"/>
      <c r="R118" s="48"/>
      <c r="S118" s="40" t="s">
        <v>954</v>
      </c>
      <c r="T118" s="47" t="s">
        <v>632</v>
      </c>
      <c r="U118" s="47" t="s">
        <v>964</v>
      </c>
      <c r="V118" s="47" t="s">
        <v>352</v>
      </c>
      <c r="W118" s="48"/>
      <c r="X118" s="48"/>
      <c r="Y118" s="40" t="s">
        <v>1850</v>
      </c>
      <c r="Z118" s="48"/>
      <c r="AA118" s="48"/>
    </row>
    <row r="119" spans="1:27" ht="24.75" outlineLevel="1" x14ac:dyDescent="0.35">
      <c r="A119" s="48"/>
      <c r="B119" s="48"/>
      <c r="C119" s="77" t="s">
        <v>979</v>
      </c>
      <c r="D119" s="77" t="s">
        <v>1656</v>
      </c>
      <c r="E119" s="42">
        <f t="shared" ref="E119:E128" si="41">IF(INT((F119 + G119-1) / 8) + 1 = INT(F119 / 8) + 1, INT(F119 / 8) + 1, INT(F119 / 8) + 1 &amp; "-" &amp; INT((F119 + G119 - 1) / 8) + 1)</f>
        <v>265</v>
      </c>
      <c r="F119" s="43">
        <f t="shared" si="21"/>
        <v>2112</v>
      </c>
      <c r="G119" s="44">
        <v>8</v>
      </c>
      <c r="H119" s="44">
        <v>1</v>
      </c>
      <c r="I119" s="44">
        <v>0</v>
      </c>
      <c r="J119" s="44">
        <v>0</v>
      </c>
      <c r="K119" s="44">
        <f t="shared" si="40"/>
        <v>255</v>
      </c>
      <c r="L119" s="44">
        <v>0</v>
      </c>
      <c r="M119" s="41" t="s">
        <v>932</v>
      </c>
      <c r="N119" s="44">
        <f t="shared" si="22"/>
        <v>3</v>
      </c>
      <c r="O119" s="40"/>
      <c r="P119" s="321" t="s">
        <v>2017</v>
      </c>
      <c r="Q119" s="44" t="s">
        <v>1098</v>
      </c>
      <c r="R119" s="48"/>
      <c r="S119" s="40" t="s">
        <v>977</v>
      </c>
      <c r="T119" s="47" t="s">
        <v>352</v>
      </c>
      <c r="U119" s="47" t="s">
        <v>352</v>
      </c>
      <c r="V119" s="47" t="s">
        <v>352</v>
      </c>
      <c r="W119" s="48"/>
      <c r="X119" s="48"/>
      <c r="Y119" s="77" t="s">
        <v>1656</v>
      </c>
      <c r="Z119" s="48"/>
      <c r="AA119" s="48"/>
    </row>
    <row r="120" spans="1:27" ht="24.75" outlineLevel="1" x14ac:dyDescent="0.35">
      <c r="A120" s="48"/>
      <c r="B120" s="48"/>
      <c r="C120" s="77" t="s">
        <v>980</v>
      </c>
      <c r="D120" s="77" t="s">
        <v>1657</v>
      </c>
      <c r="E120" s="42">
        <f t="shared" si="41"/>
        <v>266</v>
      </c>
      <c r="F120" s="43">
        <f t="shared" si="21"/>
        <v>2120</v>
      </c>
      <c r="G120" s="44">
        <v>8</v>
      </c>
      <c r="H120" s="44">
        <v>1</v>
      </c>
      <c r="I120" s="44">
        <v>0</v>
      </c>
      <c r="J120" s="44">
        <v>0</v>
      </c>
      <c r="K120" s="44">
        <f t="shared" si="40"/>
        <v>255</v>
      </c>
      <c r="L120" s="44">
        <v>0</v>
      </c>
      <c r="M120" s="41" t="s">
        <v>932</v>
      </c>
      <c r="N120" s="44">
        <f t="shared" si="22"/>
        <v>3</v>
      </c>
      <c r="O120" s="40"/>
      <c r="P120" s="321" t="s">
        <v>2018</v>
      </c>
      <c r="Q120" s="44" t="s">
        <v>1098</v>
      </c>
      <c r="R120" s="48"/>
      <c r="S120" s="40" t="s">
        <v>978</v>
      </c>
      <c r="T120" s="47" t="s">
        <v>352</v>
      </c>
      <c r="U120" s="47" t="s">
        <v>352</v>
      </c>
      <c r="V120" s="47" t="s">
        <v>352</v>
      </c>
      <c r="W120" s="48"/>
      <c r="X120" s="48"/>
      <c r="Y120" s="77" t="s">
        <v>1657</v>
      </c>
      <c r="Z120" s="48"/>
      <c r="AA120" s="48"/>
    </row>
    <row r="121" spans="1:27" ht="24.75" outlineLevel="1" x14ac:dyDescent="0.35">
      <c r="A121" s="40"/>
      <c r="B121" s="40"/>
      <c r="C121" s="40" t="s">
        <v>1648</v>
      </c>
      <c r="D121" s="40" t="s">
        <v>1296</v>
      </c>
      <c r="E121" s="42" t="str">
        <f t="shared" si="41"/>
        <v>267-268</v>
      </c>
      <c r="F121" s="43">
        <f t="shared" si="21"/>
        <v>2128</v>
      </c>
      <c r="G121" s="44">
        <v>16</v>
      </c>
      <c r="H121" s="44">
        <v>1</v>
      </c>
      <c r="I121" s="44">
        <v>0</v>
      </c>
      <c r="J121" s="41">
        <v>0</v>
      </c>
      <c r="K121" s="44">
        <f t="shared" si="40"/>
        <v>65535</v>
      </c>
      <c r="L121" s="44">
        <v>0</v>
      </c>
      <c r="M121" s="41" t="s">
        <v>85</v>
      </c>
      <c r="N121" s="44">
        <f t="shared" si="22"/>
        <v>5</v>
      </c>
      <c r="O121" s="49"/>
      <c r="P121" s="322" t="s">
        <v>2019</v>
      </c>
      <c r="Q121" s="44" t="s">
        <v>1098</v>
      </c>
      <c r="R121" s="40"/>
      <c r="S121" s="40" t="s">
        <v>1206</v>
      </c>
      <c r="T121" s="47" t="s">
        <v>632</v>
      </c>
      <c r="U121" s="47" t="s">
        <v>548</v>
      </c>
      <c r="V121" s="47" t="s">
        <v>352</v>
      </c>
      <c r="W121" s="48"/>
      <c r="X121" s="48"/>
      <c r="Y121" s="40" t="s">
        <v>1296</v>
      </c>
      <c r="Z121" s="48"/>
      <c r="AA121" s="48"/>
    </row>
    <row r="122" spans="1:27" ht="24.75" outlineLevel="1" x14ac:dyDescent="0.35">
      <c r="A122" s="40"/>
      <c r="B122" s="40"/>
      <c r="C122" s="40" t="s">
        <v>1649</v>
      </c>
      <c r="D122" s="40" t="s">
        <v>157</v>
      </c>
      <c r="E122" s="42" t="str">
        <f t="shared" si="41"/>
        <v>269-270</v>
      </c>
      <c r="F122" s="43">
        <f t="shared" si="21"/>
        <v>2144</v>
      </c>
      <c r="G122" s="44">
        <v>16</v>
      </c>
      <c r="H122" s="44">
        <v>1</v>
      </c>
      <c r="I122" s="44">
        <v>0</v>
      </c>
      <c r="J122" s="41">
        <v>0</v>
      </c>
      <c r="K122" s="44">
        <f t="shared" si="40"/>
        <v>65535</v>
      </c>
      <c r="L122" s="44">
        <v>0</v>
      </c>
      <c r="M122" s="41" t="s">
        <v>85</v>
      </c>
      <c r="N122" s="44">
        <f t="shared" si="22"/>
        <v>5</v>
      </c>
      <c r="O122" s="49"/>
      <c r="P122" s="322" t="s">
        <v>2020</v>
      </c>
      <c r="Q122" s="44" t="s">
        <v>1098</v>
      </c>
      <c r="R122" s="40"/>
      <c r="S122" s="40" t="s">
        <v>1207</v>
      </c>
      <c r="T122" s="47" t="s">
        <v>632</v>
      </c>
      <c r="U122" s="47" t="s">
        <v>549</v>
      </c>
      <c r="V122" s="47" t="s">
        <v>352</v>
      </c>
      <c r="W122" s="48"/>
      <c r="X122" s="48"/>
      <c r="Y122" s="40" t="s">
        <v>157</v>
      </c>
      <c r="Z122" s="48"/>
      <c r="AA122" s="48"/>
    </row>
    <row r="123" spans="1:27" ht="24.75" outlineLevel="1" x14ac:dyDescent="0.35">
      <c r="A123" s="48"/>
      <c r="B123" s="48"/>
      <c r="C123" s="167" t="s">
        <v>185</v>
      </c>
      <c r="D123" s="264" t="s">
        <v>1794</v>
      </c>
      <c r="E123" s="164" t="str">
        <f t="shared" si="41"/>
        <v>271-274</v>
      </c>
      <c r="F123" s="165">
        <f t="shared" ref="F123:F128" si="42">F122+G122</f>
        <v>2160</v>
      </c>
      <c r="G123" s="164">
        <v>32</v>
      </c>
      <c r="H123" s="154">
        <v>1</v>
      </c>
      <c r="I123" s="42">
        <v>0</v>
      </c>
      <c r="J123" s="42">
        <v>0</v>
      </c>
      <c r="K123" s="42">
        <f>(POWER(2,G123)-1)*H123+I123</f>
        <v>4294967295</v>
      </c>
      <c r="L123" s="42">
        <v>0</v>
      </c>
      <c r="M123" s="42" t="s">
        <v>164</v>
      </c>
      <c r="N123" s="44">
        <f t="shared" ref="N123:N139" si="43">LEN(K123)</f>
        <v>10</v>
      </c>
      <c r="O123" s="48"/>
      <c r="P123" s="321" t="s">
        <v>2021</v>
      </c>
      <c r="Q123" s="41"/>
      <c r="R123" s="40"/>
      <c r="S123" s="47" t="s">
        <v>1496</v>
      </c>
      <c r="T123" s="47" t="s">
        <v>632</v>
      </c>
      <c r="U123" s="47" t="s">
        <v>578</v>
      </c>
      <c r="V123" s="47" t="s">
        <v>352</v>
      </c>
      <c r="W123" s="48"/>
      <c r="X123" s="48"/>
      <c r="Y123" s="264" t="s">
        <v>1794</v>
      </c>
      <c r="Z123" s="48"/>
      <c r="AA123" s="48"/>
    </row>
    <row r="124" spans="1:27" ht="24.75" outlineLevel="1" x14ac:dyDescent="0.35">
      <c r="A124" s="48"/>
      <c r="B124" s="48"/>
      <c r="C124" s="167" t="s">
        <v>187</v>
      </c>
      <c r="D124" s="264" t="s">
        <v>1795</v>
      </c>
      <c r="E124" s="164" t="str">
        <f t="shared" si="41"/>
        <v>275-278</v>
      </c>
      <c r="F124" s="165">
        <f t="shared" si="42"/>
        <v>2192</v>
      </c>
      <c r="G124" s="164">
        <v>32</v>
      </c>
      <c r="H124" s="154">
        <v>1</v>
      </c>
      <c r="I124" s="42">
        <v>0</v>
      </c>
      <c r="J124" s="42">
        <v>0</v>
      </c>
      <c r="K124" s="42">
        <f>(POWER(2,G124)-1)*H124+I124</f>
        <v>4294967295</v>
      </c>
      <c r="L124" s="42">
        <v>0</v>
      </c>
      <c r="M124" s="42" t="s">
        <v>137</v>
      </c>
      <c r="N124" s="44">
        <f t="shared" si="43"/>
        <v>10</v>
      </c>
      <c r="O124" s="48"/>
      <c r="P124" s="321" t="s">
        <v>2022</v>
      </c>
      <c r="Q124" s="41"/>
      <c r="R124" s="40"/>
      <c r="S124" s="47" t="s">
        <v>1497</v>
      </c>
      <c r="T124" s="47" t="s">
        <v>632</v>
      </c>
      <c r="U124" s="47" t="s">
        <v>579</v>
      </c>
      <c r="V124" s="47" t="s">
        <v>352</v>
      </c>
      <c r="W124" s="48"/>
      <c r="X124" s="48"/>
      <c r="Y124" s="264" t="s">
        <v>1795</v>
      </c>
      <c r="Z124" s="48"/>
      <c r="AA124" s="48"/>
    </row>
    <row r="125" spans="1:27" ht="24.75" outlineLevel="1" x14ac:dyDescent="0.35">
      <c r="A125" s="48"/>
      <c r="B125" s="48"/>
      <c r="C125" s="167" t="s">
        <v>189</v>
      </c>
      <c r="D125" s="264" t="s">
        <v>1796</v>
      </c>
      <c r="E125" s="164" t="str">
        <f t="shared" si="41"/>
        <v>279-282</v>
      </c>
      <c r="F125" s="165">
        <f t="shared" si="42"/>
        <v>2224</v>
      </c>
      <c r="G125" s="164">
        <v>32</v>
      </c>
      <c r="H125" s="154">
        <v>1</v>
      </c>
      <c r="I125" s="42">
        <v>0</v>
      </c>
      <c r="J125" s="42">
        <v>0</v>
      </c>
      <c r="K125" s="42">
        <f>(POWER(2,G125)-1)*H125+I125</f>
        <v>4294967295</v>
      </c>
      <c r="L125" s="42">
        <v>0</v>
      </c>
      <c r="M125" s="42" t="s">
        <v>164</v>
      </c>
      <c r="N125" s="44">
        <f t="shared" si="43"/>
        <v>10</v>
      </c>
      <c r="O125" s="48"/>
      <c r="P125" s="321" t="s">
        <v>2023</v>
      </c>
      <c r="Q125" s="41"/>
      <c r="R125" s="40"/>
      <c r="S125" s="47" t="s">
        <v>1494</v>
      </c>
      <c r="T125" s="47" t="s">
        <v>632</v>
      </c>
      <c r="U125" s="47" t="s">
        <v>580</v>
      </c>
      <c r="V125" s="47" t="s">
        <v>352</v>
      </c>
      <c r="W125" s="48"/>
      <c r="X125" s="48"/>
      <c r="Y125" s="264" t="s">
        <v>1796</v>
      </c>
      <c r="Z125" s="48"/>
      <c r="AA125" s="48"/>
    </row>
    <row r="126" spans="1:27" ht="24.75" outlineLevel="1" x14ac:dyDescent="0.35">
      <c r="A126" s="48"/>
      <c r="B126" s="48"/>
      <c r="C126" s="167" t="s">
        <v>190</v>
      </c>
      <c r="D126" s="264" t="s">
        <v>1797</v>
      </c>
      <c r="E126" s="164" t="str">
        <f t="shared" si="41"/>
        <v>283-286</v>
      </c>
      <c r="F126" s="165">
        <f t="shared" si="42"/>
        <v>2256</v>
      </c>
      <c r="G126" s="164">
        <v>32</v>
      </c>
      <c r="H126" s="154">
        <v>1</v>
      </c>
      <c r="I126" s="42">
        <v>0</v>
      </c>
      <c r="J126" s="42">
        <v>0</v>
      </c>
      <c r="K126" s="42">
        <f>(POWER(2,G126)-1)*H126+I126</f>
        <v>4294967295</v>
      </c>
      <c r="L126" s="42">
        <v>0</v>
      </c>
      <c r="M126" s="42" t="s">
        <v>137</v>
      </c>
      <c r="N126" s="44">
        <f t="shared" si="43"/>
        <v>10</v>
      </c>
      <c r="O126" s="48"/>
      <c r="P126" s="321" t="s">
        <v>2024</v>
      </c>
      <c r="Q126" s="41"/>
      <c r="R126" s="40"/>
      <c r="S126" s="47" t="s">
        <v>1495</v>
      </c>
      <c r="T126" s="47" t="s">
        <v>632</v>
      </c>
      <c r="U126" s="47" t="s">
        <v>581</v>
      </c>
      <c r="V126" s="47" t="s">
        <v>352</v>
      </c>
      <c r="W126" s="48"/>
      <c r="X126" s="48"/>
      <c r="Y126" s="264" t="s">
        <v>1797</v>
      </c>
      <c r="Z126" s="48"/>
      <c r="AA126" s="48"/>
    </row>
    <row r="127" spans="1:27" ht="24.75" outlineLevel="1" x14ac:dyDescent="0.35">
      <c r="A127" s="48"/>
      <c r="B127" s="48"/>
      <c r="C127" s="40" t="s">
        <v>1498</v>
      </c>
      <c r="D127" s="40" t="s">
        <v>1798</v>
      </c>
      <c r="E127" s="42" t="str">
        <f t="shared" si="41"/>
        <v>287-288</v>
      </c>
      <c r="F127" s="43">
        <f t="shared" si="42"/>
        <v>2288</v>
      </c>
      <c r="G127" s="44">
        <v>16</v>
      </c>
      <c r="H127" s="44">
        <v>0.1</v>
      </c>
      <c r="I127" s="44">
        <v>0</v>
      </c>
      <c r="J127" s="44">
        <v>0</v>
      </c>
      <c r="K127" s="44">
        <f t="shared" ref="K127:K139" si="44">(POWER(2,G127)-1)*H127+I127</f>
        <v>6553.5</v>
      </c>
      <c r="L127" s="44">
        <v>0</v>
      </c>
      <c r="M127" s="41" t="s">
        <v>867</v>
      </c>
      <c r="N127" s="44">
        <f t="shared" si="43"/>
        <v>6</v>
      </c>
      <c r="O127" s="40"/>
      <c r="P127" s="322" t="s">
        <v>2025</v>
      </c>
      <c r="Q127" s="41"/>
      <c r="R127" s="48"/>
      <c r="S127" s="40" t="s">
        <v>1502</v>
      </c>
      <c r="T127" s="47" t="s">
        <v>632</v>
      </c>
      <c r="U127" s="47" t="s">
        <v>1504</v>
      </c>
      <c r="V127" s="47" t="s">
        <v>352</v>
      </c>
      <c r="W127" s="48"/>
      <c r="X127" s="48"/>
      <c r="Y127" s="40" t="s">
        <v>2151</v>
      </c>
      <c r="Z127" s="48"/>
      <c r="AA127" s="48"/>
    </row>
    <row r="128" spans="1:27" ht="24.75" outlineLevel="1" x14ac:dyDescent="0.35">
      <c r="A128" s="48"/>
      <c r="B128" s="48"/>
      <c r="C128" s="40" t="s">
        <v>1499</v>
      </c>
      <c r="D128" s="40" t="s">
        <v>1799</v>
      </c>
      <c r="E128" s="42" t="str">
        <f t="shared" si="41"/>
        <v>289-290</v>
      </c>
      <c r="F128" s="43">
        <f t="shared" si="42"/>
        <v>2304</v>
      </c>
      <c r="G128" s="44">
        <v>16</v>
      </c>
      <c r="H128" s="44">
        <v>0.1</v>
      </c>
      <c r="I128" s="44">
        <v>0</v>
      </c>
      <c r="J128" s="44">
        <v>0</v>
      </c>
      <c r="K128" s="44">
        <f t="shared" si="44"/>
        <v>6553.5</v>
      </c>
      <c r="L128" s="44">
        <v>0</v>
      </c>
      <c r="M128" s="41" t="s">
        <v>867</v>
      </c>
      <c r="N128" s="44">
        <f t="shared" si="43"/>
        <v>6</v>
      </c>
      <c r="O128" s="49"/>
      <c r="P128" s="322" t="s">
        <v>2026</v>
      </c>
      <c r="Q128" s="41"/>
      <c r="R128" s="48"/>
      <c r="S128" s="40" t="s">
        <v>1503</v>
      </c>
      <c r="T128" s="47" t="s">
        <v>632</v>
      </c>
      <c r="U128" s="47" t="s">
        <v>1505</v>
      </c>
      <c r="V128" s="47" t="s">
        <v>352</v>
      </c>
      <c r="W128" s="48"/>
      <c r="X128" s="48"/>
      <c r="Y128" s="40" t="s">
        <v>2152</v>
      </c>
      <c r="Z128" s="48"/>
      <c r="AA128" s="48"/>
    </row>
    <row r="129" spans="1:27" ht="24.75" outlineLevel="1" x14ac:dyDescent="0.35">
      <c r="A129" s="48"/>
      <c r="B129" s="48"/>
      <c r="C129" s="40" t="s">
        <v>1523</v>
      </c>
      <c r="D129" s="40" t="s">
        <v>1525</v>
      </c>
      <c r="E129" s="42">
        <f t="shared" ref="E129:E130" si="45">IF(INT((F129 + G129-1) / 8) + 1 = INT(F129 / 8) + 1, INT(F129 / 8) + 1, INT(F129 / 8) + 1 &amp; "-" &amp; INT((F129 + G129 - 1) / 8) + 1)</f>
        <v>291</v>
      </c>
      <c r="F129" s="43">
        <f t="shared" ref="F129:F130" si="46">F128+G128</f>
        <v>2320</v>
      </c>
      <c r="G129" s="44">
        <v>8</v>
      </c>
      <c r="H129" s="44">
        <v>1</v>
      </c>
      <c r="I129" s="44">
        <v>0</v>
      </c>
      <c r="J129" s="44">
        <v>0</v>
      </c>
      <c r="K129" s="44">
        <f t="shared" si="44"/>
        <v>255</v>
      </c>
      <c r="L129" s="44">
        <v>0</v>
      </c>
      <c r="M129" s="41" t="s">
        <v>1478</v>
      </c>
      <c r="N129" s="44">
        <f t="shared" si="43"/>
        <v>3</v>
      </c>
      <c r="O129" s="49"/>
      <c r="P129" s="321" t="s">
        <v>2027</v>
      </c>
      <c r="Q129" s="41"/>
      <c r="R129" s="48"/>
      <c r="S129" s="40" t="s">
        <v>1527</v>
      </c>
      <c r="T129" s="47" t="s">
        <v>352</v>
      </c>
      <c r="U129" s="47" t="s">
        <v>1529</v>
      </c>
      <c r="V129" s="47" t="s">
        <v>352</v>
      </c>
      <c r="W129" s="48"/>
      <c r="X129" s="48"/>
      <c r="Y129" s="40" t="s">
        <v>1525</v>
      </c>
      <c r="Z129" s="48"/>
      <c r="AA129" s="48"/>
    </row>
    <row r="130" spans="1:27" ht="24.75" outlineLevel="1" x14ac:dyDescent="0.35">
      <c r="A130" s="48"/>
      <c r="B130" s="48"/>
      <c r="C130" s="40" t="s">
        <v>1524</v>
      </c>
      <c r="D130" s="40" t="s">
        <v>1526</v>
      </c>
      <c r="E130" s="42">
        <f t="shared" si="45"/>
        <v>292</v>
      </c>
      <c r="F130" s="43">
        <f t="shared" si="46"/>
        <v>2328</v>
      </c>
      <c r="G130" s="44">
        <v>8</v>
      </c>
      <c r="H130" s="44">
        <v>1</v>
      </c>
      <c r="I130" s="44">
        <v>0</v>
      </c>
      <c r="J130" s="44">
        <v>0</v>
      </c>
      <c r="K130" s="44">
        <f t="shared" si="44"/>
        <v>255</v>
      </c>
      <c r="L130" s="44">
        <v>0</v>
      </c>
      <c r="M130" s="41" t="s">
        <v>1478</v>
      </c>
      <c r="N130" s="44">
        <f t="shared" si="43"/>
        <v>3</v>
      </c>
      <c r="O130" s="49"/>
      <c r="P130" s="321" t="s">
        <v>2028</v>
      </c>
      <c r="Q130" s="41"/>
      <c r="R130" s="48"/>
      <c r="S130" s="40" t="s">
        <v>1528</v>
      </c>
      <c r="T130" s="47" t="s">
        <v>352</v>
      </c>
      <c r="U130" s="47" t="s">
        <v>1530</v>
      </c>
      <c r="V130" s="47" t="s">
        <v>352</v>
      </c>
      <c r="W130" s="48"/>
      <c r="X130" s="48"/>
      <c r="Y130" s="40" t="s">
        <v>1526</v>
      </c>
      <c r="Z130" s="48"/>
      <c r="AA130" s="48"/>
    </row>
    <row r="131" spans="1:27" ht="24.75" outlineLevel="1" x14ac:dyDescent="0.35">
      <c r="A131" s="48"/>
      <c r="B131" s="48"/>
      <c r="C131" s="40" t="s">
        <v>1670</v>
      </c>
      <c r="D131" s="40" t="s">
        <v>1669</v>
      </c>
      <c r="E131" s="42" t="str">
        <f t="shared" ref="E131:E135" si="47">IF(INT((F131 + G131-1) / 8) + 1 = INT(F131 / 8) + 1, INT(F131 / 8) + 1, INT(F131 / 8) + 1 &amp; "-" &amp; INT((F131 + G131 - 1) / 8) + 1)</f>
        <v>293-294</v>
      </c>
      <c r="F131" s="43">
        <f t="shared" ref="F131:F135" si="48">F130+G130</f>
        <v>2336</v>
      </c>
      <c r="G131" s="44">
        <v>16</v>
      </c>
      <c r="H131" s="44">
        <v>1</v>
      </c>
      <c r="I131" s="44">
        <v>0</v>
      </c>
      <c r="J131" s="44">
        <v>0</v>
      </c>
      <c r="K131" s="44">
        <f t="shared" si="44"/>
        <v>65535</v>
      </c>
      <c r="L131" s="44">
        <v>0</v>
      </c>
      <c r="M131" s="41" t="s">
        <v>1614</v>
      </c>
      <c r="N131" s="44">
        <f t="shared" si="43"/>
        <v>5</v>
      </c>
      <c r="O131" s="49"/>
      <c r="P131" s="321" t="s">
        <v>2029</v>
      </c>
      <c r="Q131" s="44" t="s">
        <v>1098</v>
      </c>
      <c r="R131" s="48"/>
      <c r="S131" s="40" t="s">
        <v>1668</v>
      </c>
      <c r="T131" s="47" t="s">
        <v>632</v>
      </c>
      <c r="U131" s="47" t="s">
        <v>632</v>
      </c>
      <c r="V131" s="47" t="s">
        <v>632</v>
      </c>
      <c r="W131" s="48"/>
      <c r="X131" s="48"/>
      <c r="Y131" s="40" t="s">
        <v>1669</v>
      </c>
      <c r="Z131" s="48"/>
      <c r="AA131" s="48"/>
    </row>
    <row r="132" spans="1:27" ht="24.75" outlineLevel="1" x14ac:dyDescent="0.35">
      <c r="A132" s="40"/>
      <c r="B132" s="40"/>
      <c r="C132" s="40" t="s">
        <v>1012</v>
      </c>
      <c r="D132" s="40" t="s">
        <v>1658</v>
      </c>
      <c r="E132" s="42" t="str">
        <f t="shared" si="47"/>
        <v>295-296</v>
      </c>
      <c r="F132" s="43">
        <f>F131+G131</f>
        <v>2352</v>
      </c>
      <c r="G132" s="44">
        <v>16</v>
      </c>
      <c r="H132" s="44">
        <v>0.1</v>
      </c>
      <c r="I132" s="44">
        <v>-40</v>
      </c>
      <c r="J132" s="44">
        <v>-40</v>
      </c>
      <c r="K132" s="44">
        <f t="shared" si="44"/>
        <v>6513.5</v>
      </c>
      <c r="L132" s="44">
        <v>0</v>
      </c>
      <c r="M132" s="41" t="s">
        <v>113</v>
      </c>
      <c r="N132" s="44">
        <f t="shared" si="43"/>
        <v>6</v>
      </c>
      <c r="O132" s="49"/>
      <c r="P132" s="321" t="s">
        <v>2030</v>
      </c>
      <c r="Q132" s="41"/>
      <c r="R132" s="40"/>
      <c r="S132" s="40" t="s">
        <v>1636</v>
      </c>
      <c r="T132" s="47" t="s">
        <v>352</v>
      </c>
      <c r="U132" s="47" t="s">
        <v>632</v>
      </c>
      <c r="V132" s="47" t="s">
        <v>352</v>
      </c>
      <c r="W132" s="48"/>
      <c r="X132" s="48"/>
      <c r="Y132" s="40" t="s">
        <v>1658</v>
      </c>
      <c r="Z132" s="48"/>
      <c r="AA132" s="48"/>
    </row>
    <row r="133" spans="1:27" ht="24.75" outlineLevel="1" x14ac:dyDescent="0.35">
      <c r="A133" s="40"/>
      <c r="B133" s="40"/>
      <c r="C133" s="40" t="s">
        <v>1013</v>
      </c>
      <c r="D133" s="40" t="s">
        <v>1659</v>
      </c>
      <c r="E133" s="42" t="str">
        <f t="shared" si="47"/>
        <v>297-298</v>
      </c>
      <c r="F133" s="43">
        <f t="shared" si="48"/>
        <v>2368</v>
      </c>
      <c r="G133" s="44">
        <v>16</v>
      </c>
      <c r="H133" s="44">
        <v>0.1</v>
      </c>
      <c r="I133" s="44">
        <v>-40</v>
      </c>
      <c r="J133" s="44">
        <v>-40</v>
      </c>
      <c r="K133" s="44">
        <f t="shared" si="44"/>
        <v>6513.5</v>
      </c>
      <c r="L133" s="44">
        <v>0</v>
      </c>
      <c r="M133" s="41" t="s">
        <v>113</v>
      </c>
      <c r="N133" s="44">
        <f t="shared" si="43"/>
        <v>6</v>
      </c>
      <c r="O133" s="49"/>
      <c r="P133" s="321" t="s">
        <v>2031</v>
      </c>
      <c r="Q133" s="41"/>
      <c r="R133" s="40"/>
      <c r="S133" s="40" t="s">
        <v>1637</v>
      </c>
      <c r="T133" s="47" t="s">
        <v>352</v>
      </c>
      <c r="U133" s="47" t="s">
        <v>632</v>
      </c>
      <c r="V133" s="47" t="s">
        <v>352</v>
      </c>
      <c r="W133" s="48"/>
      <c r="X133" s="48"/>
      <c r="Y133" s="40" t="s">
        <v>1659</v>
      </c>
      <c r="Z133" s="48"/>
      <c r="AA133" s="48"/>
    </row>
    <row r="134" spans="1:27" ht="24.75" outlineLevel="1" x14ac:dyDescent="0.35">
      <c r="A134" s="40"/>
      <c r="B134" s="40"/>
      <c r="C134" s="40" t="s">
        <v>1014</v>
      </c>
      <c r="D134" s="40" t="s">
        <v>1660</v>
      </c>
      <c r="E134" s="42" t="str">
        <f t="shared" si="47"/>
        <v>299-300</v>
      </c>
      <c r="F134" s="43">
        <f t="shared" si="48"/>
        <v>2384</v>
      </c>
      <c r="G134" s="44">
        <v>16</v>
      </c>
      <c r="H134" s="44">
        <v>0.1</v>
      </c>
      <c r="I134" s="44">
        <v>-40</v>
      </c>
      <c r="J134" s="44">
        <v>-40</v>
      </c>
      <c r="K134" s="44">
        <f t="shared" si="44"/>
        <v>6513.5</v>
      </c>
      <c r="L134" s="44">
        <v>0</v>
      </c>
      <c r="M134" s="41" t="s">
        <v>113</v>
      </c>
      <c r="N134" s="44">
        <f t="shared" si="43"/>
        <v>6</v>
      </c>
      <c r="O134" s="49"/>
      <c r="P134" s="321" t="s">
        <v>2032</v>
      </c>
      <c r="Q134" s="41"/>
      <c r="R134" s="40"/>
      <c r="S134" s="40" t="s">
        <v>1638</v>
      </c>
      <c r="T134" s="47" t="s">
        <v>352</v>
      </c>
      <c r="U134" s="47" t="s">
        <v>632</v>
      </c>
      <c r="V134" s="47" t="s">
        <v>352</v>
      </c>
      <c r="W134" s="48"/>
      <c r="X134" s="48"/>
      <c r="Y134" s="40" t="s">
        <v>1660</v>
      </c>
      <c r="Z134" s="48"/>
      <c r="AA134" s="48"/>
    </row>
    <row r="135" spans="1:27" ht="24.75" outlineLevel="1" x14ac:dyDescent="0.35">
      <c r="A135" s="40"/>
      <c r="B135" s="40"/>
      <c r="C135" s="40" t="s">
        <v>1015</v>
      </c>
      <c r="D135" s="40" t="s">
        <v>1661</v>
      </c>
      <c r="E135" s="42" t="str">
        <f t="shared" si="47"/>
        <v>301-302</v>
      </c>
      <c r="F135" s="43">
        <f t="shared" si="48"/>
        <v>2400</v>
      </c>
      <c r="G135" s="44">
        <v>16</v>
      </c>
      <c r="H135" s="44">
        <v>0.1</v>
      </c>
      <c r="I135" s="44">
        <v>-40</v>
      </c>
      <c r="J135" s="44">
        <v>-40</v>
      </c>
      <c r="K135" s="44">
        <f t="shared" si="44"/>
        <v>6513.5</v>
      </c>
      <c r="L135" s="44">
        <v>0</v>
      </c>
      <c r="M135" s="41" t="s">
        <v>113</v>
      </c>
      <c r="N135" s="44">
        <f t="shared" si="43"/>
        <v>6</v>
      </c>
      <c r="O135" s="49"/>
      <c r="P135" s="321" t="s">
        <v>2033</v>
      </c>
      <c r="Q135" s="41"/>
      <c r="R135" s="40"/>
      <c r="S135" s="40" t="s">
        <v>1639</v>
      </c>
      <c r="T135" s="47" t="s">
        <v>352</v>
      </c>
      <c r="U135" s="47" t="s">
        <v>632</v>
      </c>
      <c r="V135" s="47" t="s">
        <v>352</v>
      </c>
      <c r="W135" s="48"/>
      <c r="X135" s="48"/>
      <c r="Y135" s="40" t="s">
        <v>1661</v>
      </c>
      <c r="Z135" s="48"/>
      <c r="AA135" s="48"/>
    </row>
    <row r="136" spans="1:27" ht="24.75" outlineLevel="1" x14ac:dyDescent="0.35">
      <c r="A136" s="40"/>
      <c r="B136" s="40"/>
      <c r="C136" s="40" t="s">
        <v>1728</v>
      </c>
      <c r="D136" s="40" t="s">
        <v>1731</v>
      </c>
      <c r="E136" s="42" t="str">
        <f t="shared" ref="E136:E139" si="49">IF(INT((F136 + G136-1) / 8) + 1 = INT(F136 / 8) + 1, INT(F136 / 8) + 1, INT(F136 / 8) + 1 &amp; "-" &amp; INT((F136 + G136 - 1) / 8) + 1)</f>
        <v>303-304</v>
      </c>
      <c r="F136" s="43">
        <f t="shared" ref="F136:F139" si="50">F135+G135</f>
        <v>2416</v>
      </c>
      <c r="G136" s="44">
        <v>16</v>
      </c>
      <c r="H136" s="44">
        <v>0.1</v>
      </c>
      <c r="I136" s="44">
        <v>0</v>
      </c>
      <c r="J136" s="44">
        <v>0</v>
      </c>
      <c r="K136" s="44">
        <f t="shared" si="44"/>
        <v>6553.5</v>
      </c>
      <c r="L136" s="44">
        <v>0</v>
      </c>
      <c r="M136" s="41" t="s">
        <v>1614</v>
      </c>
      <c r="N136" s="44">
        <f t="shared" si="43"/>
        <v>6</v>
      </c>
      <c r="O136" s="49"/>
      <c r="P136" s="321" t="s">
        <v>2034</v>
      </c>
      <c r="Q136" s="41"/>
      <c r="R136" s="40"/>
      <c r="S136" s="40" t="s">
        <v>1736</v>
      </c>
      <c r="T136" s="47" t="s">
        <v>632</v>
      </c>
      <c r="U136" s="47" t="s">
        <v>632</v>
      </c>
      <c r="V136" s="47" t="s">
        <v>632</v>
      </c>
      <c r="W136" s="48"/>
      <c r="X136" s="48"/>
      <c r="Y136" s="40" t="s">
        <v>1731</v>
      </c>
      <c r="Z136" s="48"/>
      <c r="AA136" s="48"/>
    </row>
    <row r="137" spans="1:27" ht="24.75" outlineLevel="1" x14ac:dyDescent="0.35">
      <c r="A137" s="40"/>
      <c r="B137" s="40"/>
      <c r="C137" s="40" t="s">
        <v>1727</v>
      </c>
      <c r="D137" s="40" t="s">
        <v>1732</v>
      </c>
      <c r="E137" s="42" t="str">
        <f t="shared" si="49"/>
        <v>305-306</v>
      </c>
      <c r="F137" s="43">
        <f t="shared" si="50"/>
        <v>2432</v>
      </c>
      <c r="G137" s="44">
        <v>16</v>
      </c>
      <c r="H137" s="44">
        <v>0.1</v>
      </c>
      <c r="I137" s="44">
        <v>0</v>
      </c>
      <c r="J137" s="44">
        <v>0</v>
      </c>
      <c r="K137" s="44">
        <f t="shared" si="44"/>
        <v>6553.5</v>
      </c>
      <c r="L137" s="44">
        <v>0</v>
      </c>
      <c r="M137" s="41" t="s">
        <v>1614</v>
      </c>
      <c r="N137" s="44">
        <f t="shared" si="43"/>
        <v>6</v>
      </c>
      <c r="O137" s="49"/>
      <c r="P137" s="321" t="s">
        <v>2035</v>
      </c>
      <c r="Q137" s="41"/>
      <c r="R137" s="40"/>
      <c r="S137" s="40" t="s">
        <v>1737</v>
      </c>
      <c r="T137" s="47" t="s">
        <v>632</v>
      </c>
      <c r="U137" s="47" t="s">
        <v>632</v>
      </c>
      <c r="V137" s="47" t="s">
        <v>632</v>
      </c>
      <c r="W137" s="48"/>
      <c r="X137" s="48"/>
      <c r="Y137" s="40" t="s">
        <v>1732</v>
      </c>
      <c r="Z137" s="48"/>
      <c r="AA137" s="48"/>
    </row>
    <row r="138" spans="1:27" ht="24.75" outlineLevel="1" x14ac:dyDescent="0.35">
      <c r="A138" s="40"/>
      <c r="B138" s="40"/>
      <c r="C138" s="40" t="s">
        <v>1729</v>
      </c>
      <c r="D138" s="40" t="s">
        <v>1733</v>
      </c>
      <c r="E138" s="42" t="str">
        <f t="shared" si="49"/>
        <v>307-308</v>
      </c>
      <c r="F138" s="43">
        <f t="shared" si="50"/>
        <v>2448</v>
      </c>
      <c r="G138" s="44">
        <v>16</v>
      </c>
      <c r="H138" s="44">
        <v>0.1</v>
      </c>
      <c r="I138" s="44">
        <v>0</v>
      </c>
      <c r="J138" s="44">
        <v>0</v>
      </c>
      <c r="K138" s="44">
        <f t="shared" si="44"/>
        <v>6553.5</v>
      </c>
      <c r="L138" s="44">
        <v>0</v>
      </c>
      <c r="M138" s="41" t="s">
        <v>1735</v>
      </c>
      <c r="N138" s="44">
        <f t="shared" si="43"/>
        <v>6</v>
      </c>
      <c r="O138" s="49"/>
      <c r="P138" s="321" t="s">
        <v>2036</v>
      </c>
      <c r="Q138" s="41"/>
      <c r="R138" s="40"/>
      <c r="S138" s="40" t="s">
        <v>1738</v>
      </c>
      <c r="T138" s="47" t="s">
        <v>632</v>
      </c>
      <c r="U138" s="47" t="s">
        <v>632</v>
      </c>
      <c r="V138" s="47" t="s">
        <v>632</v>
      </c>
      <c r="W138" s="48"/>
      <c r="X138" s="48"/>
      <c r="Y138" s="40" t="s">
        <v>1733</v>
      </c>
      <c r="Z138" s="48"/>
      <c r="AA138" s="48"/>
    </row>
    <row r="139" spans="1:27" ht="24.75" outlineLevel="1" x14ac:dyDescent="0.35">
      <c r="A139" s="40"/>
      <c r="B139" s="40"/>
      <c r="C139" s="40" t="s">
        <v>1730</v>
      </c>
      <c r="D139" s="40" t="s">
        <v>1734</v>
      </c>
      <c r="E139" s="42" t="str">
        <f t="shared" si="49"/>
        <v>309-310</v>
      </c>
      <c r="F139" s="43">
        <f t="shared" si="50"/>
        <v>2464</v>
      </c>
      <c r="G139" s="44">
        <v>16</v>
      </c>
      <c r="H139" s="44">
        <v>1</v>
      </c>
      <c r="I139" s="44">
        <v>0</v>
      </c>
      <c r="J139" s="44">
        <v>0</v>
      </c>
      <c r="K139" s="44">
        <f t="shared" si="44"/>
        <v>65535</v>
      </c>
      <c r="L139" s="44">
        <v>0</v>
      </c>
      <c r="M139" s="41" t="s">
        <v>1724</v>
      </c>
      <c r="N139" s="44">
        <f t="shared" si="43"/>
        <v>5</v>
      </c>
      <c r="O139" s="49"/>
      <c r="P139" s="321" t="s">
        <v>2037</v>
      </c>
      <c r="Q139" s="41"/>
      <c r="R139" s="40"/>
      <c r="S139" s="40" t="s">
        <v>1739</v>
      </c>
      <c r="T139" s="47" t="s">
        <v>632</v>
      </c>
      <c r="U139" s="47" t="s">
        <v>632</v>
      </c>
      <c r="V139" s="47" t="s">
        <v>632</v>
      </c>
      <c r="W139" s="48"/>
      <c r="X139" s="48"/>
      <c r="Y139" s="40" t="s">
        <v>1734</v>
      </c>
      <c r="Z139" s="48"/>
      <c r="AA139" s="48"/>
    </row>
    <row r="140" spans="1:27" ht="24.75" collapsed="1" x14ac:dyDescent="0.35">
      <c r="A140" s="34" t="s">
        <v>971</v>
      </c>
      <c r="B140" s="53" t="str">
        <f>VLOOKUP(A140,'Message ID'!A:O,2,FALSE)</f>
        <v>Cell Balancing State 
电芯均衡状态</v>
      </c>
      <c r="C140" s="34"/>
      <c r="D140" s="34"/>
      <c r="E140" s="33">
        <v>52</v>
      </c>
      <c r="F140" s="35"/>
      <c r="G140" s="36"/>
      <c r="H140" s="36"/>
      <c r="I140" s="36"/>
      <c r="J140" s="36"/>
      <c r="K140" s="36"/>
      <c r="L140" s="36"/>
      <c r="M140" s="36"/>
      <c r="N140" s="33">
        <f>N141*416</f>
        <v>416</v>
      </c>
      <c r="O140" s="37"/>
      <c r="P140" s="36"/>
      <c r="Q140" s="36"/>
      <c r="R140" s="34"/>
      <c r="S140" s="34"/>
      <c r="T140" s="128"/>
      <c r="U140" s="38"/>
      <c r="V140" s="38"/>
      <c r="W140" s="39"/>
      <c r="X140" s="39"/>
      <c r="Y140" s="34"/>
      <c r="Z140" s="39"/>
      <c r="AA140" s="39"/>
    </row>
    <row r="141" spans="1:27" ht="24.75" hidden="1" outlineLevel="1" x14ac:dyDescent="0.35">
      <c r="A141" s="40"/>
      <c r="B141" s="41"/>
      <c r="C141" s="120" t="s">
        <v>1080</v>
      </c>
      <c r="D141" s="40" t="s">
        <v>1297</v>
      </c>
      <c r="E141" s="229" t="s">
        <v>197</v>
      </c>
      <c r="F141" s="43">
        <v>0</v>
      </c>
      <c r="G141" s="44">
        <v>1</v>
      </c>
      <c r="H141" s="44">
        <v>1</v>
      </c>
      <c r="I141" s="44">
        <v>0</v>
      </c>
      <c r="J141" s="44">
        <v>0</v>
      </c>
      <c r="K141" s="44">
        <f>(POWER(2,G141)-1)*H141+I141</f>
        <v>1</v>
      </c>
      <c r="L141" s="44">
        <v>0</v>
      </c>
      <c r="M141" s="41" t="s">
        <v>85</v>
      </c>
      <c r="N141" s="44">
        <f>LEN(K141)</f>
        <v>1</v>
      </c>
      <c r="O141" s="49"/>
      <c r="P141" s="41"/>
      <c r="Q141" s="41" t="s">
        <v>1098</v>
      </c>
      <c r="R141" s="40"/>
      <c r="S141" s="40" t="s">
        <v>973</v>
      </c>
      <c r="T141" s="47" t="s">
        <v>352</v>
      </c>
      <c r="U141" s="47" t="s">
        <v>352</v>
      </c>
      <c r="V141" s="47" t="s">
        <v>352</v>
      </c>
      <c r="W141" s="327" t="s">
        <v>2199</v>
      </c>
      <c r="X141" s="48"/>
      <c r="Y141" s="40" t="s">
        <v>1297</v>
      </c>
      <c r="Z141" s="48"/>
      <c r="AA141" s="48"/>
    </row>
    <row r="142" spans="1:27" collapsed="1" x14ac:dyDescent="0.35">
      <c r="A142" s="34" t="s">
        <v>972</v>
      </c>
      <c r="B142" s="52" t="str">
        <f>VLOOKUP(A142,'Message ID'!A:O,2,FALSE)</f>
        <v>单体电芯自放电率</v>
      </c>
      <c r="C142" s="34"/>
      <c r="D142" s="34"/>
      <c r="E142" s="33">
        <v>416</v>
      </c>
      <c r="F142" s="35"/>
      <c r="G142" s="36"/>
      <c r="H142" s="36"/>
      <c r="I142" s="36"/>
      <c r="J142" s="36"/>
      <c r="K142" s="36"/>
      <c r="L142" s="36"/>
      <c r="M142" s="36"/>
      <c r="N142" s="33">
        <f>N143*416</f>
        <v>2080</v>
      </c>
      <c r="O142" s="37"/>
      <c r="P142" s="36"/>
      <c r="Q142" s="36"/>
      <c r="R142" s="34"/>
      <c r="S142" s="34"/>
      <c r="T142" s="128"/>
      <c r="U142" s="38"/>
      <c r="V142" s="38"/>
      <c r="W142" s="39"/>
      <c r="X142" s="39"/>
      <c r="Y142" s="34"/>
      <c r="Z142" s="39"/>
      <c r="AA142" s="39"/>
    </row>
    <row r="143" spans="1:27" ht="24.75" hidden="1" outlineLevel="1" x14ac:dyDescent="0.35">
      <c r="A143" s="40"/>
      <c r="B143" s="41"/>
      <c r="C143" s="120" t="s">
        <v>1081</v>
      </c>
      <c r="D143" s="40" t="s">
        <v>1298</v>
      </c>
      <c r="E143" s="229" t="s">
        <v>201</v>
      </c>
      <c r="F143" s="43">
        <v>0</v>
      </c>
      <c r="G143" s="44">
        <v>8</v>
      </c>
      <c r="H143" s="44">
        <v>0.5</v>
      </c>
      <c r="I143" s="44">
        <v>0</v>
      </c>
      <c r="J143" s="44">
        <v>0</v>
      </c>
      <c r="K143" s="44">
        <f>(POWER(2,G143)-1)*H143+I143</f>
        <v>127.5</v>
      </c>
      <c r="L143" s="44">
        <v>0</v>
      </c>
      <c r="M143" s="41" t="s">
        <v>202</v>
      </c>
      <c r="N143" s="44">
        <f>LEN(K143)</f>
        <v>5</v>
      </c>
      <c r="O143" s="49"/>
      <c r="P143" s="41"/>
      <c r="Q143" s="41" t="s">
        <v>1098</v>
      </c>
      <c r="R143" s="40"/>
      <c r="S143" s="40" t="s">
        <v>974</v>
      </c>
      <c r="T143" s="47" t="s">
        <v>352</v>
      </c>
      <c r="U143" s="47" t="s">
        <v>352</v>
      </c>
      <c r="V143" s="47" t="s">
        <v>352</v>
      </c>
      <c r="W143" s="327" t="s">
        <v>2200</v>
      </c>
      <c r="X143" s="48"/>
      <c r="Y143" s="40" t="s">
        <v>1298</v>
      </c>
      <c r="Z143" s="48"/>
      <c r="AA143" s="48"/>
    </row>
    <row r="144" spans="1:27" collapsed="1" x14ac:dyDescent="0.35">
      <c r="A144" s="32" t="s">
        <v>444</v>
      </c>
      <c r="B144" s="53" t="str">
        <f>VLOOKUP(A144,'Message ID'!A:O,2,FALSE)</f>
        <v>RBMS故障列表</v>
      </c>
      <c r="C144" s="34"/>
      <c r="D144" s="34"/>
      <c r="E144" s="33">
        <v>25</v>
      </c>
      <c r="F144" s="36"/>
      <c r="G144" s="36"/>
      <c r="H144" s="36"/>
      <c r="I144" s="36"/>
      <c r="J144" s="36"/>
      <c r="K144" s="36"/>
      <c r="L144" s="36"/>
      <c r="M144" s="36"/>
      <c r="N144" s="33">
        <f>N145*200</f>
        <v>200</v>
      </c>
      <c r="O144" s="34"/>
      <c r="P144" s="36"/>
      <c r="Q144" s="36"/>
      <c r="R144" s="39"/>
      <c r="S144" s="34"/>
      <c r="T144" s="128"/>
      <c r="U144" s="38"/>
      <c r="V144" s="38"/>
      <c r="W144" s="39"/>
      <c r="X144" s="39"/>
      <c r="Y144" s="34"/>
      <c r="Z144" s="39"/>
      <c r="AA144" s="39"/>
    </row>
    <row r="145" spans="1:27" ht="24.75" hidden="1" outlineLevel="1" x14ac:dyDescent="0.35">
      <c r="A145" s="47"/>
      <c r="B145" s="47"/>
      <c r="C145" s="46" t="s">
        <v>203</v>
      </c>
      <c r="D145" s="46" t="s">
        <v>204</v>
      </c>
      <c r="E145" s="247" t="s">
        <v>205</v>
      </c>
      <c r="F145" s="44">
        <v>0</v>
      </c>
      <c r="G145" s="44">
        <v>1</v>
      </c>
      <c r="H145" s="44">
        <v>1</v>
      </c>
      <c r="I145" s="44">
        <v>0</v>
      </c>
      <c r="J145" s="44">
        <v>0</v>
      </c>
      <c r="K145" s="44">
        <f>(POWER(2,G145)-1)*H145+I145</f>
        <v>1</v>
      </c>
      <c r="L145" s="44">
        <v>0</v>
      </c>
      <c r="M145" s="41" t="s">
        <v>85</v>
      </c>
      <c r="N145" s="44">
        <f>LEN(K145)</f>
        <v>1</v>
      </c>
      <c r="O145" s="46" t="s">
        <v>206</v>
      </c>
      <c r="P145" s="44"/>
      <c r="Q145" s="44" t="s">
        <v>1098</v>
      </c>
      <c r="R145" s="48"/>
      <c r="S145" s="46" t="s">
        <v>601</v>
      </c>
      <c r="T145" s="47" t="s">
        <v>352</v>
      </c>
      <c r="U145" s="47" t="s">
        <v>352</v>
      </c>
      <c r="V145" s="47" t="s">
        <v>352</v>
      </c>
      <c r="W145" s="327" t="s">
        <v>2199</v>
      </c>
      <c r="X145" s="48"/>
      <c r="Y145" s="46" t="s">
        <v>204</v>
      </c>
      <c r="Z145" s="48"/>
      <c r="AA145" s="48"/>
    </row>
    <row r="146" spans="1:27" x14ac:dyDescent="0.35">
      <c r="A146" s="32" t="s">
        <v>336</v>
      </c>
      <c r="B146" s="53" t="str">
        <f>VLOOKUP(A146,'Message ID'!A:O,2,FALSE)</f>
        <v>Bank 概要数据</v>
      </c>
      <c r="C146" s="34"/>
      <c r="D146" s="34"/>
      <c r="E146" s="419">
        <v>146</v>
      </c>
      <c r="F146" s="35"/>
      <c r="G146" s="36"/>
      <c r="H146" s="36"/>
      <c r="I146" s="36"/>
      <c r="J146" s="36"/>
      <c r="K146" s="36"/>
      <c r="L146" s="36"/>
      <c r="M146" s="36"/>
      <c r="N146" s="33">
        <f>SUM(N147:N229)</f>
        <v>388</v>
      </c>
      <c r="O146" s="37"/>
      <c r="P146" s="36"/>
      <c r="Q146" s="36"/>
      <c r="R146" s="53"/>
      <c r="S146" s="34"/>
      <c r="T146" s="128"/>
      <c r="U146" s="38"/>
      <c r="V146" s="38"/>
      <c r="W146" s="39"/>
      <c r="X146" s="39"/>
      <c r="Y146" s="34"/>
      <c r="Z146" s="39"/>
      <c r="AA146" s="39"/>
    </row>
    <row r="147" spans="1:27" ht="99" outlineLevel="1" x14ac:dyDescent="0.35">
      <c r="A147" s="40"/>
      <c r="B147" s="40"/>
      <c r="C147" s="40" t="s">
        <v>1903</v>
      </c>
      <c r="D147" s="40" t="s">
        <v>1548</v>
      </c>
      <c r="E147" s="42">
        <f t="shared" ref="E147:E179" si="51">IF(INT((F147 + G147-1) / 8) + 1 = INT(F147 / 8) + 1, INT(F147 / 8) + 1, INT(F147 / 8) + 1 &amp; "-" &amp; INT((F147 + G147 - 1) / 8) + 1)</f>
        <v>1</v>
      </c>
      <c r="F147" s="44">
        <v>0</v>
      </c>
      <c r="G147" s="44">
        <v>8</v>
      </c>
      <c r="H147" s="44">
        <v>1</v>
      </c>
      <c r="I147" s="44">
        <v>0</v>
      </c>
      <c r="J147" s="44">
        <v>0</v>
      </c>
      <c r="K147" s="44">
        <f t="shared" ref="K147:K173" si="52">(POWER(2,G147)-1)*H147+I147</f>
        <v>255</v>
      </c>
      <c r="L147" s="44">
        <v>0</v>
      </c>
      <c r="M147" s="41" t="s">
        <v>85</v>
      </c>
      <c r="N147" s="44">
        <f>LEN(K147)</f>
        <v>3</v>
      </c>
      <c r="O147" s="151" t="s">
        <v>2255</v>
      </c>
      <c r="P147" s="323" t="s">
        <v>2039</v>
      </c>
      <c r="Q147" s="44" t="s">
        <v>1098</v>
      </c>
      <c r="R147" s="50"/>
      <c r="S147" s="40" t="s">
        <v>602</v>
      </c>
      <c r="T147" s="47" t="s">
        <v>352</v>
      </c>
      <c r="U147" s="47" t="s">
        <v>352</v>
      </c>
      <c r="V147" s="47" t="s">
        <v>352</v>
      </c>
      <c r="W147" s="48"/>
      <c r="X147" s="48"/>
      <c r="Y147" s="40" t="s">
        <v>2117</v>
      </c>
      <c r="Z147" s="48"/>
      <c r="AA147" s="48"/>
    </row>
    <row r="148" spans="1:27" ht="86.65" outlineLevel="1" x14ac:dyDescent="0.35">
      <c r="A148" s="40"/>
      <c r="B148" s="40"/>
      <c r="C148" s="40" t="s">
        <v>207</v>
      </c>
      <c r="D148" s="40" t="s">
        <v>1299</v>
      </c>
      <c r="E148" s="42">
        <f t="shared" si="51"/>
        <v>2</v>
      </c>
      <c r="F148" s="43">
        <f t="shared" ref="F148:F167" si="53">F147+G147</f>
        <v>8</v>
      </c>
      <c r="G148" s="44">
        <v>8</v>
      </c>
      <c r="H148" s="44">
        <v>1</v>
      </c>
      <c r="I148" s="44">
        <v>0</v>
      </c>
      <c r="J148" s="44">
        <v>0</v>
      </c>
      <c r="K148" s="44">
        <f t="shared" si="52"/>
        <v>255</v>
      </c>
      <c r="L148" s="44">
        <v>0</v>
      </c>
      <c r="M148" s="41" t="s">
        <v>85</v>
      </c>
      <c r="N148" s="44">
        <f t="shared" ref="N148:N239" si="54">LEN(K148)</f>
        <v>3</v>
      </c>
      <c r="O148" s="183" t="s">
        <v>1131</v>
      </c>
      <c r="P148" s="323" t="s">
        <v>2094</v>
      </c>
      <c r="Q148" s="44" t="s">
        <v>1098</v>
      </c>
      <c r="R148" s="120" t="s">
        <v>103</v>
      </c>
      <c r="S148" s="40" t="s">
        <v>603</v>
      </c>
      <c r="T148" s="47" t="s">
        <v>352</v>
      </c>
      <c r="U148" s="47" t="s">
        <v>352</v>
      </c>
      <c r="V148" s="47" t="s">
        <v>352</v>
      </c>
      <c r="W148" s="48"/>
      <c r="X148" s="48"/>
      <c r="Y148" s="40" t="s">
        <v>2153</v>
      </c>
      <c r="Z148" s="48"/>
      <c r="AA148" s="48"/>
    </row>
    <row r="149" spans="1:27" ht="222.75" outlineLevel="1" x14ac:dyDescent="0.35">
      <c r="A149" s="48"/>
      <c r="B149" s="48"/>
      <c r="C149" s="40" t="s">
        <v>1776</v>
      </c>
      <c r="D149" s="40" t="s">
        <v>208</v>
      </c>
      <c r="E149" s="42" t="str">
        <f t="shared" si="51"/>
        <v>3-4</v>
      </c>
      <c r="F149" s="43">
        <f t="shared" si="53"/>
        <v>16</v>
      </c>
      <c r="G149" s="44">
        <v>16</v>
      </c>
      <c r="H149" s="44">
        <v>1</v>
      </c>
      <c r="I149" s="44">
        <v>0</v>
      </c>
      <c r="J149" s="44">
        <v>0</v>
      </c>
      <c r="K149" s="44">
        <f t="shared" si="52"/>
        <v>65535</v>
      </c>
      <c r="L149" s="44">
        <v>0</v>
      </c>
      <c r="M149" s="41" t="s">
        <v>85</v>
      </c>
      <c r="N149" s="44">
        <f t="shared" si="54"/>
        <v>5</v>
      </c>
      <c r="O149" s="40" t="s">
        <v>1900</v>
      </c>
      <c r="P149" s="323" t="s">
        <v>2038</v>
      </c>
      <c r="Q149" s="44" t="s">
        <v>1098</v>
      </c>
      <c r="R149" s="244" t="s">
        <v>209</v>
      </c>
      <c r="S149" s="47" t="s">
        <v>604</v>
      </c>
      <c r="T149" s="47" t="s">
        <v>352</v>
      </c>
      <c r="U149" s="47" t="s">
        <v>352</v>
      </c>
      <c r="V149" s="47" t="s">
        <v>352</v>
      </c>
      <c r="W149" s="48"/>
      <c r="X149" s="48"/>
      <c r="Y149" s="40" t="s">
        <v>2154</v>
      </c>
      <c r="Z149" s="48"/>
      <c r="AA149" s="48"/>
    </row>
    <row r="150" spans="1:27" ht="24.75" outlineLevel="1" x14ac:dyDescent="0.35">
      <c r="A150" s="48"/>
      <c r="B150" s="48"/>
      <c r="C150" s="40" t="s">
        <v>1612</v>
      </c>
      <c r="D150" s="40" t="s">
        <v>1310</v>
      </c>
      <c r="E150" s="42" t="str">
        <f t="shared" si="51"/>
        <v>5-6</v>
      </c>
      <c r="F150" s="43">
        <f t="shared" si="53"/>
        <v>32</v>
      </c>
      <c r="G150" s="44">
        <v>16</v>
      </c>
      <c r="H150" s="44">
        <v>1</v>
      </c>
      <c r="I150" s="44">
        <v>0</v>
      </c>
      <c r="J150" s="44">
        <v>0</v>
      </c>
      <c r="K150" s="44">
        <f t="shared" si="52"/>
        <v>65535</v>
      </c>
      <c r="L150" s="44">
        <v>0</v>
      </c>
      <c r="M150" s="41" t="s">
        <v>85</v>
      </c>
      <c r="N150" s="44">
        <f t="shared" si="54"/>
        <v>5</v>
      </c>
      <c r="O150" s="40"/>
      <c r="P150" s="323" t="s">
        <v>2096</v>
      </c>
      <c r="Q150" s="44" t="s">
        <v>1098</v>
      </c>
      <c r="R150" s="48"/>
      <c r="S150" s="47" t="s">
        <v>605</v>
      </c>
      <c r="T150" s="47" t="s">
        <v>352</v>
      </c>
      <c r="U150" s="47" t="s">
        <v>352</v>
      </c>
      <c r="V150" s="47" t="s">
        <v>352</v>
      </c>
      <c r="W150" s="48"/>
      <c r="X150" s="48"/>
      <c r="Y150" s="40" t="s">
        <v>2155</v>
      </c>
      <c r="Z150" s="48"/>
      <c r="AA150" s="48"/>
    </row>
    <row r="151" spans="1:27" s="231" customFormat="1" ht="24.75" outlineLevel="1" x14ac:dyDescent="0.35">
      <c r="A151" s="228"/>
      <c r="B151" s="228"/>
      <c r="C151" s="228" t="s">
        <v>2369</v>
      </c>
      <c r="D151" s="228" t="s">
        <v>2370</v>
      </c>
      <c r="E151" s="212">
        <f t="shared" ref="E151" si="55">IF(INT((F151 + G151-1) / 8) + 1 = INT(F151 / 8) + 1, INT(F151 / 8) + 1, INT(F151 / 8) + 1 &amp; "-" &amp; INT((F151 + G151 - 1) / 8) + 1)</f>
        <v>7</v>
      </c>
      <c r="F151" s="227">
        <f>F150+G150</f>
        <v>48</v>
      </c>
      <c r="G151" s="213">
        <v>8</v>
      </c>
      <c r="H151" s="213">
        <v>1</v>
      </c>
      <c r="I151" s="213">
        <v>0</v>
      </c>
      <c r="J151" s="213">
        <v>0</v>
      </c>
      <c r="K151" s="213">
        <f t="shared" ref="K151" si="56">(POWER(2,G151)-1)*H151+I151</f>
        <v>255</v>
      </c>
      <c r="L151" s="213">
        <v>0</v>
      </c>
      <c r="M151" s="229" t="s">
        <v>632</v>
      </c>
      <c r="N151" s="213">
        <v>0</v>
      </c>
      <c r="O151" s="326"/>
      <c r="P151" s="401"/>
      <c r="Q151" s="402"/>
      <c r="R151" s="403"/>
      <c r="S151" s="228" t="s">
        <v>632</v>
      </c>
      <c r="T151" s="232" t="s">
        <v>352</v>
      </c>
      <c r="U151" s="404" t="s">
        <v>352</v>
      </c>
      <c r="V151" s="232" t="s">
        <v>352</v>
      </c>
      <c r="W151" s="233"/>
      <c r="X151" s="233"/>
      <c r="Y151" s="228" t="s">
        <v>2370</v>
      </c>
      <c r="Z151" s="233"/>
      <c r="AA151" s="233"/>
    </row>
    <row r="152" spans="1:27" ht="216.4" outlineLevel="1" x14ac:dyDescent="0.35">
      <c r="A152" s="40"/>
      <c r="B152" s="40"/>
      <c r="C152" s="40" t="s">
        <v>1250</v>
      </c>
      <c r="D152" s="40" t="s">
        <v>1311</v>
      </c>
      <c r="E152" s="42" t="str">
        <f t="shared" si="51"/>
        <v>8-9</v>
      </c>
      <c r="F152" s="43">
        <f t="shared" si="53"/>
        <v>56</v>
      </c>
      <c r="G152" s="152">
        <v>16</v>
      </c>
      <c r="H152" s="44">
        <v>1</v>
      </c>
      <c r="I152" s="44">
        <v>0</v>
      </c>
      <c r="J152" s="44">
        <v>0</v>
      </c>
      <c r="K152" s="44">
        <f t="shared" si="52"/>
        <v>65535</v>
      </c>
      <c r="L152" s="44">
        <v>0</v>
      </c>
      <c r="M152" s="41" t="s">
        <v>85</v>
      </c>
      <c r="N152" s="44">
        <f t="shared" si="54"/>
        <v>5</v>
      </c>
      <c r="O152" s="50" t="s">
        <v>1248</v>
      </c>
      <c r="P152" s="323" t="s">
        <v>2040</v>
      </c>
      <c r="Q152" s="44" t="s">
        <v>1098</v>
      </c>
      <c r="R152" s="147"/>
      <c r="S152" s="40" t="s">
        <v>1249</v>
      </c>
      <c r="T152" s="47" t="s">
        <v>352</v>
      </c>
      <c r="U152" s="47" t="s">
        <v>352</v>
      </c>
      <c r="V152" s="47" t="s">
        <v>352</v>
      </c>
      <c r="W152" s="48"/>
      <c r="X152" s="48"/>
      <c r="Y152" s="40" t="s">
        <v>2208</v>
      </c>
      <c r="Z152" s="48"/>
      <c r="AA152" s="48"/>
    </row>
    <row r="153" spans="1:27" ht="409.5" outlineLevel="1" x14ac:dyDescent="0.35">
      <c r="A153" s="40"/>
      <c r="B153" s="40"/>
      <c r="C153" s="46" t="s">
        <v>1103</v>
      </c>
      <c r="D153" s="40" t="s">
        <v>210</v>
      </c>
      <c r="E153" s="42" t="str">
        <f t="shared" si="51"/>
        <v>10-11</v>
      </c>
      <c r="F153" s="43">
        <f t="shared" si="53"/>
        <v>72</v>
      </c>
      <c r="G153" s="44">
        <v>16</v>
      </c>
      <c r="H153" s="44">
        <v>1</v>
      </c>
      <c r="I153" s="44">
        <v>0</v>
      </c>
      <c r="J153" s="44">
        <v>0</v>
      </c>
      <c r="K153" s="44">
        <f t="shared" si="52"/>
        <v>65535</v>
      </c>
      <c r="L153" s="44">
        <v>0</v>
      </c>
      <c r="M153" s="41" t="s">
        <v>85</v>
      </c>
      <c r="N153" s="44">
        <f t="shared" si="54"/>
        <v>5</v>
      </c>
      <c r="O153" s="147" t="s">
        <v>2281</v>
      </c>
      <c r="P153" s="323" t="s">
        <v>2296</v>
      </c>
      <c r="Q153" s="126"/>
      <c r="R153" s="50"/>
      <c r="S153" s="40" t="s">
        <v>886</v>
      </c>
      <c r="T153" s="47" t="s">
        <v>352</v>
      </c>
      <c r="U153" s="47" t="s">
        <v>352</v>
      </c>
      <c r="V153" s="47" t="s">
        <v>352</v>
      </c>
      <c r="W153" s="48"/>
      <c r="X153" s="48"/>
      <c r="Y153" s="40" t="s">
        <v>2118</v>
      </c>
      <c r="Z153" s="48"/>
      <c r="AA153" s="48"/>
    </row>
    <row r="154" spans="1:27" ht="24.75" outlineLevel="1" x14ac:dyDescent="0.35">
      <c r="A154" s="40"/>
      <c r="B154" s="40"/>
      <c r="C154" s="46" t="s">
        <v>211</v>
      </c>
      <c r="D154" s="46" t="s">
        <v>212</v>
      </c>
      <c r="E154" s="42">
        <f t="shared" si="51"/>
        <v>12</v>
      </c>
      <c r="F154" s="43">
        <f t="shared" si="53"/>
        <v>88</v>
      </c>
      <c r="G154" s="44">
        <v>8</v>
      </c>
      <c r="H154" s="44">
        <v>0.5</v>
      </c>
      <c r="I154" s="44">
        <v>0</v>
      </c>
      <c r="J154" s="44">
        <v>0</v>
      </c>
      <c r="K154" s="44">
        <f t="shared" si="52"/>
        <v>127.5</v>
      </c>
      <c r="L154" s="44">
        <v>0</v>
      </c>
      <c r="M154" s="41" t="s">
        <v>132</v>
      </c>
      <c r="N154" s="44">
        <f t="shared" si="54"/>
        <v>5</v>
      </c>
      <c r="O154" s="49"/>
      <c r="P154" s="324" t="s">
        <v>2044</v>
      </c>
      <c r="Q154" s="44" t="s">
        <v>1098</v>
      </c>
      <c r="R154" s="50"/>
      <c r="S154" s="40" t="s">
        <v>606</v>
      </c>
      <c r="T154" s="47" t="s">
        <v>352</v>
      </c>
      <c r="U154" s="47" t="s">
        <v>352</v>
      </c>
      <c r="V154" s="47" t="s">
        <v>352</v>
      </c>
      <c r="W154" s="48"/>
      <c r="X154" s="48"/>
      <c r="Y154" s="46" t="s">
        <v>2156</v>
      </c>
      <c r="Z154" s="48"/>
      <c r="AA154" s="48"/>
    </row>
    <row r="155" spans="1:27" ht="24.75" outlineLevel="1" x14ac:dyDescent="0.35">
      <c r="A155" s="40"/>
      <c r="B155" s="40"/>
      <c r="C155" s="46" t="s">
        <v>213</v>
      </c>
      <c r="D155" s="46" t="s">
        <v>214</v>
      </c>
      <c r="E155" s="42">
        <f t="shared" si="51"/>
        <v>13</v>
      </c>
      <c r="F155" s="43">
        <f t="shared" si="53"/>
        <v>96</v>
      </c>
      <c r="G155" s="44">
        <v>8</v>
      </c>
      <c r="H155" s="44">
        <v>1</v>
      </c>
      <c r="I155" s="44">
        <v>0</v>
      </c>
      <c r="J155" s="44">
        <v>0</v>
      </c>
      <c r="K155" s="44">
        <f t="shared" si="52"/>
        <v>255</v>
      </c>
      <c r="L155" s="44">
        <v>100</v>
      </c>
      <c r="M155" s="41" t="s">
        <v>132</v>
      </c>
      <c r="N155" s="44">
        <f t="shared" si="54"/>
        <v>3</v>
      </c>
      <c r="O155" s="49"/>
      <c r="P155" s="324" t="s">
        <v>2045</v>
      </c>
      <c r="Q155" s="44" t="s">
        <v>1098</v>
      </c>
      <c r="R155" s="50"/>
      <c r="S155" s="40" t="s">
        <v>607</v>
      </c>
      <c r="T155" s="47" t="s">
        <v>352</v>
      </c>
      <c r="U155" s="47" t="s">
        <v>352</v>
      </c>
      <c r="V155" s="47" t="s">
        <v>352</v>
      </c>
      <c r="W155" s="48"/>
      <c r="X155" s="48"/>
      <c r="Y155" s="46" t="s">
        <v>2157</v>
      </c>
      <c r="Z155" s="48"/>
      <c r="AA155" s="48"/>
    </row>
    <row r="156" spans="1:27" ht="24.75" outlineLevel="1" x14ac:dyDescent="0.35">
      <c r="A156" s="40"/>
      <c r="B156" s="40"/>
      <c r="C156" s="46" t="s">
        <v>215</v>
      </c>
      <c r="D156" s="46" t="s">
        <v>1444</v>
      </c>
      <c r="E156" s="42" t="str">
        <f t="shared" si="51"/>
        <v>14-15</v>
      </c>
      <c r="F156" s="43">
        <f t="shared" si="53"/>
        <v>104</v>
      </c>
      <c r="G156" s="44">
        <v>16</v>
      </c>
      <c r="H156" s="44">
        <v>0.125</v>
      </c>
      <c r="I156" s="44">
        <v>0</v>
      </c>
      <c r="J156" s="44">
        <v>0</v>
      </c>
      <c r="K156" s="44">
        <f t="shared" si="52"/>
        <v>8191.875</v>
      </c>
      <c r="L156" s="44">
        <v>0</v>
      </c>
      <c r="M156" s="41" t="s">
        <v>137</v>
      </c>
      <c r="N156" s="44">
        <f t="shared" si="54"/>
        <v>8</v>
      </c>
      <c r="O156" s="49"/>
      <c r="P156" s="324" t="s">
        <v>2046</v>
      </c>
      <c r="Q156" s="44" t="s">
        <v>1098</v>
      </c>
      <c r="R156" s="50"/>
      <c r="S156" s="40" t="s">
        <v>608</v>
      </c>
      <c r="T156" s="47" t="s">
        <v>352</v>
      </c>
      <c r="U156" s="47" t="s">
        <v>352</v>
      </c>
      <c r="V156" s="47" t="s">
        <v>352</v>
      </c>
      <c r="W156" s="48"/>
      <c r="X156" s="48"/>
      <c r="Y156" s="46" t="s">
        <v>2158</v>
      </c>
      <c r="Z156" s="48"/>
      <c r="AA156" s="48"/>
    </row>
    <row r="157" spans="1:27" ht="24.75" outlineLevel="1" x14ac:dyDescent="0.35">
      <c r="A157" s="40"/>
      <c r="B157" s="40"/>
      <c r="C157" s="46" t="s">
        <v>216</v>
      </c>
      <c r="D157" s="46" t="s">
        <v>1445</v>
      </c>
      <c r="E157" s="42" t="str">
        <f t="shared" si="51"/>
        <v>16-17</v>
      </c>
      <c r="F157" s="43">
        <f t="shared" si="53"/>
        <v>120</v>
      </c>
      <c r="G157" s="44">
        <v>16</v>
      </c>
      <c r="H157" s="44">
        <v>0.125</v>
      </c>
      <c r="I157" s="44">
        <v>0</v>
      </c>
      <c r="J157" s="44">
        <v>0</v>
      </c>
      <c r="K157" s="44">
        <f t="shared" si="52"/>
        <v>8191.875</v>
      </c>
      <c r="L157" s="44">
        <v>0</v>
      </c>
      <c r="M157" s="41" t="s">
        <v>137</v>
      </c>
      <c r="N157" s="44">
        <f t="shared" si="54"/>
        <v>8</v>
      </c>
      <c r="O157" s="49"/>
      <c r="P157" s="324" t="s">
        <v>2047</v>
      </c>
      <c r="Q157" s="44" t="s">
        <v>1098</v>
      </c>
      <c r="R157" s="50"/>
      <c r="S157" s="40" t="s">
        <v>609</v>
      </c>
      <c r="T157" s="47" t="s">
        <v>352</v>
      </c>
      <c r="U157" s="47" t="s">
        <v>352</v>
      </c>
      <c r="V157" s="47" t="s">
        <v>352</v>
      </c>
      <c r="W157" s="48"/>
      <c r="X157" s="48"/>
      <c r="Y157" s="46" t="s">
        <v>2159</v>
      </c>
      <c r="Z157" s="48"/>
      <c r="AA157" s="48"/>
    </row>
    <row r="158" spans="1:27" ht="24.75" outlineLevel="1" x14ac:dyDescent="0.35">
      <c r="A158" s="40"/>
      <c r="B158" s="40"/>
      <c r="C158" s="46" t="s">
        <v>217</v>
      </c>
      <c r="D158" s="46" t="s">
        <v>1550</v>
      </c>
      <c r="E158" s="42" t="str">
        <f t="shared" si="51"/>
        <v>18-19</v>
      </c>
      <c r="F158" s="43">
        <f t="shared" si="53"/>
        <v>136</v>
      </c>
      <c r="G158" s="44">
        <v>16</v>
      </c>
      <c r="H158" s="44">
        <v>0.125</v>
      </c>
      <c r="I158" s="44">
        <v>0</v>
      </c>
      <c r="J158" s="44">
        <v>0</v>
      </c>
      <c r="K158" s="44">
        <f t="shared" si="52"/>
        <v>8191.875</v>
      </c>
      <c r="L158" s="44">
        <v>0</v>
      </c>
      <c r="M158" s="41" t="s">
        <v>119</v>
      </c>
      <c r="N158" s="44">
        <f t="shared" si="54"/>
        <v>8</v>
      </c>
      <c r="O158" s="49"/>
      <c r="P158" s="324" t="s">
        <v>2048</v>
      </c>
      <c r="Q158" s="44" t="s">
        <v>1098</v>
      </c>
      <c r="R158" s="50"/>
      <c r="S158" s="40" t="s">
        <v>610</v>
      </c>
      <c r="T158" s="47" t="s">
        <v>352</v>
      </c>
      <c r="U158" s="47" t="s">
        <v>352</v>
      </c>
      <c r="V158" s="47" t="s">
        <v>352</v>
      </c>
      <c r="W158" s="48"/>
      <c r="X158" s="48"/>
      <c r="Y158" s="46" t="s">
        <v>1550</v>
      </c>
      <c r="Z158" s="48"/>
      <c r="AA158" s="48"/>
    </row>
    <row r="159" spans="1:27" ht="24.75" outlineLevel="1" x14ac:dyDescent="0.35">
      <c r="A159" s="40"/>
      <c r="B159" s="40"/>
      <c r="C159" s="46" t="s">
        <v>218</v>
      </c>
      <c r="D159" s="46" t="s">
        <v>219</v>
      </c>
      <c r="E159" s="42" t="str">
        <f t="shared" si="51"/>
        <v>20-21</v>
      </c>
      <c r="F159" s="43">
        <f t="shared" si="53"/>
        <v>152</v>
      </c>
      <c r="G159" s="44">
        <v>16</v>
      </c>
      <c r="H159" s="44">
        <v>0.125</v>
      </c>
      <c r="I159" s="44">
        <v>0</v>
      </c>
      <c r="J159" s="44">
        <v>0</v>
      </c>
      <c r="K159" s="44">
        <f t="shared" si="52"/>
        <v>8191.875</v>
      </c>
      <c r="L159" s="44">
        <v>0</v>
      </c>
      <c r="M159" s="41" t="s">
        <v>119</v>
      </c>
      <c r="N159" s="44">
        <f t="shared" si="54"/>
        <v>8</v>
      </c>
      <c r="O159" s="49"/>
      <c r="P159" s="324" t="s">
        <v>2049</v>
      </c>
      <c r="Q159" s="41"/>
      <c r="R159" s="50"/>
      <c r="S159" s="40" t="s">
        <v>611</v>
      </c>
      <c r="T159" s="47" t="s">
        <v>352</v>
      </c>
      <c r="U159" s="47" t="s">
        <v>352</v>
      </c>
      <c r="V159" s="47" t="s">
        <v>352</v>
      </c>
      <c r="W159" s="48"/>
      <c r="X159" s="48"/>
      <c r="Y159" s="46" t="s">
        <v>219</v>
      </c>
      <c r="Z159" s="48"/>
      <c r="AA159" s="48"/>
    </row>
    <row r="160" spans="1:27" ht="24.75" outlineLevel="1" x14ac:dyDescent="0.35">
      <c r="A160" s="40"/>
      <c r="B160" s="40"/>
      <c r="C160" s="46" t="s">
        <v>220</v>
      </c>
      <c r="D160" s="46" t="s">
        <v>1551</v>
      </c>
      <c r="E160" s="42" t="str">
        <f t="shared" si="51"/>
        <v>22-23</v>
      </c>
      <c r="F160" s="43">
        <f t="shared" si="53"/>
        <v>168</v>
      </c>
      <c r="G160" s="44">
        <v>16</v>
      </c>
      <c r="H160" s="44">
        <v>0.125</v>
      </c>
      <c r="I160" s="44">
        <v>0</v>
      </c>
      <c r="J160" s="44">
        <v>0</v>
      </c>
      <c r="K160" s="44">
        <f t="shared" si="52"/>
        <v>8191.875</v>
      </c>
      <c r="L160" s="44">
        <v>0</v>
      </c>
      <c r="M160" s="41" t="s">
        <v>119</v>
      </c>
      <c r="N160" s="44">
        <f t="shared" si="54"/>
        <v>8</v>
      </c>
      <c r="O160" s="49"/>
      <c r="P160" s="324" t="s">
        <v>2050</v>
      </c>
      <c r="Q160" s="44" t="s">
        <v>1098</v>
      </c>
      <c r="R160" s="50"/>
      <c r="S160" s="40" t="s">
        <v>612</v>
      </c>
      <c r="T160" s="47" t="s">
        <v>352</v>
      </c>
      <c r="U160" s="47" t="s">
        <v>352</v>
      </c>
      <c r="V160" s="47" t="s">
        <v>352</v>
      </c>
      <c r="W160" s="48"/>
      <c r="X160" s="48"/>
      <c r="Y160" s="46" t="s">
        <v>1551</v>
      </c>
      <c r="Z160" s="48"/>
      <c r="AA160" s="48"/>
    </row>
    <row r="161" spans="1:27" ht="24.75" outlineLevel="1" x14ac:dyDescent="0.35">
      <c r="A161" s="40"/>
      <c r="B161" s="40"/>
      <c r="C161" s="46" t="s">
        <v>221</v>
      </c>
      <c r="D161" s="46" t="s">
        <v>222</v>
      </c>
      <c r="E161" s="42" t="str">
        <f t="shared" si="51"/>
        <v>24-25</v>
      </c>
      <c r="F161" s="43">
        <f t="shared" si="53"/>
        <v>184</v>
      </c>
      <c r="G161" s="44">
        <v>16</v>
      </c>
      <c r="H161" s="44">
        <v>0.125</v>
      </c>
      <c r="I161" s="44">
        <v>0</v>
      </c>
      <c r="J161" s="44">
        <v>0</v>
      </c>
      <c r="K161" s="44">
        <f t="shared" si="52"/>
        <v>8191.875</v>
      </c>
      <c r="L161" s="44">
        <v>0</v>
      </c>
      <c r="M161" s="41" t="s">
        <v>119</v>
      </c>
      <c r="N161" s="44">
        <f t="shared" si="54"/>
        <v>8</v>
      </c>
      <c r="O161" s="49"/>
      <c r="P161" s="324" t="s">
        <v>2051</v>
      </c>
      <c r="Q161" s="41"/>
      <c r="R161" s="50"/>
      <c r="S161" s="40" t="s">
        <v>613</v>
      </c>
      <c r="T161" s="47" t="s">
        <v>352</v>
      </c>
      <c r="U161" s="47" t="s">
        <v>352</v>
      </c>
      <c r="V161" s="47" t="s">
        <v>352</v>
      </c>
      <c r="W161" s="48"/>
      <c r="X161" s="48"/>
      <c r="Y161" s="46" t="s">
        <v>222</v>
      </c>
      <c r="Z161" s="48"/>
      <c r="AA161" s="48"/>
    </row>
    <row r="162" spans="1:27" ht="24.75" outlineLevel="1" x14ac:dyDescent="0.35">
      <c r="A162" s="40"/>
      <c r="B162" s="40"/>
      <c r="C162" s="46" t="s">
        <v>223</v>
      </c>
      <c r="D162" s="46" t="s">
        <v>1552</v>
      </c>
      <c r="E162" s="42" t="str">
        <f t="shared" si="51"/>
        <v>26-27</v>
      </c>
      <c r="F162" s="43">
        <f t="shared" si="53"/>
        <v>200</v>
      </c>
      <c r="G162" s="44">
        <v>16</v>
      </c>
      <c r="H162" s="44">
        <v>0.125</v>
      </c>
      <c r="I162" s="44">
        <v>0</v>
      </c>
      <c r="J162" s="44">
        <v>0</v>
      </c>
      <c r="K162" s="44">
        <f t="shared" si="52"/>
        <v>8191.875</v>
      </c>
      <c r="L162" s="44">
        <v>0</v>
      </c>
      <c r="M162" s="41" t="s">
        <v>110</v>
      </c>
      <c r="N162" s="44">
        <f t="shared" si="54"/>
        <v>8</v>
      </c>
      <c r="O162" s="49"/>
      <c r="P162" s="324" t="s">
        <v>2052</v>
      </c>
      <c r="Q162" s="44" t="s">
        <v>1098</v>
      </c>
      <c r="R162" s="50"/>
      <c r="S162" s="40" t="s">
        <v>614</v>
      </c>
      <c r="T162" s="47" t="s">
        <v>352</v>
      </c>
      <c r="U162" s="47" t="s">
        <v>352</v>
      </c>
      <c r="V162" s="47" t="s">
        <v>352</v>
      </c>
      <c r="W162" s="48"/>
      <c r="X162" s="48"/>
      <c r="Y162" s="46" t="s">
        <v>1552</v>
      </c>
      <c r="Z162" s="48"/>
      <c r="AA162" s="48"/>
    </row>
    <row r="163" spans="1:27" ht="24.75" outlineLevel="1" x14ac:dyDescent="0.35">
      <c r="A163" s="40"/>
      <c r="B163" s="40"/>
      <c r="C163" s="46" t="s">
        <v>224</v>
      </c>
      <c r="D163" s="46" t="s">
        <v>225</v>
      </c>
      <c r="E163" s="42" t="str">
        <f t="shared" si="51"/>
        <v>28-29</v>
      </c>
      <c r="F163" s="43">
        <f t="shared" si="53"/>
        <v>216</v>
      </c>
      <c r="G163" s="44">
        <v>16</v>
      </c>
      <c r="H163" s="44">
        <v>0.125</v>
      </c>
      <c r="I163" s="44">
        <v>0</v>
      </c>
      <c r="J163" s="44">
        <v>0</v>
      </c>
      <c r="K163" s="44">
        <f t="shared" si="52"/>
        <v>8191.875</v>
      </c>
      <c r="L163" s="44">
        <v>0</v>
      </c>
      <c r="M163" s="41" t="s">
        <v>110</v>
      </c>
      <c r="N163" s="44">
        <f t="shared" si="54"/>
        <v>8</v>
      </c>
      <c r="O163" s="49"/>
      <c r="P163" s="324" t="s">
        <v>2053</v>
      </c>
      <c r="Q163" s="41"/>
      <c r="R163" s="50"/>
      <c r="S163" s="40" t="s">
        <v>615</v>
      </c>
      <c r="T163" s="47" t="s">
        <v>352</v>
      </c>
      <c r="U163" s="47" t="s">
        <v>352</v>
      </c>
      <c r="V163" s="47" t="s">
        <v>352</v>
      </c>
      <c r="W163" s="48"/>
      <c r="X163" s="48"/>
      <c r="Y163" s="46" t="s">
        <v>225</v>
      </c>
      <c r="Z163" s="48"/>
      <c r="AA163" s="48"/>
    </row>
    <row r="164" spans="1:27" ht="24.75" outlineLevel="1" x14ac:dyDescent="0.35">
      <c r="A164" s="40"/>
      <c r="B164" s="40"/>
      <c r="C164" s="46" t="s">
        <v>226</v>
      </c>
      <c r="D164" s="46" t="s">
        <v>1553</v>
      </c>
      <c r="E164" s="42" t="str">
        <f t="shared" si="51"/>
        <v>30-31</v>
      </c>
      <c r="F164" s="43">
        <f t="shared" si="53"/>
        <v>232</v>
      </c>
      <c r="G164" s="44">
        <v>16</v>
      </c>
      <c r="H164" s="44">
        <v>0.125</v>
      </c>
      <c r="I164" s="44">
        <v>0</v>
      </c>
      <c r="J164" s="44">
        <v>0</v>
      </c>
      <c r="K164" s="44">
        <f t="shared" si="52"/>
        <v>8191.875</v>
      </c>
      <c r="L164" s="44">
        <v>0</v>
      </c>
      <c r="M164" s="41" t="s">
        <v>110</v>
      </c>
      <c r="N164" s="44">
        <f t="shared" si="54"/>
        <v>8</v>
      </c>
      <c r="O164" s="49"/>
      <c r="P164" s="324" t="s">
        <v>2054</v>
      </c>
      <c r="Q164" s="44" t="s">
        <v>1098</v>
      </c>
      <c r="R164" s="50"/>
      <c r="S164" s="40" t="s">
        <v>616</v>
      </c>
      <c r="T164" s="47" t="s">
        <v>352</v>
      </c>
      <c r="U164" s="47" t="s">
        <v>352</v>
      </c>
      <c r="V164" s="47" t="s">
        <v>352</v>
      </c>
      <c r="W164" s="48"/>
      <c r="X164" s="48"/>
      <c r="Y164" s="46" t="s">
        <v>1553</v>
      </c>
      <c r="Z164" s="48"/>
      <c r="AA164" s="48"/>
    </row>
    <row r="165" spans="1:27" ht="24.75" outlineLevel="1" x14ac:dyDescent="0.35">
      <c r="A165" s="40"/>
      <c r="B165" s="40"/>
      <c r="C165" s="46" t="s">
        <v>227</v>
      </c>
      <c r="D165" s="46" t="s">
        <v>228</v>
      </c>
      <c r="E165" s="42" t="str">
        <f t="shared" si="51"/>
        <v>32-33</v>
      </c>
      <c r="F165" s="43">
        <f t="shared" si="53"/>
        <v>248</v>
      </c>
      <c r="G165" s="44">
        <v>16</v>
      </c>
      <c r="H165" s="44">
        <v>0.125</v>
      </c>
      <c r="I165" s="44">
        <v>0</v>
      </c>
      <c r="J165" s="44">
        <v>0</v>
      </c>
      <c r="K165" s="44">
        <f t="shared" si="52"/>
        <v>8191.875</v>
      </c>
      <c r="L165" s="44">
        <v>0</v>
      </c>
      <c r="M165" s="41" t="s">
        <v>110</v>
      </c>
      <c r="N165" s="44">
        <f t="shared" si="54"/>
        <v>8</v>
      </c>
      <c r="O165" s="49"/>
      <c r="P165" s="324" t="s">
        <v>2055</v>
      </c>
      <c r="Q165" s="41"/>
      <c r="R165" s="50"/>
      <c r="S165" s="40" t="s">
        <v>617</v>
      </c>
      <c r="T165" s="47" t="s">
        <v>352</v>
      </c>
      <c r="U165" s="58" t="s">
        <v>352</v>
      </c>
      <c r="V165" s="47" t="s">
        <v>352</v>
      </c>
      <c r="W165" s="48"/>
      <c r="X165" s="48"/>
      <c r="Y165" s="46" t="s">
        <v>228</v>
      </c>
      <c r="Z165" s="48"/>
      <c r="AA165" s="48"/>
    </row>
    <row r="166" spans="1:27" ht="24.75" outlineLevel="1" x14ac:dyDescent="0.35">
      <c r="A166" s="48"/>
      <c r="B166" s="48"/>
      <c r="C166" s="40" t="s">
        <v>1714</v>
      </c>
      <c r="D166" s="40" t="s">
        <v>1525</v>
      </c>
      <c r="E166" s="42">
        <f t="shared" si="51"/>
        <v>34</v>
      </c>
      <c r="F166" s="43">
        <f t="shared" si="53"/>
        <v>264</v>
      </c>
      <c r="G166" s="44">
        <v>8</v>
      </c>
      <c r="H166" s="44">
        <v>1</v>
      </c>
      <c r="I166" s="44">
        <v>0</v>
      </c>
      <c r="J166" s="44">
        <v>0</v>
      </c>
      <c r="K166" s="44">
        <f t="shared" si="52"/>
        <v>255</v>
      </c>
      <c r="L166" s="44">
        <v>0</v>
      </c>
      <c r="M166" s="41" t="s">
        <v>1478</v>
      </c>
      <c r="N166" s="44">
        <f t="shared" si="54"/>
        <v>3</v>
      </c>
      <c r="O166" s="49" t="s">
        <v>1718</v>
      </c>
      <c r="P166" s="41" t="s">
        <v>2325</v>
      </c>
      <c r="Q166" s="41"/>
      <c r="R166" s="48"/>
      <c r="S166" s="40" t="s">
        <v>2323</v>
      </c>
      <c r="T166" s="131" t="s">
        <v>352</v>
      </c>
      <c r="U166" s="67" t="s">
        <v>632</v>
      </c>
      <c r="V166" s="301" t="s">
        <v>352</v>
      </c>
      <c r="W166" s="48"/>
      <c r="X166" s="48"/>
      <c r="Y166" s="40" t="s">
        <v>1525</v>
      </c>
      <c r="Z166" s="48"/>
      <c r="AA166" s="48"/>
    </row>
    <row r="167" spans="1:27" ht="24.75" outlineLevel="1" x14ac:dyDescent="0.35">
      <c r="A167" s="48"/>
      <c r="B167" s="48"/>
      <c r="C167" s="40" t="s">
        <v>1715</v>
      </c>
      <c r="D167" s="40" t="s">
        <v>1526</v>
      </c>
      <c r="E167" s="42">
        <f t="shared" si="51"/>
        <v>35</v>
      </c>
      <c r="F167" s="43">
        <f t="shared" si="53"/>
        <v>272</v>
      </c>
      <c r="G167" s="44">
        <v>8</v>
      </c>
      <c r="H167" s="44">
        <v>1</v>
      </c>
      <c r="I167" s="44">
        <v>0</v>
      </c>
      <c r="J167" s="44">
        <v>0</v>
      </c>
      <c r="K167" s="44">
        <f t="shared" si="52"/>
        <v>255</v>
      </c>
      <c r="L167" s="44">
        <v>0</v>
      </c>
      <c r="M167" s="41" t="s">
        <v>1478</v>
      </c>
      <c r="N167" s="44">
        <f t="shared" si="54"/>
        <v>3</v>
      </c>
      <c r="O167" s="49" t="s">
        <v>1718</v>
      </c>
      <c r="P167" s="41" t="s">
        <v>2326</v>
      </c>
      <c r="Q167" s="41"/>
      <c r="R167" s="48"/>
      <c r="S167" s="40" t="s">
        <v>2324</v>
      </c>
      <c r="T167" s="131" t="s">
        <v>352</v>
      </c>
      <c r="U167" s="67" t="s">
        <v>632</v>
      </c>
      <c r="V167" s="301" t="s">
        <v>352</v>
      </c>
      <c r="W167" s="48"/>
      <c r="X167" s="48"/>
      <c r="Y167" s="40" t="s">
        <v>1526</v>
      </c>
      <c r="Z167" s="48"/>
      <c r="AA167" s="48"/>
    </row>
    <row r="168" spans="1:27" s="231" customFormat="1" ht="24.75" outlineLevel="1" x14ac:dyDescent="0.35">
      <c r="A168" s="228"/>
      <c r="B168" s="228"/>
      <c r="C168" s="228" t="s">
        <v>1889</v>
      </c>
      <c r="D168" s="228" t="s">
        <v>1890</v>
      </c>
      <c r="E168" s="212">
        <f t="shared" si="51"/>
        <v>36</v>
      </c>
      <c r="F168" s="227">
        <f>F167+G167</f>
        <v>280</v>
      </c>
      <c r="G168" s="213">
        <v>8</v>
      </c>
      <c r="H168" s="213">
        <v>1</v>
      </c>
      <c r="I168" s="213">
        <v>0</v>
      </c>
      <c r="J168" s="213">
        <v>0</v>
      </c>
      <c r="K168" s="213">
        <f t="shared" si="52"/>
        <v>255</v>
      </c>
      <c r="L168" s="213">
        <v>0</v>
      </c>
      <c r="M168" s="229" t="s">
        <v>632</v>
      </c>
      <c r="N168" s="213">
        <v>0</v>
      </c>
      <c r="O168" s="326"/>
      <c r="P168" s="401"/>
      <c r="Q168" s="402"/>
      <c r="R168" s="403"/>
      <c r="S168" s="228" t="s">
        <v>632</v>
      </c>
      <c r="T168" s="232" t="s">
        <v>352</v>
      </c>
      <c r="U168" s="404" t="s">
        <v>352</v>
      </c>
      <c r="V168" s="232" t="s">
        <v>352</v>
      </c>
      <c r="W168" s="233"/>
      <c r="X168" s="233"/>
      <c r="Y168" s="228" t="s">
        <v>1890</v>
      </c>
      <c r="Z168" s="233"/>
      <c r="AA168" s="233"/>
    </row>
    <row r="169" spans="1:27" ht="49.5" outlineLevel="1" x14ac:dyDescent="0.35">
      <c r="A169" s="40"/>
      <c r="B169" s="40"/>
      <c r="C169" s="40" t="s">
        <v>2333</v>
      </c>
      <c r="D169" s="40" t="s">
        <v>2334</v>
      </c>
      <c r="E169" s="42">
        <f t="shared" ref="E169" si="57">IF(INT((F169 + G169-1) / 8) + 1 = INT(F169 / 8) + 1, INT(F169 / 8) + 1, INT(F169 / 8) + 1 &amp; "-" &amp; INT((F169 + G169 - 1) / 8) + 1)</f>
        <v>37</v>
      </c>
      <c r="F169" s="43">
        <f>F168+G168</f>
        <v>288</v>
      </c>
      <c r="G169" s="44">
        <v>8</v>
      </c>
      <c r="H169" s="44">
        <v>1</v>
      </c>
      <c r="I169" s="44">
        <v>0</v>
      </c>
      <c r="J169" s="44">
        <v>0</v>
      </c>
      <c r="K169" s="44">
        <f t="shared" ref="K169" si="58">(POWER(2,G169)-1)*H169+I169</f>
        <v>255</v>
      </c>
      <c r="L169" s="44">
        <v>0</v>
      </c>
      <c r="M169" s="41" t="s">
        <v>85</v>
      </c>
      <c r="N169" s="44">
        <f t="shared" ref="N169" si="59">LEN(K169)</f>
        <v>3</v>
      </c>
      <c r="O169" s="49" t="s">
        <v>2336</v>
      </c>
      <c r="P169" s="323" t="s">
        <v>2043</v>
      </c>
      <c r="Q169" s="44" t="s">
        <v>1098</v>
      </c>
      <c r="R169" s="50"/>
      <c r="S169" s="40" t="s">
        <v>2337</v>
      </c>
      <c r="T169" s="47" t="s">
        <v>352</v>
      </c>
      <c r="U169" s="47" t="s">
        <v>352</v>
      </c>
      <c r="V169" s="47" t="s">
        <v>352</v>
      </c>
      <c r="W169" s="48"/>
      <c r="X169" s="48"/>
      <c r="Y169" s="40" t="s">
        <v>2334</v>
      </c>
      <c r="Z169" s="48"/>
      <c r="AA169" s="48"/>
    </row>
    <row r="170" spans="1:27" ht="24.75" outlineLevel="1" x14ac:dyDescent="0.35">
      <c r="A170" s="40"/>
      <c r="B170" s="40"/>
      <c r="C170" s="40" t="s">
        <v>229</v>
      </c>
      <c r="D170" s="40" t="s">
        <v>1300</v>
      </c>
      <c r="E170" s="42">
        <f t="shared" si="51"/>
        <v>38</v>
      </c>
      <c r="F170" s="43">
        <f t="shared" ref="F170:F229" si="60">F169+G169</f>
        <v>296</v>
      </c>
      <c r="G170" s="44">
        <v>8</v>
      </c>
      <c r="H170" s="44">
        <v>1</v>
      </c>
      <c r="I170" s="44">
        <v>0</v>
      </c>
      <c r="J170" s="44">
        <v>0</v>
      </c>
      <c r="K170" s="44">
        <f t="shared" si="52"/>
        <v>255</v>
      </c>
      <c r="L170" s="44">
        <v>0</v>
      </c>
      <c r="M170" s="41" t="s">
        <v>85</v>
      </c>
      <c r="N170" s="44">
        <f t="shared" si="54"/>
        <v>3</v>
      </c>
      <c r="O170" s="49"/>
      <c r="P170" s="323" t="s">
        <v>2056</v>
      </c>
      <c r="Q170" s="44" t="s">
        <v>1098</v>
      </c>
      <c r="R170" s="50"/>
      <c r="S170" s="40" t="s">
        <v>887</v>
      </c>
      <c r="T170" s="47" t="s">
        <v>352</v>
      </c>
      <c r="U170" s="47" t="s">
        <v>352</v>
      </c>
      <c r="V170" s="47" t="s">
        <v>352</v>
      </c>
      <c r="W170" s="48"/>
      <c r="X170" s="48"/>
      <c r="Y170" s="40" t="s">
        <v>2160</v>
      </c>
      <c r="Z170" s="48"/>
      <c r="AA170" s="48"/>
    </row>
    <row r="171" spans="1:27" ht="24.75" outlineLevel="1" x14ac:dyDescent="0.35">
      <c r="A171" s="40"/>
      <c r="B171" s="40"/>
      <c r="C171" s="40" t="s">
        <v>230</v>
      </c>
      <c r="D171" s="40" t="s">
        <v>231</v>
      </c>
      <c r="E171" s="42" t="str">
        <f t="shared" si="51"/>
        <v>39-40</v>
      </c>
      <c r="F171" s="43">
        <f t="shared" si="60"/>
        <v>304</v>
      </c>
      <c r="G171" s="44">
        <v>16</v>
      </c>
      <c r="H171" s="44">
        <v>1</v>
      </c>
      <c r="I171" s="44">
        <v>0</v>
      </c>
      <c r="J171" s="44">
        <v>0</v>
      </c>
      <c r="K171" s="44">
        <f t="shared" si="52"/>
        <v>65535</v>
      </c>
      <c r="L171" s="44">
        <v>0</v>
      </c>
      <c r="M171" s="41" t="s">
        <v>85</v>
      </c>
      <c r="N171" s="44">
        <f t="shared" si="54"/>
        <v>5</v>
      </c>
      <c r="O171" s="49"/>
      <c r="P171" s="323" t="s">
        <v>2057</v>
      </c>
      <c r="Q171" s="44" t="s">
        <v>1098</v>
      </c>
      <c r="R171" s="50"/>
      <c r="S171" s="40" t="s">
        <v>618</v>
      </c>
      <c r="T171" s="47" t="s">
        <v>352</v>
      </c>
      <c r="U171" s="47" t="s">
        <v>352</v>
      </c>
      <c r="V171" s="47" t="s">
        <v>352</v>
      </c>
      <c r="W171" s="48"/>
      <c r="X171" s="48"/>
      <c r="Y171" s="40" t="s">
        <v>2161</v>
      </c>
      <c r="Z171" s="48"/>
      <c r="AA171" s="48"/>
    </row>
    <row r="172" spans="1:27" ht="24.75" outlineLevel="1" x14ac:dyDescent="0.35">
      <c r="A172" s="50"/>
      <c r="B172" s="50"/>
      <c r="C172" s="46" t="s">
        <v>232</v>
      </c>
      <c r="D172" s="46" t="s">
        <v>233</v>
      </c>
      <c r="E172" s="42" t="str">
        <f t="shared" si="51"/>
        <v>41-42</v>
      </c>
      <c r="F172" s="43">
        <f t="shared" si="60"/>
        <v>320</v>
      </c>
      <c r="G172" s="44">
        <v>16</v>
      </c>
      <c r="H172" s="44">
        <v>0.5</v>
      </c>
      <c r="I172" s="44">
        <v>0</v>
      </c>
      <c r="J172" s="44">
        <v>0</v>
      </c>
      <c r="K172" s="44">
        <f t="shared" si="52"/>
        <v>32767.5</v>
      </c>
      <c r="L172" s="44">
        <v>0</v>
      </c>
      <c r="M172" s="41" t="s">
        <v>107</v>
      </c>
      <c r="N172" s="44">
        <f t="shared" si="54"/>
        <v>7</v>
      </c>
      <c r="O172" s="50"/>
      <c r="P172" s="325" t="s">
        <v>2058</v>
      </c>
      <c r="Q172" s="44" t="s">
        <v>1098</v>
      </c>
      <c r="R172" s="50"/>
      <c r="S172" s="40" t="s">
        <v>619</v>
      </c>
      <c r="T172" s="47" t="s">
        <v>352</v>
      </c>
      <c r="U172" s="47" t="s">
        <v>352</v>
      </c>
      <c r="V172" s="47" t="s">
        <v>352</v>
      </c>
      <c r="W172" s="48"/>
      <c r="X172" s="48"/>
      <c r="Y172" s="46" t="s">
        <v>2162</v>
      </c>
      <c r="Z172" s="48"/>
      <c r="AA172" s="48"/>
    </row>
    <row r="173" spans="1:27" ht="24.75" outlineLevel="1" x14ac:dyDescent="0.35">
      <c r="A173" s="50"/>
      <c r="B173" s="50"/>
      <c r="C173" s="46" t="s">
        <v>1096</v>
      </c>
      <c r="D173" s="46" t="s">
        <v>234</v>
      </c>
      <c r="E173" s="42" t="str">
        <f t="shared" si="51"/>
        <v>43-44</v>
      </c>
      <c r="F173" s="43">
        <f t="shared" si="60"/>
        <v>336</v>
      </c>
      <c r="G173" s="152">
        <v>16</v>
      </c>
      <c r="H173" s="152">
        <v>0.125</v>
      </c>
      <c r="I173" s="152">
        <v>-4000</v>
      </c>
      <c r="J173" s="152">
        <v>-4000</v>
      </c>
      <c r="K173" s="44">
        <f t="shared" si="52"/>
        <v>4191.875</v>
      </c>
      <c r="L173" s="44">
        <v>0</v>
      </c>
      <c r="M173" s="41" t="s">
        <v>110</v>
      </c>
      <c r="N173" s="44">
        <f t="shared" si="54"/>
        <v>8</v>
      </c>
      <c r="O173" s="50"/>
      <c r="P173" s="325" t="s">
        <v>2059</v>
      </c>
      <c r="Q173" s="44" t="s">
        <v>1098</v>
      </c>
      <c r="R173" s="151" t="s">
        <v>235</v>
      </c>
      <c r="S173" s="40" t="s">
        <v>620</v>
      </c>
      <c r="T173" s="47" t="s">
        <v>352</v>
      </c>
      <c r="U173" s="47" t="s">
        <v>352</v>
      </c>
      <c r="V173" s="47" t="s">
        <v>352</v>
      </c>
      <c r="W173" s="48"/>
      <c r="X173" s="48"/>
      <c r="Y173" s="46" t="s">
        <v>2163</v>
      </c>
      <c r="Z173" s="48"/>
      <c r="AA173" s="48"/>
    </row>
    <row r="174" spans="1:27" ht="24.75" outlineLevel="1" x14ac:dyDescent="0.35">
      <c r="A174" s="50"/>
      <c r="B174" s="50"/>
      <c r="C174" s="46" t="s">
        <v>236</v>
      </c>
      <c r="D174" s="46" t="s">
        <v>237</v>
      </c>
      <c r="E174" s="42" t="str">
        <f t="shared" si="51"/>
        <v>45-46</v>
      </c>
      <c r="F174" s="43">
        <f t="shared" si="60"/>
        <v>352</v>
      </c>
      <c r="G174" s="44">
        <v>16</v>
      </c>
      <c r="H174" s="44">
        <v>1</v>
      </c>
      <c r="I174" s="44">
        <v>0</v>
      </c>
      <c r="J174" s="44">
        <v>0</v>
      </c>
      <c r="K174" s="44">
        <f t="shared" ref="K174:K206" si="61">(POWER(2,G174)-1)*H174+I174</f>
        <v>65535</v>
      </c>
      <c r="L174" s="44">
        <v>0</v>
      </c>
      <c r="M174" s="41" t="s">
        <v>119</v>
      </c>
      <c r="N174" s="44">
        <f t="shared" si="54"/>
        <v>5</v>
      </c>
      <c r="O174" s="50"/>
      <c r="P174" s="325" t="s">
        <v>2060</v>
      </c>
      <c r="Q174" s="44" t="s">
        <v>1098</v>
      </c>
      <c r="R174" s="147" t="s">
        <v>238</v>
      </c>
      <c r="S174" s="40" t="s">
        <v>621</v>
      </c>
      <c r="T174" s="47" t="s">
        <v>352</v>
      </c>
      <c r="U174" s="47" t="s">
        <v>352</v>
      </c>
      <c r="V174" s="47" t="s">
        <v>352</v>
      </c>
      <c r="W174" s="48"/>
      <c r="X174" s="48"/>
      <c r="Y174" s="46" t="s">
        <v>2164</v>
      </c>
      <c r="Z174" s="48"/>
      <c r="AA174" s="48"/>
    </row>
    <row r="175" spans="1:27" ht="24.75" outlineLevel="1" x14ac:dyDescent="0.35">
      <c r="A175" s="50"/>
      <c r="B175" s="50"/>
      <c r="C175" s="46" t="s">
        <v>239</v>
      </c>
      <c r="D175" s="46" t="s">
        <v>240</v>
      </c>
      <c r="E175" s="42" t="str">
        <f t="shared" si="51"/>
        <v>47-48</v>
      </c>
      <c r="F175" s="43">
        <f t="shared" si="60"/>
        <v>368</v>
      </c>
      <c r="G175" s="44">
        <v>16</v>
      </c>
      <c r="H175" s="44">
        <v>0.125</v>
      </c>
      <c r="I175" s="44">
        <v>-2000</v>
      </c>
      <c r="J175" s="44">
        <v>-2000</v>
      </c>
      <c r="K175" s="44">
        <f t="shared" si="61"/>
        <v>6191.875</v>
      </c>
      <c r="L175" s="44">
        <v>0</v>
      </c>
      <c r="M175" s="41" t="s">
        <v>110</v>
      </c>
      <c r="N175" s="44">
        <f t="shared" si="54"/>
        <v>8</v>
      </c>
      <c r="O175" s="50"/>
      <c r="P175" s="325" t="s">
        <v>2061</v>
      </c>
      <c r="Q175" s="44" t="s">
        <v>1098</v>
      </c>
      <c r="R175" s="50"/>
      <c r="S175" s="40" t="s">
        <v>622</v>
      </c>
      <c r="T175" s="47" t="s">
        <v>352</v>
      </c>
      <c r="U175" s="47" t="s">
        <v>352</v>
      </c>
      <c r="V175" s="47" t="s">
        <v>352</v>
      </c>
      <c r="W175" s="48"/>
      <c r="X175" s="48"/>
      <c r="Y175" s="46" t="s">
        <v>240</v>
      </c>
      <c r="Z175" s="48"/>
      <c r="AA175" s="48"/>
    </row>
    <row r="176" spans="1:27" ht="24.75" outlineLevel="1" x14ac:dyDescent="0.35">
      <c r="A176" s="50"/>
      <c r="B176" s="50"/>
      <c r="C176" s="46" t="s">
        <v>241</v>
      </c>
      <c r="D176" s="46" t="s">
        <v>242</v>
      </c>
      <c r="E176" s="42">
        <f t="shared" si="51"/>
        <v>49</v>
      </c>
      <c r="F176" s="43">
        <f t="shared" si="60"/>
        <v>384</v>
      </c>
      <c r="G176" s="44">
        <v>8</v>
      </c>
      <c r="H176" s="44">
        <v>1</v>
      </c>
      <c r="I176" s="44">
        <v>0</v>
      </c>
      <c r="J176" s="44">
        <v>0</v>
      </c>
      <c r="K176" s="44">
        <f t="shared" si="61"/>
        <v>255</v>
      </c>
      <c r="L176" s="44">
        <v>0</v>
      </c>
      <c r="M176" s="41" t="s">
        <v>85</v>
      </c>
      <c r="N176" s="44">
        <f t="shared" si="54"/>
        <v>3</v>
      </c>
      <c r="O176" s="50"/>
      <c r="P176" s="325" t="s">
        <v>2062</v>
      </c>
      <c r="Q176" s="44" t="s">
        <v>1098</v>
      </c>
      <c r="R176" s="50"/>
      <c r="S176" s="40" t="s">
        <v>623</v>
      </c>
      <c r="T176" s="47" t="s">
        <v>352</v>
      </c>
      <c r="U176" s="47" t="s">
        <v>352</v>
      </c>
      <c r="V176" s="47" t="s">
        <v>352</v>
      </c>
      <c r="W176" s="48"/>
      <c r="X176" s="48"/>
      <c r="Y176" s="46" t="s">
        <v>242</v>
      </c>
      <c r="Z176" s="48"/>
      <c r="AA176" s="48"/>
    </row>
    <row r="177" spans="1:27" ht="24.75" outlineLevel="1" x14ac:dyDescent="0.35">
      <c r="A177" s="50"/>
      <c r="B177" s="50"/>
      <c r="C177" s="46" t="s">
        <v>243</v>
      </c>
      <c r="D177" s="46" t="s">
        <v>244</v>
      </c>
      <c r="E177" s="42" t="str">
        <f t="shared" si="51"/>
        <v>50-51</v>
      </c>
      <c r="F177" s="43">
        <f t="shared" si="60"/>
        <v>392</v>
      </c>
      <c r="G177" s="44">
        <v>16</v>
      </c>
      <c r="H177" s="44">
        <v>0.125</v>
      </c>
      <c r="I177" s="44">
        <v>-2000</v>
      </c>
      <c r="J177" s="44">
        <v>-2000</v>
      </c>
      <c r="K177" s="44">
        <f t="shared" si="61"/>
        <v>6191.875</v>
      </c>
      <c r="L177" s="44">
        <v>0</v>
      </c>
      <c r="M177" s="41" t="s">
        <v>110</v>
      </c>
      <c r="N177" s="44">
        <f t="shared" si="54"/>
        <v>8</v>
      </c>
      <c r="O177" s="50"/>
      <c r="P177" s="325" t="s">
        <v>2063</v>
      </c>
      <c r="Q177" s="44" t="s">
        <v>1098</v>
      </c>
      <c r="R177" s="50"/>
      <c r="S177" s="40" t="s">
        <v>624</v>
      </c>
      <c r="T177" s="47" t="s">
        <v>352</v>
      </c>
      <c r="U177" s="47" t="s">
        <v>352</v>
      </c>
      <c r="V177" s="47" t="s">
        <v>352</v>
      </c>
      <c r="W177" s="48"/>
      <c r="X177" s="48"/>
      <c r="Y177" s="46" t="s">
        <v>244</v>
      </c>
      <c r="Z177" s="48"/>
      <c r="AA177" s="48"/>
    </row>
    <row r="178" spans="1:27" ht="24.75" outlineLevel="1" x14ac:dyDescent="0.35">
      <c r="A178" s="50"/>
      <c r="B178" s="50"/>
      <c r="C178" s="46" t="s">
        <v>245</v>
      </c>
      <c r="D178" s="46" t="s">
        <v>246</v>
      </c>
      <c r="E178" s="42">
        <f t="shared" si="51"/>
        <v>52</v>
      </c>
      <c r="F178" s="43">
        <f t="shared" si="60"/>
        <v>408</v>
      </c>
      <c r="G178" s="44">
        <v>8</v>
      </c>
      <c r="H178" s="44">
        <v>1</v>
      </c>
      <c r="I178" s="44">
        <v>0</v>
      </c>
      <c r="J178" s="44">
        <v>0</v>
      </c>
      <c r="K178" s="44">
        <f t="shared" si="61"/>
        <v>255</v>
      </c>
      <c r="L178" s="44">
        <v>0</v>
      </c>
      <c r="M178" s="41" t="s">
        <v>85</v>
      </c>
      <c r="N178" s="44">
        <f t="shared" si="54"/>
        <v>3</v>
      </c>
      <c r="O178" s="50"/>
      <c r="P178" s="325" t="s">
        <v>2064</v>
      </c>
      <c r="Q178" s="44" t="s">
        <v>1098</v>
      </c>
      <c r="R178" s="50"/>
      <c r="S178" s="40" t="s">
        <v>625</v>
      </c>
      <c r="T178" s="47" t="s">
        <v>352</v>
      </c>
      <c r="U178" s="47" t="s">
        <v>352</v>
      </c>
      <c r="V178" s="47" t="s">
        <v>352</v>
      </c>
      <c r="W178" s="48"/>
      <c r="X178" s="48"/>
      <c r="Y178" s="46" t="s">
        <v>246</v>
      </c>
      <c r="Z178" s="48"/>
      <c r="AA178" s="48"/>
    </row>
    <row r="179" spans="1:27" ht="24.75" outlineLevel="1" x14ac:dyDescent="0.35">
      <c r="A179" s="50"/>
      <c r="B179" s="50"/>
      <c r="C179" s="46" t="s">
        <v>247</v>
      </c>
      <c r="D179" s="46" t="s">
        <v>151</v>
      </c>
      <c r="E179" s="42" t="str">
        <f t="shared" si="51"/>
        <v>53-54</v>
      </c>
      <c r="F179" s="43">
        <f t="shared" si="60"/>
        <v>416</v>
      </c>
      <c r="G179" s="44">
        <v>16</v>
      </c>
      <c r="H179" s="44">
        <v>1</v>
      </c>
      <c r="I179" s="44">
        <v>0</v>
      </c>
      <c r="J179" s="44">
        <v>0</v>
      </c>
      <c r="K179" s="44">
        <f t="shared" si="61"/>
        <v>65535</v>
      </c>
      <c r="L179" s="44">
        <v>0</v>
      </c>
      <c r="M179" s="41" t="s">
        <v>115</v>
      </c>
      <c r="N179" s="44">
        <f t="shared" si="54"/>
        <v>5</v>
      </c>
      <c r="O179" s="50"/>
      <c r="P179" s="325" t="s">
        <v>2065</v>
      </c>
      <c r="Q179" s="44" t="s">
        <v>1098</v>
      </c>
      <c r="R179" s="50"/>
      <c r="S179" s="40" t="s">
        <v>626</v>
      </c>
      <c r="T179" s="47" t="s">
        <v>352</v>
      </c>
      <c r="U179" s="47" t="s">
        <v>352</v>
      </c>
      <c r="V179" s="47" t="s">
        <v>352</v>
      </c>
      <c r="W179" s="48"/>
      <c r="X179" s="48"/>
      <c r="Y179" s="46" t="s">
        <v>151</v>
      </c>
      <c r="Z179" s="48"/>
      <c r="AA179" s="48"/>
    </row>
    <row r="180" spans="1:27" ht="24.75" outlineLevel="1" x14ac:dyDescent="0.35">
      <c r="A180" s="50"/>
      <c r="B180" s="50"/>
      <c r="C180" s="46" t="s">
        <v>248</v>
      </c>
      <c r="D180" s="46" t="s">
        <v>1818</v>
      </c>
      <c r="E180" s="42">
        <f t="shared" ref="E180:E212" si="62">IF(INT((F180 + G180-1) / 8) + 1 = INT(F180 / 8) + 1, INT(F180 / 8) + 1, INT(F180 / 8) + 1 &amp; "-" &amp; INT((F180 + G180 - 1) / 8) + 1)</f>
        <v>55</v>
      </c>
      <c r="F180" s="43">
        <f t="shared" si="60"/>
        <v>432</v>
      </c>
      <c r="G180" s="44">
        <v>8</v>
      </c>
      <c r="H180" s="44">
        <v>1</v>
      </c>
      <c r="I180" s="44">
        <v>0</v>
      </c>
      <c r="J180" s="44">
        <v>0</v>
      </c>
      <c r="K180" s="44">
        <f t="shared" si="61"/>
        <v>255</v>
      </c>
      <c r="L180" s="44">
        <v>0</v>
      </c>
      <c r="M180" s="41" t="s">
        <v>85</v>
      </c>
      <c r="N180" s="44">
        <f t="shared" si="54"/>
        <v>3</v>
      </c>
      <c r="O180" s="50"/>
      <c r="P180" s="325" t="s">
        <v>2066</v>
      </c>
      <c r="Q180" s="44" t="s">
        <v>1098</v>
      </c>
      <c r="R180" s="50"/>
      <c r="S180" s="40" t="s">
        <v>1593</v>
      </c>
      <c r="T180" s="47" t="s">
        <v>352</v>
      </c>
      <c r="U180" s="47" t="s">
        <v>352</v>
      </c>
      <c r="V180" s="47" t="s">
        <v>352</v>
      </c>
      <c r="W180" s="48"/>
      <c r="X180" s="48"/>
      <c r="Y180" s="46" t="s">
        <v>1818</v>
      </c>
      <c r="Z180" s="48"/>
      <c r="AA180" s="48"/>
    </row>
    <row r="181" spans="1:27" ht="24.75" outlineLevel="1" x14ac:dyDescent="0.35">
      <c r="A181" s="50"/>
      <c r="B181" s="50"/>
      <c r="C181" s="46" t="s">
        <v>249</v>
      </c>
      <c r="D181" s="46" t="s">
        <v>1819</v>
      </c>
      <c r="E181" s="42">
        <f t="shared" si="62"/>
        <v>56</v>
      </c>
      <c r="F181" s="43">
        <f t="shared" si="60"/>
        <v>440</v>
      </c>
      <c r="G181" s="44">
        <v>8</v>
      </c>
      <c r="H181" s="44">
        <v>1</v>
      </c>
      <c r="I181" s="44">
        <v>0</v>
      </c>
      <c r="J181" s="44">
        <v>0</v>
      </c>
      <c r="K181" s="44">
        <f t="shared" si="61"/>
        <v>255</v>
      </c>
      <c r="L181" s="44">
        <v>0</v>
      </c>
      <c r="M181" s="41" t="s">
        <v>85</v>
      </c>
      <c r="N181" s="44">
        <f t="shared" si="54"/>
        <v>3</v>
      </c>
      <c r="O181" s="50"/>
      <c r="P181" s="325" t="s">
        <v>2067</v>
      </c>
      <c r="Q181" s="44" t="s">
        <v>1098</v>
      </c>
      <c r="R181" s="50"/>
      <c r="S181" s="40" t="s">
        <v>1594</v>
      </c>
      <c r="T181" s="47" t="s">
        <v>352</v>
      </c>
      <c r="U181" s="47" t="s">
        <v>352</v>
      </c>
      <c r="V181" s="47" t="s">
        <v>352</v>
      </c>
      <c r="W181" s="48"/>
      <c r="X181" s="48"/>
      <c r="Y181" s="46" t="s">
        <v>1819</v>
      </c>
      <c r="Z181" s="48"/>
      <c r="AA181" s="48"/>
    </row>
    <row r="182" spans="1:27" ht="24.75" outlineLevel="1" x14ac:dyDescent="0.35">
      <c r="A182" s="50"/>
      <c r="B182" s="50"/>
      <c r="C182" s="46" t="s">
        <v>250</v>
      </c>
      <c r="D182" s="46" t="s">
        <v>1817</v>
      </c>
      <c r="E182" s="42">
        <f t="shared" si="62"/>
        <v>57</v>
      </c>
      <c r="F182" s="43">
        <f t="shared" si="60"/>
        <v>448</v>
      </c>
      <c r="G182" s="44">
        <v>8</v>
      </c>
      <c r="H182" s="44">
        <v>1</v>
      </c>
      <c r="I182" s="44">
        <v>0</v>
      </c>
      <c r="J182" s="44">
        <v>0</v>
      </c>
      <c r="K182" s="44">
        <f t="shared" si="61"/>
        <v>255</v>
      </c>
      <c r="L182" s="44">
        <v>0</v>
      </c>
      <c r="M182" s="41" t="s">
        <v>85</v>
      </c>
      <c r="N182" s="44">
        <f t="shared" si="54"/>
        <v>3</v>
      </c>
      <c r="O182" s="50"/>
      <c r="P182" s="325" t="s">
        <v>2068</v>
      </c>
      <c r="Q182" s="44" t="s">
        <v>1098</v>
      </c>
      <c r="R182" s="50"/>
      <c r="S182" s="40" t="s">
        <v>1595</v>
      </c>
      <c r="T182" s="47" t="s">
        <v>352</v>
      </c>
      <c r="U182" s="47" t="s">
        <v>352</v>
      </c>
      <c r="V182" s="47" t="s">
        <v>352</v>
      </c>
      <c r="W182" s="48"/>
      <c r="X182" s="48"/>
      <c r="Y182" s="46" t="s">
        <v>1817</v>
      </c>
      <c r="Z182" s="48"/>
      <c r="AA182" s="48"/>
    </row>
    <row r="183" spans="1:27" ht="24.75" outlineLevel="1" x14ac:dyDescent="0.35">
      <c r="A183" s="50"/>
      <c r="B183" s="50"/>
      <c r="C183" s="46" t="s">
        <v>251</v>
      </c>
      <c r="D183" s="46" t="s">
        <v>154</v>
      </c>
      <c r="E183" s="42" t="str">
        <f t="shared" si="62"/>
        <v>58-59</v>
      </c>
      <c r="F183" s="43">
        <f t="shared" si="60"/>
        <v>456</v>
      </c>
      <c r="G183" s="44">
        <v>16</v>
      </c>
      <c r="H183" s="44">
        <v>1</v>
      </c>
      <c r="I183" s="44">
        <v>0</v>
      </c>
      <c r="J183" s="44">
        <v>0</v>
      </c>
      <c r="K183" s="44">
        <f t="shared" si="61"/>
        <v>65535</v>
      </c>
      <c r="L183" s="44">
        <v>0</v>
      </c>
      <c r="M183" s="41" t="s">
        <v>115</v>
      </c>
      <c r="N183" s="44">
        <f t="shared" si="54"/>
        <v>5</v>
      </c>
      <c r="O183" s="50"/>
      <c r="P183" s="325" t="s">
        <v>2069</v>
      </c>
      <c r="Q183" s="44" t="s">
        <v>1098</v>
      </c>
      <c r="R183" s="50"/>
      <c r="S183" s="40" t="s">
        <v>627</v>
      </c>
      <c r="T183" s="47" t="s">
        <v>352</v>
      </c>
      <c r="U183" s="47" t="s">
        <v>352</v>
      </c>
      <c r="V183" s="47" t="s">
        <v>352</v>
      </c>
      <c r="W183" s="48"/>
      <c r="X183" s="48"/>
      <c r="Y183" s="46" t="s">
        <v>154</v>
      </c>
      <c r="Z183" s="48"/>
      <c r="AA183" s="48"/>
    </row>
    <row r="184" spans="1:27" ht="24.75" outlineLevel="1" x14ac:dyDescent="0.35">
      <c r="A184" s="50"/>
      <c r="B184" s="50"/>
      <c r="C184" s="46" t="s">
        <v>252</v>
      </c>
      <c r="D184" s="46" t="s">
        <v>1820</v>
      </c>
      <c r="E184" s="42">
        <f t="shared" si="62"/>
        <v>60</v>
      </c>
      <c r="F184" s="43">
        <f t="shared" si="60"/>
        <v>472</v>
      </c>
      <c r="G184" s="44">
        <v>8</v>
      </c>
      <c r="H184" s="44">
        <v>1</v>
      </c>
      <c r="I184" s="44">
        <v>0</v>
      </c>
      <c r="J184" s="44">
        <v>0</v>
      </c>
      <c r="K184" s="44">
        <f t="shared" si="61"/>
        <v>255</v>
      </c>
      <c r="L184" s="44">
        <v>0</v>
      </c>
      <c r="M184" s="41" t="s">
        <v>85</v>
      </c>
      <c r="N184" s="44">
        <f t="shared" si="54"/>
        <v>3</v>
      </c>
      <c r="O184" s="50"/>
      <c r="P184" s="325" t="s">
        <v>2070</v>
      </c>
      <c r="Q184" s="44" t="s">
        <v>1098</v>
      </c>
      <c r="R184" s="50"/>
      <c r="S184" s="40" t="s">
        <v>1596</v>
      </c>
      <c r="T184" s="47" t="s">
        <v>352</v>
      </c>
      <c r="U184" s="47" t="s">
        <v>352</v>
      </c>
      <c r="V184" s="47" t="s">
        <v>352</v>
      </c>
      <c r="W184" s="48"/>
      <c r="X184" s="48"/>
      <c r="Y184" s="46" t="s">
        <v>1820</v>
      </c>
      <c r="Z184" s="48"/>
      <c r="AA184" s="48"/>
    </row>
    <row r="185" spans="1:27" ht="24.75" outlineLevel="1" x14ac:dyDescent="0.35">
      <c r="A185" s="50"/>
      <c r="B185" s="50"/>
      <c r="C185" s="46" t="s">
        <v>253</v>
      </c>
      <c r="D185" s="46" t="s">
        <v>1821</v>
      </c>
      <c r="E185" s="42">
        <f t="shared" si="62"/>
        <v>61</v>
      </c>
      <c r="F185" s="43">
        <f t="shared" si="60"/>
        <v>480</v>
      </c>
      <c r="G185" s="44">
        <v>8</v>
      </c>
      <c r="H185" s="44">
        <v>1</v>
      </c>
      <c r="I185" s="44">
        <v>0</v>
      </c>
      <c r="J185" s="44">
        <v>0</v>
      </c>
      <c r="K185" s="44">
        <f t="shared" si="61"/>
        <v>255</v>
      </c>
      <c r="L185" s="44">
        <v>0</v>
      </c>
      <c r="M185" s="41" t="s">
        <v>85</v>
      </c>
      <c r="N185" s="44">
        <f t="shared" si="54"/>
        <v>3</v>
      </c>
      <c r="O185" s="50"/>
      <c r="P185" s="325" t="s">
        <v>2071</v>
      </c>
      <c r="Q185" s="44" t="s">
        <v>1098</v>
      </c>
      <c r="R185" s="50"/>
      <c r="S185" s="40" t="s">
        <v>1597</v>
      </c>
      <c r="T185" s="47" t="s">
        <v>352</v>
      </c>
      <c r="U185" s="47" t="s">
        <v>352</v>
      </c>
      <c r="V185" s="47" t="s">
        <v>352</v>
      </c>
      <c r="W185" s="48"/>
      <c r="X185" s="48"/>
      <c r="Y185" s="46" t="s">
        <v>1821</v>
      </c>
      <c r="Z185" s="48"/>
      <c r="AA185" s="48"/>
    </row>
    <row r="186" spans="1:27" ht="24.75" outlineLevel="1" x14ac:dyDescent="0.35">
      <c r="A186" s="50"/>
      <c r="B186" s="50"/>
      <c r="C186" s="46" t="s">
        <v>254</v>
      </c>
      <c r="D186" s="46" t="s">
        <v>1822</v>
      </c>
      <c r="E186" s="42">
        <f t="shared" si="62"/>
        <v>62</v>
      </c>
      <c r="F186" s="43">
        <f t="shared" si="60"/>
        <v>488</v>
      </c>
      <c r="G186" s="44">
        <v>8</v>
      </c>
      <c r="H186" s="44">
        <v>1</v>
      </c>
      <c r="I186" s="44">
        <v>0</v>
      </c>
      <c r="J186" s="44">
        <v>0</v>
      </c>
      <c r="K186" s="44">
        <f t="shared" si="61"/>
        <v>255</v>
      </c>
      <c r="L186" s="44">
        <v>0</v>
      </c>
      <c r="M186" s="41" t="s">
        <v>85</v>
      </c>
      <c r="N186" s="44">
        <f t="shared" si="54"/>
        <v>3</v>
      </c>
      <c r="O186" s="50"/>
      <c r="P186" s="325" t="s">
        <v>2072</v>
      </c>
      <c r="Q186" s="44" t="s">
        <v>1098</v>
      </c>
      <c r="R186" s="50"/>
      <c r="S186" s="40" t="s">
        <v>1598</v>
      </c>
      <c r="T186" s="47" t="s">
        <v>352</v>
      </c>
      <c r="U186" s="47" t="s">
        <v>352</v>
      </c>
      <c r="V186" s="47" t="s">
        <v>352</v>
      </c>
      <c r="W186" s="48"/>
      <c r="X186" s="48"/>
      <c r="Y186" s="46" t="s">
        <v>2165</v>
      </c>
      <c r="Z186" s="48"/>
      <c r="AA186" s="48"/>
    </row>
    <row r="187" spans="1:27" ht="24.75" outlineLevel="1" x14ac:dyDescent="0.35">
      <c r="A187" s="50"/>
      <c r="B187" s="50"/>
      <c r="C187" s="46" t="s">
        <v>255</v>
      </c>
      <c r="D187" s="46" t="s">
        <v>256</v>
      </c>
      <c r="E187" s="42" t="str">
        <f t="shared" si="62"/>
        <v>63-64</v>
      </c>
      <c r="F187" s="43">
        <f t="shared" si="60"/>
        <v>496</v>
      </c>
      <c r="G187" s="44">
        <v>16</v>
      </c>
      <c r="H187" s="44">
        <v>1</v>
      </c>
      <c r="I187" s="44">
        <v>0</v>
      </c>
      <c r="J187" s="44">
        <v>0</v>
      </c>
      <c r="K187" s="44">
        <f t="shared" si="61"/>
        <v>65535</v>
      </c>
      <c r="L187" s="44">
        <v>0</v>
      </c>
      <c r="M187" s="41" t="s">
        <v>115</v>
      </c>
      <c r="N187" s="44">
        <f t="shared" si="54"/>
        <v>5</v>
      </c>
      <c r="O187" s="50"/>
      <c r="P187" s="325" t="s">
        <v>2073</v>
      </c>
      <c r="Q187" s="44" t="s">
        <v>1098</v>
      </c>
      <c r="R187" s="50"/>
      <c r="S187" s="40" t="s">
        <v>628</v>
      </c>
      <c r="T187" s="47" t="s">
        <v>352</v>
      </c>
      <c r="U187" s="47" t="s">
        <v>352</v>
      </c>
      <c r="V187" s="47" t="s">
        <v>352</v>
      </c>
      <c r="W187" s="48"/>
      <c r="X187" s="48"/>
      <c r="Y187" s="46" t="s">
        <v>256</v>
      </c>
      <c r="Z187" s="48"/>
      <c r="AA187" s="48"/>
    </row>
    <row r="188" spans="1:27" ht="24.75" outlineLevel="1" x14ac:dyDescent="0.35">
      <c r="A188" s="50"/>
      <c r="B188" s="50"/>
      <c r="C188" s="46" t="s">
        <v>1841</v>
      </c>
      <c r="D188" s="46" t="s">
        <v>1843</v>
      </c>
      <c r="E188" s="42">
        <f t="shared" ref="E188" si="63">IF(INT((F188 + G188-1) / 8) + 1 = INT(F188 / 8) + 1, INT(F188 / 8) + 1, INT(F188 / 8) + 1 &amp; "-" &amp; INT((F188 + G188 - 1) / 8) + 1)</f>
        <v>65</v>
      </c>
      <c r="F188" s="43">
        <f t="shared" si="60"/>
        <v>512</v>
      </c>
      <c r="G188" s="44">
        <v>8</v>
      </c>
      <c r="H188" s="44">
        <v>1</v>
      </c>
      <c r="I188" s="44">
        <v>0</v>
      </c>
      <c r="J188" s="44">
        <v>0</v>
      </c>
      <c r="K188" s="44">
        <f t="shared" ref="K188" si="64">(POWER(2,G188)-1)*H188+I188</f>
        <v>255</v>
      </c>
      <c r="L188" s="44">
        <v>0</v>
      </c>
      <c r="M188" s="41" t="s">
        <v>85</v>
      </c>
      <c r="N188" s="44">
        <f t="shared" ref="N188" si="65">LEN(K188)</f>
        <v>3</v>
      </c>
      <c r="O188" s="50"/>
      <c r="P188" s="325" t="s">
        <v>2074</v>
      </c>
      <c r="Q188" s="44" t="s">
        <v>1098</v>
      </c>
      <c r="R188" s="50"/>
      <c r="S188" s="40" t="s">
        <v>1859</v>
      </c>
      <c r="T188" s="47" t="s">
        <v>352</v>
      </c>
      <c r="U188" s="47" t="s">
        <v>352</v>
      </c>
      <c r="V188" s="47" t="s">
        <v>352</v>
      </c>
      <c r="W188" s="48"/>
      <c r="X188" s="48"/>
      <c r="Y188" s="46" t="s">
        <v>1843</v>
      </c>
      <c r="Z188" s="48"/>
      <c r="AA188" s="48"/>
    </row>
    <row r="189" spans="1:27" ht="24.75" outlineLevel="1" x14ac:dyDescent="0.35">
      <c r="A189" s="50"/>
      <c r="B189" s="50"/>
      <c r="C189" s="46" t="s">
        <v>257</v>
      </c>
      <c r="D189" s="46" t="s">
        <v>1823</v>
      </c>
      <c r="E189" s="42">
        <f t="shared" si="62"/>
        <v>66</v>
      </c>
      <c r="F189" s="43">
        <f t="shared" si="60"/>
        <v>520</v>
      </c>
      <c r="G189" s="44">
        <v>8</v>
      </c>
      <c r="H189" s="44">
        <v>1</v>
      </c>
      <c r="I189" s="44">
        <v>0</v>
      </c>
      <c r="J189" s="44">
        <v>0</v>
      </c>
      <c r="K189" s="44">
        <f t="shared" si="61"/>
        <v>255</v>
      </c>
      <c r="L189" s="44">
        <v>0</v>
      </c>
      <c r="M189" s="41" t="s">
        <v>85</v>
      </c>
      <c r="N189" s="44">
        <f t="shared" si="54"/>
        <v>3</v>
      </c>
      <c r="O189" s="50"/>
      <c r="P189" s="325" t="s">
        <v>2075</v>
      </c>
      <c r="Q189" s="44" t="s">
        <v>1098</v>
      </c>
      <c r="R189" s="50"/>
      <c r="S189" s="40" t="s">
        <v>1630</v>
      </c>
      <c r="T189" s="47" t="s">
        <v>352</v>
      </c>
      <c r="U189" s="47" t="s">
        <v>352</v>
      </c>
      <c r="V189" s="47" t="s">
        <v>352</v>
      </c>
      <c r="W189" s="48"/>
      <c r="X189" s="48"/>
      <c r="Y189" s="46" t="s">
        <v>1823</v>
      </c>
      <c r="Z189" s="48"/>
      <c r="AA189" s="48"/>
    </row>
    <row r="190" spans="1:27" ht="24.75" outlineLevel="1" x14ac:dyDescent="0.35">
      <c r="A190" s="50"/>
      <c r="B190" s="50"/>
      <c r="C190" s="46" t="s">
        <v>258</v>
      </c>
      <c r="D190" s="46" t="s">
        <v>1824</v>
      </c>
      <c r="E190" s="42">
        <f t="shared" si="62"/>
        <v>67</v>
      </c>
      <c r="F190" s="43">
        <f t="shared" si="60"/>
        <v>528</v>
      </c>
      <c r="G190" s="44">
        <v>8</v>
      </c>
      <c r="H190" s="44">
        <v>1</v>
      </c>
      <c r="I190" s="44">
        <v>0</v>
      </c>
      <c r="J190" s="44">
        <v>0</v>
      </c>
      <c r="K190" s="44">
        <f t="shared" si="61"/>
        <v>255</v>
      </c>
      <c r="L190" s="44">
        <v>0</v>
      </c>
      <c r="M190" s="41" t="s">
        <v>85</v>
      </c>
      <c r="N190" s="44">
        <f t="shared" si="54"/>
        <v>3</v>
      </c>
      <c r="O190" s="50"/>
      <c r="P190" s="325" t="s">
        <v>2076</v>
      </c>
      <c r="Q190" s="44" t="s">
        <v>1098</v>
      </c>
      <c r="R190" s="50"/>
      <c r="S190" s="40" t="s">
        <v>1632</v>
      </c>
      <c r="T190" s="47" t="s">
        <v>352</v>
      </c>
      <c r="U190" s="47" t="s">
        <v>352</v>
      </c>
      <c r="V190" s="47" t="s">
        <v>352</v>
      </c>
      <c r="W190" s="48"/>
      <c r="X190" s="48"/>
      <c r="Y190" s="46" t="s">
        <v>1824</v>
      </c>
      <c r="Z190" s="48"/>
      <c r="AA190" s="48"/>
    </row>
    <row r="191" spans="1:27" ht="24.75" outlineLevel="1" x14ac:dyDescent="0.35">
      <c r="A191" s="50"/>
      <c r="B191" s="50"/>
      <c r="C191" s="46" t="s">
        <v>259</v>
      </c>
      <c r="D191" s="46" t="s">
        <v>1825</v>
      </c>
      <c r="E191" s="42">
        <f t="shared" si="62"/>
        <v>68</v>
      </c>
      <c r="F191" s="43">
        <f t="shared" si="60"/>
        <v>536</v>
      </c>
      <c r="G191" s="44">
        <v>8</v>
      </c>
      <c r="H191" s="44">
        <v>1</v>
      </c>
      <c r="I191" s="44">
        <v>0</v>
      </c>
      <c r="J191" s="44">
        <v>0</v>
      </c>
      <c r="K191" s="44">
        <f t="shared" si="61"/>
        <v>255</v>
      </c>
      <c r="L191" s="44">
        <v>0</v>
      </c>
      <c r="M191" s="41" t="s">
        <v>85</v>
      </c>
      <c r="N191" s="44">
        <f t="shared" si="54"/>
        <v>3</v>
      </c>
      <c r="O191" s="50"/>
      <c r="P191" s="325" t="s">
        <v>2077</v>
      </c>
      <c r="Q191" s="44" t="s">
        <v>1098</v>
      </c>
      <c r="R191" s="50"/>
      <c r="S191" s="40" t="s">
        <v>1631</v>
      </c>
      <c r="T191" s="47" t="s">
        <v>352</v>
      </c>
      <c r="U191" s="47" t="s">
        <v>352</v>
      </c>
      <c r="V191" s="47" t="s">
        <v>352</v>
      </c>
      <c r="W191" s="48"/>
      <c r="X191" s="48"/>
      <c r="Y191" s="46" t="s">
        <v>1825</v>
      </c>
      <c r="Z191" s="48"/>
      <c r="AA191" s="48"/>
    </row>
    <row r="192" spans="1:27" ht="24.75" outlineLevel="1" x14ac:dyDescent="0.35">
      <c r="A192" s="50"/>
      <c r="B192" s="50"/>
      <c r="C192" s="46" t="s">
        <v>1842</v>
      </c>
      <c r="D192" s="46" t="s">
        <v>1844</v>
      </c>
      <c r="E192" s="42">
        <f t="shared" ref="E192" si="66">IF(INT((F192 + G192-1) / 8) + 1 = INT(F192 / 8) + 1, INT(F192 / 8) + 1, INT(F192 / 8) + 1 &amp; "-" &amp; INT((F192 + G192 - 1) / 8) + 1)</f>
        <v>69</v>
      </c>
      <c r="F192" s="43">
        <f t="shared" si="60"/>
        <v>544</v>
      </c>
      <c r="G192" s="44">
        <v>8</v>
      </c>
      <c r="H192" s="44">
        <v>1</v>
      </c>
      <c r="I192" s="44">
        <v>0</v>
      </c>
      <c r="J192" s="44">
        <v>0</v>
      </c>
      <c r="K192" s="44">
        <f t="shared" ref="K192" si="67">(POWER(2,G192)-1)*H192+I192</f>
        <v>255</v>
      </c>
      <c r="L192" s="44">
        <v>0</v>
      </c>
      <c r="M192" s="41" t="s">
        <v>85</v>
      </c>
      <c r="N192" s="44">
        <f t="shared" ref="N192" si="68">LEN(K192)</f>
        <v>3</v>
      </c>
      <c r="O192" s="50"/>
      <c r="P192" s="325" t="s">
        <v>2078</v>
      </c>
      <c r="Q192" s="44" t="s">
        <v>1098</v>
      </c>
      <c r="R192" s="50"/>
      <c r="S192" s="40" t="s">
        <v>1860</v>
      </c>
      <c r="T192" s="47" t="s">
        <v>352</v>
      </c>
      <c r="U192" s="47" t="s">
        <v>352</v>
      </c>
      <c r="V192" s="47" t="s">
        <v>352</v>
      </c>
      <c r="W192" s="48"/>
      <c r="X192" s="48"/>
      <c r="Y192" s="46" t="s">
        <v>1844</v>
      </c>
      <c r="Z192" s="48"/>
      <c r="AA192" s="48"/>
    </row>
    <row r="193" spans="1:27" ht="24.75" outlineLevel="1" x14ac:dyDescent="0.35">
      <c r="A193" s="50"/>
      <c r="B193" s="50"/>
      <c r="C193" s="46" t="s">
        <v>261</v>
      </c>
      <c r="D193" s="46" t="s">
        <v>1826</v>
      </c>
      <c r="E193" s="42">
        <f t="shared" si="62"/>
        <v>70</v>
      </c>
      <c r="F193" s="43">
        <f t="shared" si="60"/>
        <v>552</v>
      </c>
      <c r="G193" s="44">
        <v>8</v>
      </c>
      <c r="H193" s="44">
        <v>1</v>
      </c>
      <c r="I193" s="44">
        <v>0</v>
      </c>
      <c r="J193" s="44">
        <v>0</v>
      </c>
      <c r="K193" s="44">
        <f t="shared" si="61"/>
        <v>255</v>
      </c>
      <c r="L193" s="44">
        <v>0</v>
      </c>
      <c r="M193" s="41" t="s">
        <v>85</v>
      </c>
      <c r="N193" s="44">
        <f t="shared" si="54"/>
        <v>3</v>
      </c>
      <c r="O193" s="50"/>
      <c r="P193" s="325" t="s">
        <v>2079</v>
      </c>
      <c r="Q193" s="44" t="s">
        <v>1098</v>
      </c>
      <c r="R193" s="50"/>
      <c r="S193" s="40" t="s">
        <v>1633</v>
      </c>
      <c r="T193" s="47" t="s">
        <v>352</v>
      </c>
      <c r="U193" s="47" t="s">
        <v>352</v>
      </c>
      <c r="V193" s="47" t="s">
        <v>352</v>
      </c>
      <c r="W193" s="48"/>
      <c r="X193" s="48"/>
      <c r="Y193" s="46" t="s">
        <v>1826</v>
      </c>
      <c r="Z193" s="48"/>
      <c r="AA193" s="48"/>
    </row>
    <row r="194" spans="1:27" ht="24.75" outlineLevel="1" x14ac:dyDescent="0.35">
      <c r="A194" s="50"/>
      <c r="B194" s="50"/>
      <c r="C194" s="46" t="s">
        <v>262</v>
      </c>
      <c r="D194" s="46" t="s">
        <v>1827</v>
      </c>
      <c r="E194" s="42">
        <f t="shared" si="62"/>
        <v>71</v>
      </c>
      <c r="F194" s="43">
        <f t="shared" si="60"/>
        <v>560</v>
      </c>
      <c r="G194" s="44">
        <v>8</v>
      </c>
      <c r="H194" s="44">
        <v>1</v>
      </c>
      <c r="I194" s="44">
        <v>0</v>
      </c>
      <c r="J194" s="44">
        <v>0</v>
      </c>
      <c r="K194" s="44">
        <f t="shared" si="61"/>
        <v>255</v>
      </c>
      <c r="L194" s="44">
        <v>0</v>
      </c>
      <c r="M194" s="41" t="s">
        <v>85</v>
      </c>
      <c r="N194" s="44">
        <f t="shared" si="54"/>
        <v>3</v>
      </c>
      <c r="O194" s="50"/>
      <c r="P194" s="325" t="s">
        <v>2080</v>
      </c>
      <c r="Q194" s="44" t="s">
        <v>1098</v>
      </c>
      <c r="R194" s="50"/>
      <c r="S194" s="40" t="s">
        <v>1634</v>
      </c>
      <c r="T194" s="47" t="s">
        <v>352</v>
      </c>
      <c r="U194" s="47" t="s">
        <v>352</v>
      </c>
      <c r="V194" s="47" t="s">
        <v>352</v>
      </c>
      <c r="W194" s="48"/>
      <c r="X194" s="48"/>
      <c r="Y194" s="46" t="s">
        <v>1827</v>
      </c>
      <c r="Z194" s="48"/>
      <c r="AA194" s="48"/>
    </row>
    <row r="195" spans="1:27" ht="24.75" outlineLevel="1" x14ac:dyDescent="0.35">
      <c r="A195" s="50"/>
      <c r="B195" s="50"/>
      <c r="C195" s="46" t="s">
        <v>263</v>
      </c>
      <c r="D195" s="46" t="s">
        <v>1828</v>
      </c>
      <c r="E195" s="42">
        <f t="shared" si="62"/>
        <v>72</v>
      </c>
      <c r="F195" s="43">
        <f t="shared" si="60"/>
        <v>568</v>
      </c>
      <c r="G195" s="44">
        <v>8</v>
      </c>
      <c r="H195" s="44">
        <v>1</v>
      </c>
      <c r="I195" s="44">
        <v>0</v>
      </c>
      <c r="J195" s="44">
        <v>0</v>
      </c>
      <c r="K195" s="44">
        <f t="shared" si="61"/>
        <v>255</v>
      </c>
      <c r="L195" s="44">
        <v>0</v>
      </c>
      <c r="M195" s="41" t="s">
        <v>85</v>
      </c>
      <c r="N195" s="44">
        <f t="shared" si="54"/>
        <v>3</v>
      </c>
      <c r="O195" s="50"/>
      <c r="P195" s="325" t="s">
        <v>2081</v>
      </c>
      <c r="Q195" s="44" t="s">
        <v>1098</v>
      </c>
      <c r="R195" s="50"/>
      <c r="S195" s="40" t="s">
        <v>1635</v>
      </c>
      <c r="T195" s="47" t="s">
        <v>352</v>
      </c>
      <c r="U195" s="47" t="s">
        <v>352</v>
      </c>
      <c r="V195" s="47" t="s">
        <v>352</v>
      </c>
      <c r="W195" s="48"/>
      <c r="X195" s="48"/>
      <c r="Y195" s="46" t="s">
        <v>1828</v>
      </c>
      <c r="Z195" s="48"/>
      <c r="AA195" s="48"/>
    </row>
    <row r="196" spans="1:27" ht="24.75" outlineLevel="1" x14ac:dyDescent="0.35">
      <c r="A196" s="48"/>
      <c r="B196" s="48"/>
      <c r="C196" s="40" t="s">
        <v>1719</v>
      </c>
      <c r="D196" s="46" t="s">
        <v>1720</v>
      </c>
      <c r="E196" s="129">
        <f t="shared" si="62"/>
        <v>73</v>
      </c>
      <c r="F196" s="43">
        <f t="shared" si="60"/>
        <v>576</v>
      </c>
      <c r="G196" s="42">
        <v>8</v>
      </c>
      <c r="H196" s="42">
        <v>1</v>
      </c>
      <c r="I196" s="42">
        <v>0</v>
      </c>
      <c r="J196" s="42">
        <v>0</v>
      </c>
      <c r="K196" s="42">
        <v>1</v>
      </c>
      <c r="L196" s="42">
        <v>0</v>
      </c>
      <c r="M196" s="41" t="s">
        <v>1094</v>
      </c>
      <c r="N196" s="44">
        <f>LEN(K196)</f>
        <v>1</v>
      </c>
      <c r="O196" s="50" t="s">
        <v>1754</v>
      </c>
      <c r="P196" s="323" t="s">
        <v>2332</v>
      </c>
      <c r="Q196" s="179"/>
      <c r="R196" s="130"/>
      <c r="S196" s="131" t="s">
        <v>1721</v>
      </c>
      <c r="T196" s="47" t="s">
        <v>632</v>
      </c>
      <c r="U196" s="47" t="s">
        <v>352</v>
      </c>
      <c r="V196" s="47" t="s">
        <v>352</v>
      </c>
      <c r="W196" s="48"/>
      <c r="X196" s="48"/>
      <c r="Y196" s="46" t="s">
        <v>1720</v>
      </c>
      <c r="Z196" s="48"/>
      <c r="AA196" s="48"/>
    </row>
    <row r="197" spans="1:27" ht="61.9" outlineLevel="1" x14ac:dyDescent="0.35">
      <c r="A197" s="50"/>
      <c r="B197" s="50"/>
      <c r="C197" s="40" t="s">
        <v>1703</v>
      </c>
      <c r="D197" s="46" t="s">
        <v>1704</v>
      </c>
      <c r="E197" s="42">
        <f t="shared" si="62"/>
        <v>74</v>
      </c>
      <c r="F197" s="43">
        <f t="shared" si="60"/>
        <v>584</v>
      </c>
      <c r="G197" s="54">
        <v>8</v>
      </c>
      <c r="H197" s="44">
        <v>1</v>
      </c>
      <c r="I197" s="44">
        <v>0</v>
      </c>
      <c r="J197" s="44">
        <v>0</v>
      </c>
      <c r="K197" s="44">
        <f t="shared" si="61"/>
        <v>255</v>
      </c>
      <c r="L197" s="44">
        <v>0</v>
      </c>
      <c r="M197" s="41" t="s">
        <v>85</v>
      </c>
      <c r="N197" s="44">
        <f t="shared" si="54"/>
        <v>3</v>
      </c>
      <c r="O197" s="40" t="s">
        <v>1125</v>
      </c>
      <c r="P197" s="323" t="s">
        <v>2083</v>
      </c>
      <c r="Q197" s="44" t="s">
        <v>1098</v>
      </c>
      <c r="R197" s="50"/>
      <c r="S197" s="40" t="s">
        <v>1439</v>
      </c>
      <c r="T197" s="47" t="s">
        <v>352</v>
      </c>
      <c r="U197" s="47" t="s">
        <v>352</v>
      </c>
      <c r="V197" s="47" t="s">
        <v>352</v>
      </c>
      <c r="W197" s="48"/>
      <c r="X197" s="48"/>
      <c r="Y197" s="46" t="s">
        <v>1704</v>
      </c>
      <c r="Z197" s="48"/>
      <c r="AA197" s="48"/>
    </row>
    <row r="198" spans="1:27" ht="86.65" outlineLevel="1" x14ac:dyDescent="0.35">
      <c r="A198" s="50"/>
      <c r="B198" s="50"/>
      <c r="C198" s="40" t="s">
        <v>1483</v>
      </c>
      <c r="D198" s="46" t="s">
        <v>1304</v>
      </c>
      <c r="E198" s="42">
        <f t="shared" si="62"/>
        <v>75</v>
      </c>
      <c r="F198" s="43">
        <f t="shared" si="60"/>
        <v>592</v>
      </c>
      <c r="G198" s="54">
        <v>8</v>
      </c>
      <c r="H198" s="44">
        <v>1</v>
      </c>
      <c r="I198" s="44">
        <v>0</v>
      </c>
      <c r="J198" s="44">
        <v>0</v>
      </c>
      <c r="K198" s="44">
        <f t="shared" si="61"/>
        <v>255</v>
      </c>
      <c r="L198" s="44">
        <v>0</v>
      </c>
      <c r="M198" s="41" t="s">
        <v>85</v>
      </c>
      <c r="N198" s="44">
        <f t="shared" si="54"/>
        <v>3</v>
      </c>
      <c r="O198" s="50" t="s">
        <v>1857</v>
      </c>
      <c r="P198" s="323" t="s">
        <v>2084</v>
      </c>
      <c r="Q198" s="44" t="s">
        <v>1098</v>
      </c>
      <c r="R198" s="50"/>
      <c r="S198" s="40" t="s">
        <v>884</v>
      </c>
      <c r="T198" s="47" t="s">
        <v>352</v>
      </c>
      <c r="U198" s="47" t="s">
        <v>352</v>
      </c>
      <c r="V198" s="47" t="s">
        <v>352</v>
      </c>
      <c r="W198" s="48"/>
      <c r="X198" s="48"/>
      <c r="Y198" s="46" t="s">
        <v>2166</v>
      </c>
      <c r="Z198" s="48"/>
      <c r="AA198" s="48"/>
    </row>
    <row r="199" spans="1:27" ht="24.75" outlineLevel="1" collapsed="1" x14ac:dyDescent="0.35">
      <c r="A199" s="50"/>
      <c r="B199" s="50"/>
      <c r="C199" s="40" t="s">
        <v>265</v>
      </c>
      <c r="D199" s="46" t="s">
        <v>1303</v>
      </c>
      <c r="E199" s="42">
        <f t="shared" si="62"/>
        <v>76</v>
      </c>
      <c r="F199" s="43">
        <f t="shared" si="60"/>
        <v>600</v>
      </c>
      <c r="G199" s="54">
        <v>8</v>
      </c>
      <c r="H199" s="44">
        <v>1</v>
      </c>
      <c r="I199" s="44">
        <v>0</v>
      </c>
      <c r="J199" s="44">
        <v>0</v>
      </c>
      <c r="K199" s="44">
        <f t="shared" si="61"/>
        <v>255</v>
      </c>
      <c r="L199" s="44">
        <v>0</v>
      </c>
      <c r="M199" s="41" t="s">
        <v>85</v>
      </c>
      <c r="N199" s="44">
        <f t="shared" si="54"/>
        <v>3</v>
      </c>
      <c r="O199" s="50"/>
      <c r="P199" s="323" t="s">
        <v>2085</v>
      </c>
      <c r="Q199" s="44" t="s">
        <v>1098</v>
      </c>
      <c r="R199" s="50"/>
      <c r="S199" s="40" t="s">
        <v>885</v>
      </c>
      <c r="T199" s="47" t="s">
        <v>352</v>
      </c>
      <c r="U199" s="47" t="s">
        <v>352</v>
      </c>
      <c r="V199" s="47" t="s">
        <v>352</v>
      </c>
      <c r="W199" s="48"/>
      <c r="X199" s="48"/>
      <c r="Y199" s="46" t="s">
        <v>2167</v>
      </c>
      <c r="Z199" s="48"/>
      <c r="AA199" s="48"/>
    </row>
    <row r="200" spans="1:27" ht="24.75" outlineLevel="1" x14ac:dyDescent="0.35">
      <c r="A200" s="50"/>
      <c r="B200" s="50"/>
      <c r="C200" s="40" t="s">
        <v>266</v>
      </c>
      <c r="D200" s="40" t="s">
        <v>1305</v>
      </c>
      <c r="E200" s="42" t="str">
        <f t="shared" si="62"/>
        <v>77-78</v>
      </c>
      <c r="F200" s="43">
        <f t="shared" si="60"/>
        <v>608</v>
      </c>
      <c r="G200" s="44">
        <v>16</v>
      </c>
      <c r="H200" s="44">
        <v>1</v>
      </c>
      <c r="I200" s="44">
        <v>0</v>
      </c>
      <c r="J200" s="44">
        <v>0</v>
      </c>
      <c r="K200" s="44">
        <f t="shared" si="61"/>
        <v>65535</v>
      </c>
      <c r="L200" s="44">
        <v>0</v>
      </c>
      <c r="M200" s="41" t="s">
        <v>112</v>
      </c>
      <c r="N200" s="44">
        <f t="shared" si="54"/>
        <v>5</v>
      </c>
      <c r="O200" s="50"/>
      <c r="P200" s="325" t="s">
        <v>2086</v>
      </c>
      <c r="Q200" s="44"/>
      <c r="R200" s="50"/>
      <c r="S200" s="40" t="s">
        <v>629</v>
      </c>
      <c r="T200" s="47" t="s">
        <v>352</v>
      </c>
      <c r="U200" s="47" t="s">
        <v>352</v>
      </c>
      <c r="V200" s="47" t="s">
        <v>352</v>
      </c>
      <c r="W200" s="48"/>
      <c r="X200" s="48"/>
      <c r="Y200" s="40" t="s">
        <v>2122</v>
      </c>
      <c r="Z200" s="48"/>
      <c r="AA200" s="48"/>
    </row>
    <row r="201" spans="1:27" ht="24.75" outlineLevel="1" x14ac:dyDescent="0.35">
      <c r="A201" s="50"/>
      <c r="B201" s="50"/>
      <c r="C201" s="40" t="s">
        <v>267</v>
      </c>
      <c r="D201" s="40" t="s">
        <v>1306</v>
      </c>
      <c r="E201" s="42" t="str">
        <f t="shared" si="62"/>
        <v>79-80</v>
      </c>
      <c r="F201" s="43">
        <f t="shared" si="60"/>
        <v>624</v>
      </c>
      <c r="G201" s="44">
        <v>16</v>
      </c>
      <c r="H201" s="44">
        <v>1</v>
      </c>
      <c r="I201" s="44">
        <v>0</v>
      </c>
      <c r="J201" s="44">
        <v>0</v>
      </c>
      <c r="K201" s="44">
        <f t="shared" si="61"/>
        <v>65535</v>
      </c>
      <c r="L201" s="44">
        <v>0</v>
      </c>
      <c r="M201" s="41" t="s">
        <v>112</v>
      </c>
      <c r="N201" s="44">
        <f t="shared" si="54"/>
        <v>5</v>
      </c>
      <c r="O201" s="50"/>
      <c r="P201" s="325" t="s">
        <v>2087</v>
      </c>
      <c r="Q201" s="44"/>
      <c r="R201" s="50"/>
      <c r="S201" s="40" t="s">
        <v>630</v>
      </c>
      <c r="T201" s="47" t="s">
        <v>352</v>
      </c>
      <c r="U201" s="47" t="s">
        <v>352</v>
      </c>
      <c r="V201" s="47" t="s">
        <v>352</v>
      </c>
      <c r="W201" s="48"/>
      <c r="X201" s="48"/>
      <c r="Y201" s="40" t="s">
        <v>2123</v>
      </c>
      <c r="Z201" s="48"/>
      <c r="AA201" s="48"/>
    </row>
    <row r="202" spans="1:27" ht="24.75" outlineLevel="1" x14ac:dyDescent="0.35">
      <c r="A202" s="50"/>
      <c r="B202" s="50"/>
      <c r="C202" s="46" t="s">
        <v>268</v>
      </c>
      <c r="D202" s="264" t="s">
        <v>1792</v>
      </c>
      <c r="E202" s="42" t="str">
        <f t="shared" si="62"/>
        <v>81-84</v>
      </c>
      <c r="F202" s="43">
        <f t="shared" si="60"/>
        <v>640</v>
      </c>
      <c r="G202" s="44">
        <v>32</v>
      </c>
      <c r="H202" s="44">
        <v>1</v>
      </c>
      <c r="I202" s="44">
        <v>0</v>
      </c>
      <c r="J202" s="44">
        <v>0</v>
      </c>
      <c r="K202" s="44">
        <f t="shared" si="61"/>
        <v>4294967295</v>
      </c>
      <c r="L202" s="44">
        <v>0</v>
      </c>
      <c r="M202" s="41" t="s">
        <v>164</v>
      </c>
      <c r="N202" s="44">
        <f t="shared" si="54"/>
        <v>10</v>
      </c>
      <c r="O202" s="50"/>
      <c r="P202" s="325" t="s">
        <v>2088</v>
      </c>
      <c r="Q202" s="44" t="s">
        <v>1098</v>
      </c>
      <c r="R202" s="50"/>
      <c r="S202" s="40" t="s">
        <v>1219</v>
      </c>
      <c r="T202" s="47" t="s">
        <v>352</v>
      </c>
      <c r="U202" s="47" t="s">
        <v>352</v>
      </c>
      <c r="V202" s="47" t="s">
        <v>352</v>
      </c>
      <c r="W202" s="48"/>
      <c r="X202" s="48"/>
      <c r="Y202" s="264" t="s">
        <v>1792</v>
      </c>
      <c r="Z202" s="48"/>
      <c r="AA202" s="48"/>
    </row>
    <row r="203" spans="1:27" ht="24.75" outlineLevel="1" x14ac:dyDescent="0.35">
      <c r="A203" s="50"/>
      <c r="B203" s="50"/>
      <c r="C203" s="46" t="s">
        <v>269</v>
      </c>
      <c r="D203" s="264" t="s">
        <v>1793</v>
      </c>
      <c r="E203" s="42" t="str">
        <f t="shared" si="62"/>
        <v>85-88</v>
      </c>
      <c r="F203" s="43">
        <f t="shared" si="60"/>
        <v>672</v>
      </c>
      <c r="G203" s="44">
        <v>32</v>
      </c>
      <c r="H203" s="44">
        <v>1</v>
      </c>
      <c r="I203" s="44">
        <v>0</v>
      </c>
      <c r="J203" s="44">
        <v>0</v>
      </c>
      <c r="K203" s="44">
        <f t="shared" si="61"/>
        <v>4294967295</v>
      </c>
      <c r="L203" s="44">
        <v>0</v>
      </c>
      <c r="M203" s="41" t="s">
        <v>137</v>
      </c>
      <c r="N203" s="44">
        <f t="shared" si="54"/>
        <v>10</v>
      </c>
      <c r="O203" s="50"/>
      <c r="P203" s="325" t="s">
        <v>2089</v>
      </c>
      <c r="Q203" s="44" t="s">
        <v>1098</v>
      </c>
      <c r="R203" s="50"/>
      <c r="S203" s="40" t="s">
        <v>1221</v>
      </c>
      <c r="T203" s="47" t="s">
        <v>352</v>
      </c>
      <c r="U203" s="47" t="s">
        <v>352</v>
      </c>
      <c r="V203" s="47" t="s">
        <v>352</v>
      </c>
      <c r="W203" s="48"/>
      <c r="X203" s="48"/>
      <c r="Y203" s="264" t="s">
        <v>1793</v>
      </c>
      <c r="Z203" s="48"/>
      <c r="AA203" s="48"/>
    </row>
    <row r="204" spans="1:27" ht="24.75" outlineLevel="1" x14ac:dyDescent="0.35">
      <c r="A204" s="50"/>
      <c r="B204" s="50"/>
      <c r="C204" s="46" t="s">
        <v>270</v>
      </c>
      <c r="D204" s="264" t="s">
        <v>1790</v>
      </c>
      <c r="E204" s="42" t="str">
        <f t="shared" si="62"/>
        <v>89-92</v>
      </c>
      <c r="F204" s="43">
        <f t="shared" si="60"/>
        <v>704</v>
      </c>
      <c r="G204" s="44">
        <v>32</v>
      </c>
      <c r="H204" s="44">
        <v>1</v>
      </c>
      <c r="I204" s="44">
        <v>0</v>
      </c>
      <c r="J204" s="44">
        <v>0</v>
      </c>
      <c r="K204" s="44">
        <f t="shared" si="61"/>
        <v>4294967295</v>
      </c>
      <c r="L204" s="44">
        <v>0</v>
      </c>
      <c r="M204" s="41" t="s">
        <v>164</v>
      </c>
      <c r="N204" s="44">
        <f t="shared" si="54"/>
        <v>10</v>
      </c>
      <c r="O204" s="50"/>
      <c r="P204" s="325" t="s">
        <v>2090</v>
      </c>
      <c r="Q204" s="44" t="s">
        <v>1098</v>
      </c>
      <c r="R204" s="50"/>
      <c r="S204" s="40" t="s">
        <v>1220</v>
      </c>
      <c r="T204" s="47" t="s">
        <v>352</v>
      </c>
      <c r="U204" s="47" t="s">
        <v>352</v>
      </c>
      <c r="V204" s="47" t="s">
        <v>352</v>
      </c>
      <c r="W204" s="48"/>
      <c r="X204" s="48"/>
      <c r="Y204" s="264" t="s">
        <v>1790</v>
      </c>
      <c r="Z204" s="48"/>
      <c r="AA204" s="48"/>
    </row>
    <row r="205" spans="1:27" ht="24.75" outlineLevel="1" x14ac:dyDescent="0.35">
      <c r="A205" s="50"/>
      <c r="B205" s="50"/>
      <c r="C205" s="46" t="s">
        <v>271</v>
      </c>
      <c r="D205" s="264" t="s">
        <v>1791</v>
      </c>
      <c r="E205" s="42" t="str">
        <f t="shared" si="62"/>
        <v>93-96</v>
      </c>
      <c r="F205" s="43">
        <f t="shared" si="60"/>
        <v>736</v>
      </c>
      <c r="G205" s="44">
        <v>32</v>
      </c>
      <c r="H205" s="44">
        <v>1</v>
      </c>
      <c r="I205" s="44">
        <v>0</v>
      </c>
      <c r="J205" s="44">
        <v>0</v>
      </c>
      <c r="K205" s="44">
        <f t="shared" si="61"/>
        <v>4294967295</v>
      </c>
      <c r="L205" s="44">
        <v>0</v>
      </c>
      <c r="M205" s="41" t="s">
        <v>137</v>
      </c>
      <c r="N205" s="44">
        <f t="shared" si="54"/>
        <v>10</v>
      </c>
      <c r="O205" s="50"/>
      <c r="P205" s="325" t="s">
        <v>2091</v>
      </c>
      <c r="Q205" s="44" t="s">
        <v>1098</v>
      </c>
      <c r="R205" s="50"/>
      <c r="S205" s="40" t="s">
        <v>1222</v>
      </c>
      <c r="T205" s="47" t="s">
        <v>352</v>
      </c>
      <c r="U205" s="47" t="s">
        <v>352</v>
      </c>
      <c r="V205" s="47" t="s">
        <v>352</v>
      </c>
      <c r="W205" s="48"/>
      <c r="X205" s="48"/>
      <c r="Y205" s="264" t="s">
        <v>1791</v>
      </c>
      <c r="Z205" s="48"/>
      <c r="AA205" s="48"/>
    </row>
    <row r="206" spans="1:27" ht="24.75" outlineLevel="1" x14ac:dyDescent="0.35">
      <c r="A206" s="48"/>
      <c r="B206" s="48"/>
      <c r="C206" s="40" t="s">
        <v>272</v>
      </c>
      <c r="D206" s="40" t="s">
        <v>1484</v>
      </c>
      <c r="E206" s="42" t="str">
        <f t="shared" si="62"/>
        <v>97-98</v>
      </c>
      <c r="F206" s="43">
        <f t="shared" si="60"/>
        <v>768</v>
      </c>
      <c r="G206" s="44">
        <v>16</v>
      </c>
      <c r="H206" s="44">
        <v>1</v>
      </c>
      <c r="I206" s="44">
        <v>0</v>
      </c>
      <c r="J206" s="44">
        <v>0</v>
      </c>
      <c r="K206" s="44">
        <f t="shared" si="61"/>
        <v>65535</v>
      </c>
      <c r="L206" s="44">
        <v>0</v>
      </c>
      <c r="M206" s="41" t="s">
        <v>137</v>
      </c>
      <c r="N206" s="44">
        <f t="shared" si="54"/>
        <v>5</v>
      </c>
      <c r="O206" s="40"/>
      <c r="P206" s="325" t="s">
        <v>2092</v>
      </c>
      <c r="Q206" s="44" t="s">
        <v>1098</v>
      </c>
      <c r="R206" s="48"/>
      <c r="S206" s="47" t="s">
        <v>1226</v>
      </c>
      <c r="T206" s="47" t="s">
        <v>352</v>
      </c>
      <c r="U206" s="47" t="s">
        <v>352</v>
      </c>
      <c r="V206" s="47" t="s">
        <v>352</v>
      </c>
      <c r="W206" s="48"/>
      <c r="X206" s="48"/>
      <c r="Y206" s="40" t="s">
        <v>2137</v>
      </c>
      <c r="Z206" s="48"/>
      <c r="AA206" s="48"/>
    </row>
    <row r="207" spans="1:27" ht="24.75" outlineLevel="1" x14ac:dyDescent="0.35">
      <c r="A207" s="48"/>
      <c r="B207" s="48"/>
      <c r="C207" s="40" t="s">
        <v>273</v>
      </c>
      <c r="D207" s="40" t="s">
        <v>1485</v>
      </c>
      <c r="E207" s="42" t="str">
        <f t="shared" si="62"/>
        <v>99-100</v>
      </c>
      <c r="F207" s="43">
        <f t="shared" si="60"/>
        <v>784</v>
      </c>
      <c r="G207" s="44">
        <v>16</v>
      </c>
      <c r="H207" s="44">
        <v>1</v>
      </c>
      <c r="I207" s="44">
        <v>0</v>
      </c>
      <c r="J207" s="44">
        <v>0</v>
      </c>
      <c r="K207" s="44">
        <f>(POWER(2,G207)-1)*H207+I207</f>
        <v>65535</v>
      </c>
      <c r="L207" s="44">
        <v>0</v>
      </c>
      <c r="M207" s="41" t="s">
        <v>137</v>
      </c>
      <c r="N207" s="44">
        <f t="shared" si="54"/>
        <v>5</v>
      </c>
      <c r="O207" s="49"/>
      <c r="P207" s="325" t="s">
        <v>2093</v>
      </c>
      <c r="Q207" s="44" t="s">
        <v>1098</v>
      </c>
      <c r="R207" s="48"/>
      <c r="S207" s="47" t="s">
        <v>1227</v>
      </c>
      <c r="T207" s="47" t="s">
        <v>352</v>
      </c>
      <c r="U207" s="47" t="s">
        <v>352</v>
      </c>
      <c r="V207" s="47" t="s">
        <v>352</v>
      </c>
      <c r="W207" s="48"/>
      <c r="X207" s="48"/>
      <c r="Y207" s="40" t="s">
        <v>2138</v>
      </c>
      <c r="Z207" s="48"/>
      <c r="AA207" s="48"/>
    </row>
    <row r="208" spans="1:27" ht="24.75" outlineLevel="1" x14ac:dyDescent="0.35">
      <c r="A208" s="48"/>
      <c r="B208" s="48"/>
      <c r="C208" s="40" t="s">
        <v>1230</v>
      </c>
      <c r="D208" s="40" t="s">
        <v>1232</v>
      </c>
      <c r="E208" s="42">
        <f t="shared" si="62"/>
        <v>101</v>
      </c>
      <c r="F208" s="43">
        <f t="shared" si="60"/>
        <v>800</v>
      </c>
      <c r="G208" s="44">
        <v>8</v>
      </c>
      <c r="H208" s="44">
        <v>1</v>
      </c>
      <c r="I208" s="44">
        <v>0</v>
      </c>
      <c r="J208" s="44">
        <v>0</v>
      </c>
      <c r="K208" s="44">
        <f>(POWER(2,G208)-1)*H208+I208</f>
        <v>255</v>
      </c>
      <c r="L208" s="44">
        <v>0</v>
      </c>
      <c r="M208" s="41" t="s">
        <v>932</v>
      </c>
      <c r="N208" s="44">
        <f t="shared" si="54"/>
        <v>3</v>
      </c>
      <c r="O208" s="49"/>
      <c r="P208" s="323" t="s">
        <v>2095</v>
      </c>
      <c r="Q208" s="44" t="s">
        <v>1098</v>
      </c>
      <c r="R208" s="48"/>
      <c r="S208" s="47" t="s">
        <v>1235</v>
      </c>
      <c r="T208" s="47" t="s">
        <v>352</v>
      </c>
      <c r="U208" s="47" t="s">
        <v>352</v>
      </c>
      <c r="V208" s="47" t="s">
        <v>352</v>
      </c>
      <c r="W208" s="48"/>
      <c r="X208" s="48"/>
      <c r="Y208" s="40" t="s">
        <v>1232</v>
      </c>
      <c r="Z208" s="48"/>
      <c r="AA208" s="48"/>
    </row>
    <row r="209" spans="1:27" ht="24.75" outlineLevel="1" x14ac:dyDescent="0.35">
      <c r="A209" s="48"/>
      <c r="B209" s="48"/>
      <c r="C209" s="40" t="s">
        <v>1231</v>
      </c>
      <c r="D209" s="40" t="s">
        <v>1233</v>
      </c>
      <c r="E209" s="42">
        <f t="shared" si="62"/>
        <v>102</v>
      </c>
      <c r="F209" s="43">
        <f t="shared" si="60"/>
        <v>808</v>
      </c>
      <c r="G209" s="44">
        <v>8</v>
      </c>
      <c r="H209" s="44">
        <v>1</v>
      </c>
      <c r="I209" s="44">
        <v>0</v>
      </c>
      <c r="J209" s="44">
        <v>0</v>
      </c>
      <c r="K209" s="44">
        <f>(POWER(2,G209)-1)*H209+I209</f>
        <v>255</v>
      </c>
      <c r="L209" s="44">
        <v>0</v>
      </c>
      <c r="M209" s="41" t="s">
        <v>932</v>
      </c>
      <c r="N209" s="44">
        <f t="shared" si="54"/>
        <v>3</v>
      </c>
      <c r="O209" s="49"/>
      <c r="P209" s="323" t="s">
        <v>2041</v>
      </c>
      <c r="Q209" s="44" t="s">
        <v>1098</v>
      </c>
      <c r="R209" s="48"/>
      <c r="S209" s="47" t="s">
        <v>1234</v>
      </c>
      <c r="T209" s="47" t="s">
        <v>352</v>
      </c>
      <c r="U209" s="47" t="s">
        <v>352</v>
      </c>
      <c r="V209" s="47" t="s">
        <v>352</v>
      </c>
      <c r="W209" s="48"/>
      <c r="X209" s="48"/>
      <c r="Y209" s="40" t="s">
        <v>1233</v>
      </c>
      <c r="Z209" s="48"/>
      <c r="AA209" s="48"/>
    </row>
    <row r="210" spans="1:27" ht="111.4" outlineLevel="1" x14ac:dyDescent="0.35">
      <c r="A210" s="48"/>
      <c r="B210" s="48"/>
      <c r="C210" s="40" t="s">
        <v>903</v>
      </c>
      <c r="D210" s="40" t="s">
        <v>1549</v>
      </c>
      <c r="E210" s="42">
        <f t="shared" si="62"/>
        <v>103</v>
      </c>
      <c r="F210" s="43">
        <f t="shared" si="60"/>
        <v>816</v>
      </c>
      <c r="G210" s="44">
        <v>8</v>
      </c>
      <c r="H210" s="44">
        <v>1</v>
      </c>
      <c r="I210" s="44">
        <v>0</v>
      </c>
      <c r="J210" s="44">
        <v>0</v>
      </c>
      <c r="K210" s="44">
        <f>(POWER(2,G210)-1)*H210+I210</f>
        <v>255</v>
      </c>
      <c r="L210" s="44">
        <v>0</v>
      </c>
      <c r="M210" s="41" t="s">
        <v>352</v>
      </c>
      <c r="N210" s="44">
        <f t="shared" si="54"/>
        <v>3</v>
      </c>
      <c r="O210" s="49" t="s">
        <v>1872</v>
      </c>
      <c r="P210" s="323" t="s">
        <v>2082</v>
      </c>
      <c r="Q210" s="44" t="s">
        <v>1098</v>
      </c>
      <c r="R210" s="48"/>
      <c r="S210" s="47" t="s">
        <v>1194</v>
      </c>
      <c r="T210" s="47" t="s">
        <v>352</v>
      </c>
      <c r="U210" s="47" t="s">
        <v>352</v>
      </c>
      <c r="V210" s="47" t="s">
        <v>352</v>
      </c>
      <c r="W210" s="48"/>
      <c r="X210" s="48"/>
      <c r="Y210" s="40" t="s">
        <v>1549</v>
      </c>
      <c r="Z210" s="48"/>
      <c r="AA210" s="48"/>
    </row>
    <row r="211" spans="1:27" ht="24.75" outlineLevel="1" x14ac:dyDescent="0.35">
      <c r="A211" s="40"/>
      <c r="B211" s="40"/>
      <c r="C211" s="46" t="s">
        <v>1587</v>
      </c>
      <c r="D211" s="40" t="s">
        <v>1801</v>
      </c>
      <c r="E211" s="42" t="str">
        <f t="shared" si="62"/>
        <v>104-105</v>
      </c>
      <c r="F211" s="43">
        <f t="shared" si="60"/>
        <v>824</v>
      </c>
      <c r="G211" s="44">
        <v>16</v>
      </c>
      <c r="H211" s="44">
        <v>1</v>
      </c>
      <c r="I211" s="44">
        <v>0</v>
      </c>
      <c r="J211" s="44">
        <v>0</v>
      </c>
      <c r="K211" s="44">
        <f t="shared" ref="K211:K233" si="69">(POWER(2,G211)-1)*H211+I211</f>
        <v>65535</v>
      </c>
      <c r="L211" s="44">
        <v>0</v>
      </c>
      <c r="M211" s="41" t="s">
        <v>1589</v>
      </c>
      <c r="N211" s="44">
        <f t="shared" ref="N211:N233" si="70">LEN(K211)</f>
        <v>5</v>
      </c>
      <c r="O211" s="49"/>
      <c r="P211" s="324" t="s">
        <v>2097</v>
      </c>
      <c r="Q211" s="44" t="s">
        <v>1098</v>
      </c>
      <c r="R211" s="50"/>
      <c r="S211" s="40" t="s">
        <v>1592</v>
      </c>
      <c r="T211" s="47" t="s">
        <v>352</v>
      </c>
      <c r="U211" s="47" t="s">
        <v>352</v>
      </c>
      <c r="V211" s="47" t="s">
        <v>352</v>
      </c>
      <c r="W211" s="48"/>
      <c r="X211" s="48"/>
      <c r="Y211" s="40" t="s">
        <v>1801</v>
      </c>
      <c r="Z211" s="48"/>
      <c r="AA211" s="48"/>
    </row>
    <row r="212" spans="1:27" ht="24.75" outlineLevel="1" x14ac:dyDescent="0.35">
      <c r="A212" s="40"/>
      <c r="B212" s="40"/>
      <c r="C212" s="46" t="s">
        <v>1588</v>
      </c>
      <c r="D212" s="40" t="s">
        <v>1800</v>
      </c>
      <c r="E212" s="42" t="str">
        <f t="shared" si="62"/>
        <v>106-107</v>
      </c>
      <c r="F212" s="43">
        <f t="shared" si="60"/>
        <v>840</v>
      </c>
      <c r="G212" s="44">
        <v>16</v>
      </c>
      <c r="H212" s="44">
        <v>1</v>
      </c>
      <c r="I212" s="44">
        <v>0</v>
      </c>
      <c r="J212" s="44">
        <v>0</v>
      </c>
      <c r="K212" s="44">
        <f t="shared" si="69"/>
        <v>65535</v>
      </c>
      <c r="L212" s="44">
        <v>0</v>
      </c>
      <c r="M212" s="41" t="s">
        <v>1589</v>
      </c>
      <c r="N212" s="44">
        <f t="shared" si="70"/>
        <v>5</v>
      </c>
      <c r="O212" s="49"/>
      <c r="P212" s="324" t="s">
        <v>2098</v>
      </c>
      <c r="Q212" s="44" t="s">
        <v>1098</v>
      </c>
      <c r="R212" s="50"/>
      <c r="S212" s="40" t="s">
        <v>1591</v>
      </c>
      <c r="T212" s="47" t="s">
        <v>352</v>
      </c>
      <c r="U212" s="47" t="s">
        <v>352</v>
      </c>
      <c r="V212" s="47" t="s">
        <v>352</v>
      </c>
      <c r="W212" s="48"/>
      <c r="X212" s="48"/>
      <c r="Y212" s="40" t="s">
        <v>1800</v>
      </c>
      <c r="Z212" s="48"/>
      <c r="AA212" s="48"/>
    </row>
    <row r="213" spans="1:27" ht="24.75" outlineLevel="1" x14ac:dyDescent="0.35">
      <c r="A213" s="40"/>
      <c r="B213" s="40"/>
      <c r="C213" s="46" t="s">
        <v>1601</v>
      </c>
      <c r="D213" s="46" t="s">
        <v>1603</v>
      </c>
      <c r="E213" s="42" t="str">
        <f t="shared" ref="E213:E217" si="71">IF(INT((F213 + G213-1) / 8) + 1 = INT(F213 / 8) + 1, INT(F213 / 8) + 1, INT(F213 / 8) + 1 &amp; "-" &amp; INT((F213 + G213 - 1) / 8) + 1)</f>
        <v>108-109</v>
      </c>
      <c r="F213" s="43">
        <f t="shared" si="60"/>
        <v>856</v>
      </c>
      <c r="G213" s="44">
        <v>16</v>
      </c>
      <c r="H213" s="44">
        <v>0.1</v>
      </c>
      <c r="I213" s="44">
        <v>-40</v>
      </c>
      <c r="J213" s="44">
        <v>-40</v>
      </c>
      <c r="K213" s="44">
        <f t="shared" si="69"/>
        <v>6513.5</v>
      </c>
      <c r="L213" s="44">
        <v>0</v>
      </c>
      <c r="M213" s="41" t="s">
        <v>1605</v>
      </c>
      <c r="N213" s="44">
        <f t="shared" si="70"/>
        <v>6</v>
      </c>
      <c r="O213" s="49"/>
      <c r="P213" s="325" t="s">
        <v>2099</v>
      </c>
      <c r="Q213" s="44" t="s">
        <v>1098</v>
      </c>
      <c r="R213" s="50"/>
      <c r="S213" s="40" t="s">
        <v>1607</v>
      </c>
      <c r="T213" s="47" t="s">
        <v>632</v>
      </c>
      <c r="U213" s="47" t="s">
        <v>632</v>
      </c>
      <c r="V213" s="47" t="s">
        <v>632</v>
      </c>
      <c r="W213" s="48"/>
      <c r="X213" s="48"/>
      <c r="Y213" s="46" t="s">
        <v>1603</v>
      </c>
      <c r="Z213" s="48"/>
      <c r="AA213" s="48"/>
    </row>
    <row r="214" spans="1:27" ht="24.75" outlineLevel="1" x14ac:dyDescent="0.35">
      <c r="A214" s="40"/>
      <c r="B214" s="40"/>
      <c r="C214" s="46" t="s">
        <v>1602</v>
      </c>
      <c r="D214" s="46" t="s">
        <v>1604</v>
      </c>
      <c r="E214" s="42" t="str">
        <f t="shared" si="71"/>
        <v>110-111</v>
      </c>
      <c r="F214" s="43">
        <f t="shared" si="60"/>
        <v>872</v>
      </c>
      <c r="G214" s="44">
        <v>16</v>
      </c>
      <c r="H214" s="44">
        <v>0.1</v>
      </c>
      <c r="I214" s="44">
        <v>-40</v>
      </c>
      <c r="J214" s="44">
        <v>-40</v>
      </c>
      <c r="K214" s="44">
        <f t="shared" si="69"/>
        <v>6513.5</v>
      </c>
      <c r="L214" s="44">
        <v>0</v>
      </c>
      <c r="M214" s="41" t="s">
        <v>1605</v>
      </c>
      <c r="N214" s="44">
        <f t="shared" si="70"/>
        <v>6</v>
      </c>
      <c r="O214" s="49"/>
      <c r="P214" s="325" t="s">
        <v>2100</v>
      </c>
      <c r="Q214" s="44" t="s">
        <v>1098</v>
      </c>
      <c r="R214" s="50"/>
      <c r="S214" s="40" t="s">
        <v>1606</v>
      </c>
      <c r="T214" s="47" t="s">
        <v>632</v>
      </c>
      <c r="U214" s="47" t="s">
        <v>632</v>
      </c>
      <c r="V214" s="47" t="s">
        <v>632</v>
      </c>
      <c r="W214" s="48"/>
      <c r="X214" s="48"/>
      <c r="Y214" s="46" t="s">
        <v>1604</v>
      </c>
      <c r="Z214" s="48"/>
      <c r="AA214" s="48"/>
    </row>
    <row r="215" spans="1:27" ht="24.75" outlineLevel="1" x14ac:dyDescent="0.35">
      <c r="A215" s="50"/>
      <c r="B215" s="50"/>
      <c r="C215" s="46" t="s">
        <v>1626</v>
      </c>
      <c r="D215" s="46" t="s">
        <v>1457</v>
      </c>
      <c r="E215" s="42" t="str">
        <f t="shared" si="71"/>
        <v>112-113</v>
      </c>
      <c r="F215" s="43">
        <f t="shared" si="60"/>
        <v>888</v>
      </c>
      <c r="G215" s="44">
        <v>16</v>
      </c>
      <c r="H215" s="44">
        <v>0.1</v>
      </c>
      <c r="I215" s="44">
        <v>-40</v>
      </c>
      <c r="J215" s="44">
        <v>-40</v>
      </c>
      <c r="K215" s="44">
        <f t="shared" si="69"/>
        <v>6513.5</v>
      </c>
      <c r="L215" s="44">
        <v>0</v>
      </c>
      <c r="M215" s="41" t="s">
        <v>113</v>
      </c>
      <c r="N215" s="44">
        <f t="shared" si="70"/>
        <v>6</v>
      </c>
      <c r="O215" s="50"/>
      <c r="P215" s="325" t="s">
        <v>2101</v>
      </c>
      <c r="Q215" s="44" t="s">
        <v>1098</v>
      </c>
      <c r="R215" s="50"/>
      <c r="S215" s="40" t="s">
        <v>1627</v>
      </c>
      <c r="T215" s="47" t="s">
        <v>352</v>
      </c>
      <c r="U215" s="47" t="s">
        <v>352</v>
      </c>
      <c r="V215" s="47" t="s">
        <v>352</v>
      </c>
      <c r="W215" s="48"/>
      <c r="X215" s="48"/>
      <c r="Y215" s="46" t="s">
        <v>1457</v>
      </c>
      <c r="Z215" s="48"/>
      <c r="AA215" s="48"/>
    </row>
    <row r="216" spans="1:27" ht="24.75" outlineLevel="1" x14ac:dyDescent="0.35">
      <c r="A216" s="50"/>
      <c r="B216" s="50"/>
      <c r="C216" s="46" t="s">
        <v>260</v>
      </c>
      <c r="D216" s="46" t="s">
        <v>1458</v>
      </c>
      <c r="E216" s="42" t="str">
        <f t="shared" si="71"/>
        <v>114-115</v>
      </c>
      <c r="F216" s="43">
        <f t="shared" si="60"/>
        <v>904</v>
      </c>
      <c r="G216" s="44">
        <v>16</v>
      </c>
      <c r="H216" s="44">
        <v>0.1</v>
      </c>
      <c r="I216" s="44">
        <v>-40</v>
      </c>
      <c r="J216" s="44">
        <v>-40</v>
      </c>
      <c r="K216" s="44">
        <f t="shared" si="69"/>
        <v>6513.5</v>
      </c>
      <c r="L216" s="44">
        <v>0</v>
      </c>
      <c r="M216" s="41" t="s">
        <v>113</v>
      </c>
      <c r="N216" s="44">
        <f t="shared" si="70"/>
        <v>6</v>
      </c>
      <c r="O216" s="50"/>
      <c r="P216" s="325" t="s">
        <v>2102</v>
      </c>
      <c r="Q216" s="44" t="s">
        <v>1098</v>
      </c>
      <c r="R216" s="50"/>
      <c r="S216" s="40" t="s">
        <v>1628</v>
      </c>
      <c r="T216" s="47" t="s">
        <v>352</v>
      </c>
      <c r="U216" s="47" t="s">
        <v>352</v>
      </c>
      <c r="V216" s="47" t="s">
        <v>352</v>
      </c>
      <c r="W216" s="48"/>
      <c r="X216" s="48"/>
      <c r="Y216" s="46" t="s">
        <v>1458</v>
      </c>
      <c r="Z216" s="48"/>
      <c r="AA216" s="48"/>
    </row>
    <row r="217" spans="1:27" ht="24.75" outlineLevel="1" x14ac:dyDescent="0.35">
      <c r="A217" s="50"/>
      <c r="B217" s="50"/>
      <c r="C217" s="46" t="s">
        <v>264</v>
      </c>
      <c r="D217" s="46" t="s">
        <v>1459</v>
      </c>
      <c r="E217" s="42" t="str">
        <f t="shared" si="71"/>
        <v>116-117</v>
      </c>
      <c r="F217" s="43">
        <f t="shared" si="60"/>
        <v>920</v>
      </c>
      <c r="G217" s="44">
        <v>16</v>
      </c>
      <c r="H217" s="44">
        <v>0.1</v>
      </c>
      <c r="I217" s="44">
        <v>-40</v>
      </c>
      <c r="J217" s="44">
        <v>-40</v>
      </c>
      <c r="K217" s="44">
        <f t="shared" si="69"/>
        <v>6513.5</v>
      </c>
      <c r="L217" s="44">
        <v>0</v>
      </c>
      <c r="M217" s="41" t="s">
        <v>1605</v>
      </c>
      <c r="N217" s="44">
        <f t="shared" si="70"/>
        <v>6</v>
      </c>
      <c r="O217" s="50"/>
      <c r="P217" s="325" t="s">
        <v>2103</v>
      </c>
      <c r="Q217" s="44" t="s">
        <v>1098</v>
      </c>
      <c r="R217" s="50"/>
      <c r="S217" s="40" t="s">
        <v>1629</v>
      </c>
      <c r="T217" s="47" t="s">
        <v>352</v>
      </c>
      <c r="U217" s="47" t="s">
        <v>352</v>
      </c>
      <c r="V217" s="47" t="s">
        <v>352</v>
      </c>
      <c r="W217" s="48"/>
      <c r="X217" s="48"/>
      <c r="Y217" s="46" t="s">
        <v>1459</v>
      </c>
      <c r="Z217" s="48"/>
      <c r="AA217" s="48"/>
    </row>
    <row r="218" spans="1:27" ht="24.75" outlineLevel="1" x14ac:dyDescent="0.35">
      <c r="A218" s="50"/>
      <c r="B218" s="50"/>
      <c r="C218" s="46" t="s">
        <v>1690</v>
      </c>
      <c r="D218" s="46" t="s">
        <v>1692</v>
      </c>
      <c r="E218" s="42" t="str">
        <f t="shared" ref="E218:E220" si="72">IF(INT((F218 + G218-1) / 8) + 1 = INT(F218 / 8) + 1, INT(F218 / 8) + 1, INT(F218 / 8) + 1 &amp; "-" &amp; INT((F218 + G218 - 1) / 8) + 1)</f>
        <v>118-119</v>
      </c>
      <c r="F218" s="43">
        <f t="shared" si="60"/>
        <v>936</v>
      </c>
      <c r="G218" s="44">
        <v>16</v>
      </c>
      <c r="H218" s="44">
        <v>0.1</v>
      </c>
      <c r="I218" s="44">
        <v>-40</v>
      </c>
      <c r="J218" s="44">
        <v>-40</v>
      </c>
      <c r="K218" s="44">
        <f t="shared" si="69"/>
        <v>6513.5</v>
      </c>
      <c r="L218" s="44">
        <v>0</v>
      </c>
      <c r="M218" s="41" t="s">
        <v>1605</v>
      </c>
      <c r="N218" s="44">
        <f t="shared" si="70"/>
        <v>6</v>
      </c>
      <c r="O218" s="50"/>
      <c r="P218" s="325" t="s">
        <v>2104</v>
      </c>
      <c r="Q218" s="44" t="s">
        <v>1098</v>
      </c>
      <c r="R218" s="50"/>
      <c r="S218" s="40" t="s">
        <v>1695</v>
      </c>
      <c r="T218" s="47" t="s">
        <v>632</v>
      </c>
      <c r="U218" s="47" t="s">
        <v>632</v>
      </c>
      <c r="V218" s="47" t="s">
        <v>632</v>
      </c>
      <c r="W218" s="48"/>
      <c r="X218" s="48"/>
      <c r="Y218" s="46" t="s">
        <v>1692</v>
      </c>
      <c r="Z218" s="48"/>
      <c r="AA218" s="48"/>
    </row>
    <row r="219" spans="1:27" ht="24.75" outlineLevel="1" x14ac:dyDescent="0.35">
      <c r="A219" s="50"/>
      <c r="B219" s="50"/>
      <c r="C219" s="46" t="s">
        <v>1691</v>
      </c>
      <c r="D219" s="46" t="s">
        <v>1693</v>
      </c>
      <c r="E219" s="42" t="str">
        <f t="shared" si="72"/>
        <v>120-121</v>
      </c>
      <c r="F219" s="43">
        <f t="shared" si="60"/>
        <v>952</v>
      </c>
      <c r="G219" s="44">
        <v>16</v>
      </c>
      <c r="H219" s="44">
        <v>0.1</v>
      </c>
      <c r="I219" s="44">
        <v>-40</v>
      </c>
      <c r="J219" s="44">
        <v>-40</v>
      </c>
      <c r="K219" s="44">
        <f t="shared" si="69"/>
        <v>6513.5</v>
      </c>
      <c r="L219" s="44">
        <v>0</v>
      </c>
      <c r="M219" s="41" t="s">
        <v>1605</v>
      </c>
      <c r="N219" s="44">
        <f t="shared" si="70"/>
        <v>6</v>
      </c>
      <c r="O219" s="50"/>
      <c r="P219" s="325" t="s">
        <v>2105</v>
      </c>
      <c r="Q219" s="44" t="s">
        <v>1098</v>
      </c>
      <c r="R219" s="50"/>
      <c r="S219" s="40" t="s">
        <v>1694</v>
      </c>
      <c r="T219" s="47" t="s">
        <v>632</v>
      </c>
      <c r="U219" s="47" t="s">
        <v>632</v>
      </c>
      <c r="V219" s="47" t="s">
        <v>632</v>
      </c>
      <c r="W219" s="48"/>
      <c r="X219" s="48"/>
      <c r="Y219" s="46" t="s">
        <v>1693</v>
      </c>
      <c r="Z219" s="48"/>
      <c r="AA219" s="48"/>
    </row>
    <row r="220" spans="1:27" ht="24.75" outlineLevel="1" x14ac:dyDescent="0.35">
      <c r="A220" s="50"/>
      <c r="B220" s="50"/>
      <c r="C220" s="46" t="s">
        <v>1829</v>
      </c>
      <c r="D220" s="46" t="s">
        <v>1831</v>
      </c>
      <c r="E220" s="42">
        <f t="shared" si="72"/>
        <v>122</v>
      </c>
      <c r="F220" s="43">
        <f t="shared" si="60"/>
        <v>968</v>
      </c>
      <c r="G220" s="44">
        <v>8</v>
      </c>
      <c r="H220" s="44">
        <v>1</v>
      </c>
      <c r="I220" s="44">
        <v>0</v>
      </c>
      <c r="J220" s="44">
        <v>0</v>
      </c>
      <c r="K220" s="44">
        <f t="shared" si="69"/>
        <v>255</v>
      </c>
      <c r="L220" s="44">
        <v>0</v>
      </c>
      <c r="M220" s="41" t="s">
        <v>85</v>
      </c>
      <c r="N220" s="44">
        <f t="shared" si="70"/>
        <v>3</v>
      </c>
      <c r="O220" s="50"/>
      <c r="P220" s="325" t="s">
        <v>2106</v>
      </c>
      <c r="Q220" s="44" t="s">
        <v>1098</v>
      </c>
      <c r="R220" s="50"/>
      <c r="S220" s="40" t="s">
        <v>1861</v>
      </c>
      <c r="T220" s="47" t="s">
        <v>352</v>
      </c>
      <c r="U220" s="47" t="s">
        <v>352</v>
      </c>
      <c r="V220" s="47" t="s">
        <v>352</v>
      </c>
      <c r="W220" s="48"/>
      <c r="X220" s="48"/>
      <c r="Y220" s="46" t="s">
        <v>1831</v>
      </c>
      <c r="Z220" s="48"/>
      <c r="AA220" s="48"/>
    </row>
    <row r="221" spans="1:27" ht="24.75" outlineLevel="1" x14ac:dyDescent="0.35">
      <c r="A221" s="50"/>
      <c r="B221" s="50"/>
      <c r="C221" s="46" t="s">
        <v>1833</v>
      </c>
      <c r="D221" s="46" t="s">
        <v>1837</v>
      </c>
      <c r="E221" s="42">
        <f t="shared" ref="E221:E233" si="73">IF(INT((F221 + G221-1) / 8) + 1 = INT(F221 / 8) + 1, INT(F221 / 8) + 1, INT(F221 / 8) + 1 &amp; "-" &amp; INT((F221 + G221 - 1) / 8) + 1)</f>
        <v>123</v>
      </c>
      <c r="F221" s="43">
        <f t="shared" si="60"/>
        <v>976</v>
      </c>
      <c r="G221" s="44">
        <v>8</v>
      </c>
      <c r="H221" s="44">
        <v>1</v>
      </c>
      <c r="I221" s="44">
        <v>0</v>
      </c>
      <c r="J221" s="44">
        <v>0</v>
      </c>
      <c r="K221" s="44">
        <f t="shared" si="69"/>
        <v>255</v>
      </c>
      <c r="L221" s="44">
        <v>0</v>
      </c>
      <c r="M221" s="41" t="s">
        <v>85</v>
      </c>
      <c r="N221" s="44">
        <f t="shared" si="70"/>
        <v>3</v>
      </c>
      <c r="O221" s="50"/>
      <c r="P221" s="325" t="s">
        <v>2107</v>
      </c>
      <c r="Q221" s="44" t="s">
        <v>1098</v>
      </c>
      <c r="R221" s="50"/>
      <c r="S221" s="40" t="s">
        <v>1863</v>
      </c>
      <c r="T221" s="47" t="s">
        <v>352</v>
      </c>
      <c r="U221" s="47" t="s">
        <v>352</v>
      </c>
      <c r="V221" s="47" t="s">
        <v>352</v>
      </c>
      <c r="W221" s="48"/>
      <c r="X221" s="48"/>
      <c r="Y221" s="46" t="s">
        <v>1837</v>
      </c>
      <c r="Z221" s="48"/>
      <c r="AA221" s="48"/>
    </row>
    <row r="222" spans="1:27" ht="24.75" outlineLevel="1" x14ac:dyDescent="0.35">
      <c r="A222" s="50"/>
      <c r="B222" s="50"/>
      <c r="C222" s="46" t="s">
        <v>1834</v>
      </c>
      <c r="D222" s="46" t="s">
        <v>1838</v>
      </c>
      <c r="E222" s="42">
        <f t="shared" si="73"/>
        <v>124</v>
      </c>
      <c r="F222" s="43">
        <f t="shared" si="60"/>
        <v>984</v>
      </c>
      <c r="G222" s="44">
        <v>8</v>
      </c>
      <c r="H222" s="44">
        <v>1</v>
      </c>
      <c r="I222" s="44">
        <v>0</v>
      </c>
      <c r="J222" s="44">
        <v>0</v>
      </c>
      <c r="K222" s="44">
        <f t="shared" si="69"/>
        <v>255</v>
      </c>
      <c r="L222" s="44">
        <v>0</v>
      </c>
      <c r="M222" s="41" t="s">
        <v>85</v>
      </c>
      <c r="N222" s="44">
        <f t="shared" si="70"/>
        <v>3</v>
      </c>
      <c r="O222" s="50"/>
      <c r="P222" s="325" t="s">
        <v>2108</v>
      </c>
      <c r="Q222" s="44" t="s">
        <v>1098</v>
      </c>
      <c r="R222" s="50"/>
      <c r="S222" s="40" t="s">
        <v>1865</v>
      </c>
      <c r="T222" s="47" t="s">
        <v>352</v>
      </c>
      <c r="U222" s="47" t="s">
        <v>352</v>
      </c>
      <c r="V222" s="47" t="s">
        <v>352</v>
      </c>
      <c r="W222" s="48"/>
      <c r="X222" s="48"/>
      <c r="Y222" s="46" t="s">
        <v>1838</v>
      </c>
      <c r="Z222" s="48"/>
      <c r="AA222" s="48"/>
    </row>
    <row r="223" spans="1:27" ht="24.75" outlineLevel="1" x14ac:dyDescent="0.35">
      <c r="A223" s="50"/>
      <c r="B223" s="50"/>
      <c r="C223" s="46" t="s">
        <v>1830</v>
      </c>
      <c r="D223" s="46" t="s">
        <v>1832</v>
      </c>
      <c r="E223" s="42">
        <f t="shared" si="73"/>
        <v>125</v>
      </c>
      <c r="F223" s="43">
        <f t="shared" si="60"/>
        <v>992</v>
      </c>
      <c r="G223" s="44">
        <v>8</v>
      </c>
      <c r="H223" s="44">
        <v>1</v>
      </c>
      <c r="I223" s="44">
        <v>0</v>
      </c>
      <c r="J223" s="44">
        <v>0</v>
      </c>
      <c r="K223" s="44">
        <f t="shared" si="69"/>
        <v>255</v>
      </c>
      <c r="L223" s="44">
        <v>0</v>
      </c>
      <c r="M223" s="41" t="s">
        <v>85</v>
      </c>
      <c r="N223" s="44">
        <f t="shared" si="70"/>
        <v>3</v>
      </c>
      <c r="O223" s="50"/>
      <c r="P223" s="325" t="s">
        <v>2109</v>
      </c>
      <c r="Q223" s="44" t="s">
        <v>1098</v>
      </c>
      <c r="R223" s="50"/>
      <c r="S223" s="40" t="s">
        <v>1862</v>
      </c>
      <c r="T223" s="47" t="s">
        <v>352</v>
      </c>
      <c r="U223" s="47" t="s">
        <v>352</v>
      </c>
      <c r="V223" s="47" t="s">
        <v>352</v>
      </c>
      <c r="W223" s="48"/>
      <c r="X223" s="48"/>
      <c r="Y223" s="46" t="s">
        <v>1832</v>
      </c>
      <c r="Z223" s="48"/>
      <c r="AA223" s="48"/>
    </row>
    <row r="224" spans="1:27" ht="24.75" outlineLevel="1" x14ac:dyDescent="0.35">
      <c r="A224" s="50"/>
      <c r="B224" s="50"/>
      <c r="C224" s="46" t="s">
        <v>1835</v>
      </c>
      <c r="D224" s="46" t="s">
        <v>1839</v>
      </c>
      <c r="E224" s="42">
        <f t="shared" si="73"/>
        <v>126</v>
      </c>
      <c r="F224" s="43">
        <f t="shared" si="60"/>
        <v>1000</v>
      </c>
      <c r="G224" s="44">
        <v>8</v>
      </c>
      <c r="H224" s="44">
        <v>1</v>
      </c>
      <c r="I224" s="44">
        <v>0</v>
      </c>
      <c r="J224" s="44">
        <v>0</v>
      </c>
      <c r="K224" s="44">
        <f t="shared" si="69"/>
        <v>255</v>
      </c>
      <c r="L224" s="44">
        <v>0</v>
      </c>
      <c r="M224" s="41" t="s">
        <v>85</v>
      </c>
      <c r="N224" s="44">
        <f t="shared" si="70"/>
        <v>3</v>
      </c>
      <c r="O224" s="50"/>
      <c r="P224" s="325" t="s">
        <v>2110</v>
      </c>
      <c r="Q224" s="44" t="s">
        <v>1098</v>
      </c>
      <c r="R224" s="50"/>
      <c r="S224" s="40" t="s">
        <v>1864</v>
      </c>
      <c r="T224" s="47" t="s">
        <v>352</v>
      </c>
      <c r="U224" s="47" t="s">
        <v>352</v>
      </c>
      <c r="V224" s="47" t="s">
        <v>352</v>
      </c>
      <c r="W224" s="48"/>
      <c r="X224" s="48"/>
      <c r="Y224" s="46" t="s">
        <v>1839</v>
      </c>
      <c r="Z224" s="48"/>
      <c r="AA224" s="48"/>
    </row>
    <row r="225" spans="1:27" ht="24.75" outlineLevel="1" x14ac:dyDescent="0.35">
      <c r="A225" s="50"/>
      <c r="B225" s="50"/>
      <c r="C225" s="46" t="s">
        <v>1836</v>
      </c>
      <c r="D225" s="46" t="s">
        <v>1840</v>
      </c>
      <c r="E225" s="42">
        <f t="shared" si="73"/>
        <v>127</v>
      </c>
      <c r="F225" s="43">
        <f t="shared" si="60"/>
        <v>1008</v>
      </c>
      <c r="G225" s="44">
        <v>8</v>
      </c>
      <c r="H225" s="44">
        <v>1</v>
      </c>
      <c r="I225" s="44">
        <v>0</v>
      </c>
      <c r="J225" s="44">
        <v>0</v>
      </c>
      <c r="K225" s="44">
        <f t="shared" si="69"/>
        <v>255</v>
      </c>
      <c r="L225" s="44">
        <v>0</v>
      </c>
      <c r="M225" s="41" t="s">
        <v>85</v>
      </c>
      <c r="N225" s="44">
        <f t="shared" si="70"/>
        <v>3</v>
      </c>
      <c r="O225" s="50"/>
      <c r="P225" s="325" t="s">
        <v>2111</v>
      </c>
      <c r="Q225" s="44" t="s">
        <v>1098</v>
      </c>
      <c r="R225" s="50"/>
      <c r="S225" s="40" t="s">
        <v>1866</v>
      </c>
      <c r="T225" s="47" t="s">
        <v>352</v>
      </c>
      <c r="U225" s="47" t="s">
        <v>352</v>
      </c>
      <c r="V225" s="47" t="s">
        <v>352</v>
      </c>
      <c r="W225" s="48"/>
      <c r="X225" s="48"/>
      <c r="Y225" s="46" t="s">
        <v>1840</v>
      </c>
      <c r="Z225" s="48"/>
      <c r="AA225" s="48"/>
    </row>
    <row r="226" spans="1:27" ht="24.75" outlineLevel="1" x14ac:dyDescent="0.35">
      <c r="A226" s="50"/>
      <c r="B226" s="50"/>
      <c r="C226" s="46" t="s">
        <v>1878</v>
      </c>
      <c r="D226" s="46" t="s">
        <v>1879</v>
      </c>
      <c r="E226" s="42">
        <f t="shared" si="73"/>
        <v>128</v>
      </c>
      <c r="F226" s="43">
        <f t="shared" si="60"/>
        <v>1016</v>
      </c>
      <c r="G226" s="44">
        <v>4</v>
      </c>
      <c r="H226" s="44">
        <v>1</v>
      </c>
      <c r="I226" s="44">
        <v>0</v>
      </c>
      <c r="J226" s="44">
        <v>0</v>
      </c>
      <c r="K226" s="44">
        <f t="shared" si="69"/>
        <v>15</v>
      </c>
      <c r="L226" s="44">
        <v>0</v>
      </c>
      <c r="M226" s="41" t="s">
        <v>1724</v>
      </c>
      <c r="N226" s="44">
        <f t="shared" si="70"/>
        <v>2</v>
      </c>
      <c r="O226" s="50"/>
      <c r="P226" s="323" t="s">
        <v>2112</v>
      </c>
      <c r="Q226" s="44"/>
      <c r="R226" s="50" t="s">
        <v>1880</v>
      </c>
      <c r="S226" s="40" t="s">
        <v>632</v>
      </c>
      <c r="T226" s="47" t="s">
        <v>632</v>
      </c>
      <c r="U226" s="47" t="s">
        <v>632</v>
      </c>
      <c r="V226" s="47" t="s">
        <v>632</v>
      </c>
      <c r="W226" s="48"/>
      <c r="X226" s="48"/>
      <c r="Y226" s="46" t="s">
        <v>1879</v>
      </c>
      <c r="Z226" s="48"/>
      <c r="AA226" s="48"/>
    </row>
    <row r="227" spans="1:27" ht="37.15" outlineLevel="1" x14ac:dyDescent="0.35">
      <c r="A227" s="50"/>
      <c r="B227" s="50"/>
      <c r="C227" s="46" t="s">
        <v>1881</v>
      </c>
      <c r="D227" s="46" t="s">
        <v>1882</v>
      </c>
      <c r="E227" s="42">
        <f t="shared" si="73"/>
        <v>128</v>
      </c>
      <c r="F227" s="43">
        <f t="shared" si="60"/>
        <v>1020</v>
      </c>
      <c r="G227" s="44">
        <v>1</v>
      </c>
      <c r="H227" s="44">
        <v>1</v>
      </c>
      <c r="I227" s="44">
        <v>0</v>
      </c>
      <c r="J227" s="44">
        <v>0</v>
      </c>
      <c r="K227" s="44">
        <f t="shared" si="69"/>
        <v>1</v>
      </c>
      <c r="L227" s="44">
        <v>0</v>
      </c>
      <c r="M227" s="41" t="s">
        <v>1094</v>
      </c>
      <c r="N227" s="44">
        <f t="shared" si="70"/>
        <v>1</v>
      </c>
      <c r="O227" s="50" t="s">
        <v>1883</v>
      </c>
      <c r="P227" s="323" t="s">
        <v>2113</v>
      </c>
      <c r="Q227" s="44"/>
      <c r="R227" s="50"/>
      <c r="S227" s="40" t="s">
        <v>1884</v>
      </c>
      <c r="T227" s="47" t="s">
        <v>632</v>
      </c>
      <c r="U227" s="47" t="s">
        <v>632</v>
      </c>
      <c r="V227" s="47" t="s">
        <v>632</v>
      </c>
      <c r="W227" s="48"/>
      <c r="X227" s="48"/>
      <c r="Y227" s="46" t="s">
        <v>1882</v>
      </c>
      <c r="Z227" s="48"/>
      <c r="AA227" s="48"/>
    </row>
    <row r="228" spans="1:27" ht="61.9" outlineLevel="1" x14ac:dyDescent="0.35">
      <c r="A228" s="50"/>
      <c r="B228" s="50"/>
      <c r="C228" s="46" t="s">
        <v>2322</v>
      </c>
      <c r="D228" s="46" t="s">
        <v>2321</v>
      </c>
      <c r="E228" s="42">
        <f t="shared" si="73"/>
        <v>128</v>
      </c>
      <c r="F228" s="43">
        <f t="shared" si="60"/>
        <v>1021</v>
      </c>
      <c r="G228" s="44">
        <v>3</v>
      </c>
      <c r="H228" s="44">
        <v>1</v>
      </c>
      <c r="I228" s="44">
        <v>0</v>
      </c>
      <c r="J228" s="44">
        <v>0</v>
      </c>
      <c r="K228" s="44">
        <f t="shared" si="69"/>
        <v>7</v>
      </c>
      <c r="L228" s="44">
        <v>0</v>
      </c>
      <c r="M228" s="41" t="s">
        <v>932</v>
      </c>
      <c r="N228" s="44">
        <f>LEN(K228)</f>
        <v>1</v>
      </c>
      <c r="O228" s="50" t="s">
        <v>2295</v>
      </c>
      <c r="P228" s="323" t="s">
        <v>2042</v>
      </c>
      <c r="Q228" s="44"/>
      <c r="R228" s="50"/>
      <c r="S228" s="40" t="s">
        <v>1711</v>
      </c>
      <c r="T228" s="47" t="s">
        <v>632</v>
      </c>
      <c r="U228" s="47" t="s">
        <v>632</v>
      </c>
      <c r="V228" s="47" t="s">
        <v>632</v>
      </c>
      <c r="W228" s="48"/>
      <c r="X228" s="48"/>
      <c r="Y228" s="46" t="s">
        <v>2321</v>
      </c>
      <c r="Z228" s="48"/>
      <c r="AA228" s="48"/>
    </row>
    <row r="229" spans="1:27" ht="210.4" outlineLevel="1" x14ac:dyDescent="0.35">
      <c r="A229" s="50"/>
      <c r="B229" s="50"/>
      <c r="C229" s="46" t="s">
        <v>1885</v>
      </c>
      <c r="D229" s="46" t="s">
        <v>1892</v>
      </c>
      <c r="E229" s="42" t="str">
        <f t="shared" si="73"/>
        <v>129-130</v>
      </c>
      <c r="F229" s="43">
        <f t="shared" si="60"/>
        <v>1024</v>
      </c>
      <c r="G229" s="44">
        <v>16</v>
      </c>
      <c r="H229" s="44">
        <v>1</v>
      </c>
      <c r="I229" s="44">
        <v>0</v>
      </c>
      <c r="J229" s="44">
        <v>0</v>
      </c>
      <c r="K229" s="44">
        <f t="shared" si="69"/>
        <v>65535</v>
      </c>
      <c r="L229" s="44">
        <v>0</v>
      </c>
      <c r="M229" s="41" t="s">
        <v>1724</v>
      </c>
      <c r="N229" s="44">
        <f t="shared" si="70"/>
        <v>5</v>
      </c>
      <c r="O229" s="50" t="s">
        <v>1891</v>
      </c>
      <c r="P229" s="323" t="s">
        <v>2114</v>
      </c>
      <c r="Q229" s="44" t="s">
        <v>1098</v>
      </c>
      <c r="R229" s="50"/>
      <c r="S229" s="40" t="s">
        <v>1886</v>
      </c>
      <c r="T229" s="47" t="s">
        <v>632</v>
      </c>
      <c r="U229" s="47" t="s">
        <v>632</v>
      </c>
      <c r="V229" s="47" t="s">
        <v>632</v>
      </c>
      <c r="W229" s="48"/>
      <c r="X229" s="48"/>
      <c r="Y229" s="46" t="s">
        <v>2168</v>
      </c>
      <c r="Z229" s="48"/>
      <c r="AA229" s="48"/>
    </row>
    <row r="230" spans="1:27" s="406" customFormat="1" ht="24.75" outlineLevel="1" x14ac:dyDescent="0.35">
      <c r="A230" s="436"/>
      <c r="B230" s="436"/>
      <c r="C230" s="411" t="s">
        <v>2505</v>
      </c>
      <c r="D230" s="411" t="s">
        <v>2487</v>
      </c>
      <c r="E230" s="418" t="str">
        <f t="shared" si="73"/>
        <v>131-134</v>
      </c>
      <c r="F230" s="419">
        <f t="shared" ref="F230:F233" si="74">F229+G229</f>
        <v>1040</v>
      </c>
      <c r="G230" s="420">
        <v>32</v>
      </c>
      <c r="H230" s="420">
        <v>1</v>
      </c>
      <c r="I230" s="420">
        <v>0</v>
      </c>
      <c r="J230" s="420">
        <v>0</v>
      </c>
      <c r="K230" s="420">
        <f t="shared" si="69"/>
        <v>4294967295</v>
      </c>
      <c r="L230" s="420">
        <v>0</v>
      </c>
      <c r="M230" s="421" t="s">
        <v>164</v>
      </c>
      <c r="N230" s="420">
        <f t="shared" si="70"/>
        <v>10</v>
      </c>
      <c r="O230" s="436"/>
      <c r="P230" s="438" t="s">
        <v>2513</v>
      </c>
      <c r="Q230" s="420"/>
      <c r="R230" s="436"/>
      <c r="S230" s="411" t="s">
        <v>2509</v>
      </c>
      <c r="T230" s="422" t="s">
        <v>352</v>
      </c>
      <c r="U230" s="422" t="s">
        <v>352</v>
      </c>
      <c r="V230" s="422" t="s">
        <v>352</v>
      </c>
      <c r="W230" s="423"/>
      <c r="X230" s="423"/>
      <c r="Y230" s="437" t="s">
        <v>1792</v>
      </c>
      <c r="Z230" s="423"/>
      <c r="AA230" s="423"/>
    </row>
    <row r="231" spans="1:27" s="406" customFormat="1" ht="24.75" outlineLevel="1" x14ac:dyDescent="0.35">
      <c r="A231" s="436"/>
      <c r="B231" s="436"/>
      <c r="C231" s="411" t="s">
        <v>2506</v>
      </c>
      <c r="D231" s="411" t="s">
        <v>2488</v>
      </c>
      <c r="E231" s="418" t="str">
        <f t="shared" si="73"/>
        <v>135-138</v>
      </c>
      <c r="F231" s="419">
        <f t="shared" si="74"/>
        <v>1072</v>
      </c>
      <c r="G231" s="420">
        <v>32</v>
      </c>
      <c r="H231" s="420">
        <v>1</v>
      </c>
      <c r="I231" s="420">
        <v>0</v>
      </c>
      <c r="J231" s="420">
        <v>0</v>
      </c>
      <c r="K231" s="420">
        <f t="shared" si="69"/>
        <v>4294967295</v>
      </c>
      <c r="L231" s="420">
        <v>0</v>
      </c>
      <c r="M231" s="421" t="s">
        <v>137</v>
      </c>
      <c r="N231" s="420">
        <f t="shared" si="70"/>
        <v>10</v>
      </c>
      <c r="O231" s="436"/>
      <c r="P231" s="438" t="s">
        <v>2514</v>
      </c>
      <c r="Q231" s="420"/>
      <c r="R231" s="436"/>
      <c r="S231" s="411" t="s">
        <v>2510</v>
      </c>
      <c r="T231" s="422" t="s">
        <v>352</v>
      </c>
      <c r="U231" s="422" t="s">
        <v>352</v>
      </c>
      <c r="V231" s="422" t="s">
        <v>352</v>
      </c>
      <c r="W231" s="423"/>
      <c r="X231" s="423"/>
      <c r="Y231" s="437" t="s">
        <v>1793</v>
      </c>
      <c r="Z231" s="423"/>
      <c r="AA231" s="423"/>
    </row>
    <row r="232" spans="1:27" s="406" customFormat="1" ht="24.75" outlineLevel="1" x14ac:dyDescent="0.35">
      <c r="A232" s="436"/>
      <c r="B232" s="436"/>
      <c r="C232" s="411" t="s">
        <v>2507</v>
      </c>
      <c r="D232" s="411" t="s">
        <v>2489</v>
      </c>
      <c r="E232" s="418" t="str">
        <f t="shared" si="73"/>
        <v>139-142</v>
      </c>
      <c r="F232" s="419">
        <f t="shared" si="74"/>
        <v>1104</v>
      </c>
      <c r="G232" s="420">
        <v>32</v>
      </c>
      <c r="H232" s="420">
        <v>1</v>
      </c>
      <c r="I232" s="420">
        <v>0</v>
      </c>
      <c r="J232" s="420">
        <v>0</v>
      </c>
      <c r="K232" s="420">
        <f t="shared" si="69"/>
        <v>4294967295</v>
      </c>
      <c r="L232" s="420">
        <v>0</v>
      </c>
      <c r="M232" s="421" t="s">
        <v>164</v>
      </c>
      <c r="N232" s="420">
        <f t="shared" si="70"/>
        <v>10</v>
      </c>
      <c r="O232" s="436"/>
      <c r="P232" s="438" t="s">
        <v>2515</v>
      </c>
      <c r="Q232" s="420"/>
      <c r="R232" s="436"/>
      <c r="S232" s="411" t="s">
        <v>2511</v>
      </c>
      <c r="T232" s="422" t="s">
        <v>352</v>
      </c>
      <c r="U232" s="422" t="s">
        <v>352</v>
      </c>
      <c r="V232" s="422" t="s">
        <v>352</v>
      </c>
      <c r="W232" s="423"/>
      <c r="X232" s="423"/>
      <c r="Y232" s="437" t="s">
        <v>1790</v>
      </c>
      <c r="Z232" s="423"/>
      <c r="AA232" s="423"/>
    </row>
    <row r="233" spans="1:27" s="406" customFormat="1" ht="24.75" outlineLevel="1" x14ac:dyDescent="0.35">
      <c r="A233" s="436"/>
      <c r="B233" s="436"/>
      <c r="C233" s="411" t="s">
        <v>2508</v>
      </c>
      <c r="D233" s="411" t="s">
        <v>2490</v>
      </c>
      <c r="E233" s="418" t="str">
        <f t="shared" si="73"/>
        <v>143-146</v>
      </c>
      <c r="F233" s="419">
        <f t="shared" si="74"/>
        <v>1136</v>
      </c>
      <c r="G233" s="420">
        <v>32</v>
      </c>
      <c r="H233" s="420">
        <v>1</v>
      </c>
      <c r="I233" s="420">
        <v>0</v>
      </c>
      <c r="J233" s="420">
        <v>0</v>
      </c>
      <c r="K233" s="420">
        <f t="shared" si="69"/>
        <v>4294967295</v>
      </c>
      <c r="L233" s="420">
        <v>0</v>
      </c>
      <c r="M233" s="421" t="s">
        <v>137</v>
      </c>
      <c r="N233" s="420">
        <f t="shared" si="70"/>
        <v>10</v>
      </c>
      <c r="O233" s="436"/>
      <c r="P233" s="438" t="s">
        <v>2516</v>
      </c>
      <c r="Q233" s="420"/>
      <c r="R233" s="436"/>
      <c r="S233" s="411" t="s">
        <v>2512</v>
      </c>
      <c r="T233" s="422" t="s">
        <v>352</v>
      </c>
      <c r="U233" s="422" t="s">
        <v>352</v>
      </c>
      <c r="V233" s="422" t="s">
        <v>352</v>
      </c>
      <c r="W233" s="423"/>
      <c r="X233" s="423"/>
      <c r="Y233" s="437" t="s">
        <v>1791</v>
      </c>
      <c r="Z233" s="423"/>
      <c r="AA233" s="423"/>
    </row>
    <row r="234" spans="1:27" collapsed="1" x14ac:dyDescent="0.35">
      <c r="A234" s="32" t="s">
        <v>631</v>
      </c>
      <c r="B234" s="53" t="str">
        <f>VLOOKUP(A234,'Message ID'!A:O,2,FALSE)</f>
        <v>BMS故障列表</v>
      </c>
      <c r="C234" s="34"/>
      <c r="D234" s="34"/>
      <c r="E234" s="36">
        <v>26</v>
      </c>
      <c r="F234" s="36"/>
      <c r="G234" s="36"/>
      <c r="H234" s="36"/>
      <c r="I234" s="36"/>
      <c r="J234" s="36"/>
      <c r="K234" s="36"/>
      <c r="L234" s="36"/>
      <c r="M234" s="36"/>
      <c r="N234" s="90">
        <f>N235*200+N236</f>
        <v>202</v>
      </c>
      <c r="O234" s="34"/>
      <c r="P234" s="36"/>
      <c r="Q234" s="36"/>
      <c r="R234" s="34"/>
      <c r="S234" s="34"/>
      <c r="T234" s="128"/>
      <c r="U234" s="38"/>
      <c r="V234" s="38"/>
      <c r="W234" s="39"/>
      <c r="X234" s="39"/>
      <c r="Y234" s="34"/>
      <c r="Z234" s="39"/>
      <c r="AA234" s="39"/>
    </row>
    <row r="235" spans="1:27" ht="24.75" hidden="1" outlineLevel="1" x14ac:dyDescent="0.35">
      <c r="A235" s="47"/>
      <c r="B235" s="47"/>
      <c r="C235" s="46" t="s">
        <v>274</v>
      </c>
      <c r="D235" s="46" t="s">
        <v>275</v>
      </c>
      <c r="E235" s="247" t="s">
        <v>205</v>
      </c>
      <c r="F235" s="44">
        <v>0</v>
      </c>
      <c r="G235" s="44">
        <v>1</v>
      </c>
      <c r="H235" s="44">
        <v>1</v>
      </c>
      <c r="I235" s="44">
        <v>0</v>
      </c>
      <c r="J235" s="44">
        <v>0</v>
      </c>
      <c r="K235" s="41">
        <f>(POWER(2,G235)-1)*H235+I235</f>
        <v>1</v>
      </c>
      <c r="L235" s="44">
        <v>0</v>
      </c>
      <c r="M235" s="44" t="s">
        <v>352</v>
      </c>
      <c r="N235" s="44">
        <f t="shared" si="54"/>
        <v>1</v>
      </c>
      <c r="O235" s="46" t="s">
        <v>276</v>
      </c>
      <c r="P235" s="44"/>
      <c r="Q235" s="44" t="s">
        <v>1098</v>
      </c>
      <c r="R235" s="48"/>
      <c r="S235" s="46" t="s">
        <v>601</v>
      </c>
      <c r="T235" s="47" t="s">
        <v>352</v>
      </c>
      <c r="U235" s="47" t="s">
        <v>352</v>
      </c>
      <c r="V235" s="47" t="s">
        <v>352</v>
      </c>
      <c r="W235" s="327" t="s">
        <v>2199</v>
      </c>
      <c r="X235" s="48"/>
      <c r="Y235" s="46" t="s">
        <v>275</v>
      </c>
      <c r="Z235" s="48"/>
      <c r="AA235" s="48"/>
    </row>
    <row r="236" spans="1:27" ht="24.75" hidden="1" outlineLevel="1" x14ac:dyDescent="0.35">
      <c r="A236" s="47"/>
      <c r="B236" s="47"/>
      <c r="C236" s="46" t="s">
        <v>1878</v>
      </c>
      <c r="D236" s="46" t="s">
        <v>1879</v>
      </c>
      <c r="E236" s="42">
        <v>26</v>
      </c>
      <c r="F236" s="44">
        <f>8*25</f>
        <v>200</v>
      </c>
      <c r="G236" s="44">
        <v>4</v>
      </c>
      <c r="H236" s="44">
        <v>1</v>
      </c>
      <c r="I236" s="44">
        <v>0</v>
      </c>
      <c r="J236" s="44">
        <v>0</v>
      </c>
      <c r="K236" s="41">
        <f>(POWER(2,G236)-1)*H236+I236</f>
        <v>15</v>
      </c>
      <c r="L236" s="44">
        <v>0</v>
      </c>
      <c r="M236" s="44" t="s">
        <v>1724</v>
      </c>
      <c r="N236" s="44">
        <f t="shared" si="54"/>
        <v>2</v>
      </c>
      <c r="O236" s="46"/>
      <c r="P236" s="44"/>
      <c r="Q236" s="44"/>
      <c r="R236" s="48" t="s">
        <v>1880</v>
      </c>
      <c r="S236" s="46" t="s">
        <v>632</v>
      </c>
      <c r="T236" s="47" t="s">
        <v>632</v>
      </c>
      <c r="U236" s="47" t="s">
        <v>632</v>
      </c>
      <c r="V236" s="47" t="s">
        <v>632</v>
      </c>
      <c r="W236" s="48"/>
      <c r="X236" s="48"/>
      <c r="Y236" s="46" t="s">
        <v>1879</v>
      </c>
      <c r="Z236" s="48"/>
      <c r="AA236" s="48"/>
    </row>
    <row r="237" spans="1:27" ht="24.75" collapsed="1" x14ac:dyDescent="0.35">
      <c r="A237" s="34" t="s">
        <v>449</v>
      </c>
      <c r="B237" s="53" t="str">
        <f>VLOOKUP(A237,'Message ID'!A:O,2,FALSE)</f>
        <v>BBMS Control
BBMS控制指令</v>
      </c>
      <c r="C237" s="34"/>
      <c r="D237" s="34"/>
      <c r="E237" s="36">
        <v>8</v>
      </c>
      <c r="F237" s="35"/>
      <c r="G237" s="36"/>
      <c r="H237" s="36"/>
      <c r="I237" s="36"/>
      <c r="J237" s="36"/>
      <c r="K237" s="36"/>
      <c r="L237" s="36"/>
      <c r="M237" s="36"/>
      <c r="N237" s="90">
        <f>SUM(N238:N248)</f>
        <v>22</v>
      </c>
      <c r="O237" s="36"/>
      <c r="P237" s="36"/>
      <c r="Q237" s="36"/>
      <c r="R237" s="37"/>
      <c r="S237" s="34"/>
      <c r="T237" s="128"/>
      <c r="U237" s="38"/>
      <c r="V237" s="38"/>
      <c r="W237" s="39"/>
      <c r="X237" s="39"/>
      <c r="Y237" s="34"/>
      <c r="Z237" s="39"/>
      <c r="AA237" s="39"/>
    </row>
    <row r="238" spans="1:27" s="231" customFormat="1" ht="24.75" hidden="1" outlineLevel="1" x14ac:dyDescent="0.35">
      <c r="A238" s="228"/>
      <c r="B238" s="326"/>
      <c r="C238" s="228" t="s">
        <v>1889</v>
      </c>
      <c r="D238" s="228" t="s">
        <v>1890</v>
      </c>
      <c r="E238" s="212">
        <f>IF(INT((F238 + G238-1) / 8) + 1 = INT(F238 / 8) + 1, INT(F238 / 8) + 1, INT(F238 / 8) + 1 &amp; "-" &amp; INT((F238 + G238 - 1) / 8) + 1)</f>
        <v>1</v>
      </c>
      <c r="F238" s="227">
        <v>0</v>
      </c>
      <c r="G238" s="213">
        <v>7</v>
      </c>
      <c r="H238" s="213">
        <v>1</v>
      </c>
      <c r="I238" s="213">
        <v>0</v>
      </c>
      <c r="J238" s="213">
        <v>0</v>
      </c>
      <c r="K238" s="213">
        <f t="shared" ref="K238:K248" si="75">(POWER(2,G238)-1)*H238+I238</f>
        <v>127</v>
      </c>
      <c r="L238" s="213">
        <v>0</v>
      </c>
      <c r="M238" s="229" t="s">
        <v>85</v>
      </c>
      <c r="N238" s="213">
        <v>0</v>
      </c>
      <c r="O238" s="326"/>
      <c r="P238" s="229"/>
      <c r="Q238" s="229"/>
      <c r="R238" s="326"/>
      <c r="S238" s="228" t="s">
        <v>632</v>
      </c>
      <c r="T238" s="232" t="s">
        <v>632</v>
      </c>
      <c r="U238" s="232" t="s">
        <v>632</v>
      </c>
      <c r="V238" s="232" t="s">
        <v>632</v>
      </c>
      <c r="W238" s="233"/>
      <c r="X238" s="233"/>
      <c r="Y238" s="228" t="s">
        <v>2170</v>
      </c>
      <c r="Z238" s="233"/>
      <c r="AA238" s="233"/>
    </row>
    <row r="239" spans="1:27" ht="24.75" hidden="1" outlineLevel="1" x14ac:dyDescent="0.35">
      <c r="A239" s="55"/>
      <c r="B239" s="56"/>
      <c r="C239" s="55" t="s">
        <v>2300</v>
      </c>
      <c r="D239" s="55" t="s">
        <v>2301</v>
      </c>
      <c r="E239" s="42">
        <f>IF(INT((F239 + G239-1) / 8) + 1 = INT(F239 / 8) + 1, INT(F239 / 8) + 1, INT(F239 / 8) + 1 &amp; "-" &amp; INT((F239 + G239 - 1) / 8) + 1)</f>
        <v>1</v>
      </c>
      <c r="F239" s="43">
        <f>F238+G238</f>
        <v>7</v>
      </c>
      <c r="G239" s="59">
        <v>1</v>
      </c>
      <c r="H239" s="59">
        <v>1</v>
      </c>
      <c r="I239" s="59">
        <v>0</v>
      </c>
      <c r="J239" s="59">
        <v>0</v>
      </c>
      <c r="K239" s="44">
        <f t="shared" si="75"/>
        <v>1</v>
      </c>
      <c r="L239" s="59">
        <v>0</v>
      </c>
      <c r="M239" s="57" t="s">
        <v>1094</v>
      </c>
      <c r="N239" s="44">
        <f t="shared" si="54"/>
        <v>1</v>
      </c>
      <c r="O239" s="56" t="s">
        <v>1887</v>
      </c>
      <c r="P239" s="41" t="s">
        <v>2256</v>
      </c>
      <c r="Q239" s="57"/>
      <c r="R239" s="56"/>
      <c r="S239" s="55" t="s">
        <v>2302</v>
      </c>
      <c r="T239" s="58" t="s">
        <v>632</v>
      </c>
      <c r="U239" s="58" t="s">
        <v>632</v>
      </c>
      <c r="V239" s="58" t="s">
        <v>2303</v>
      </c>
      <c r="W239" s="60"/>
      <c r="X239" s="60"/>
      <c r="Y239" s="55" t="s">
        <v>2301</v>
      </c>
      <c r="Z239" s="60"/>
      <c r="AA239" s="60"/>
    </row>
    <row r="240" spans="1:27" ht="24.75" hidden="1" outlineLevel="1" x14ac:dyDescent="0.35">
      <c r="A240" s="55"/>
      <c r="B240" s="56"/>
      <c r="C240" s="58" t="s">
        <v>1063</v>
      </c>
      <c r="D240" s="55" t="s">
        <v>283</v>
      </c>
      <c r="E240" s="42">
        <f>IF(INT((F240 + G240-1) / 8) + 1 = INT(F240 / 8) + 1, INT(F240 / 8) + 1, INT(F240 / 8) + 1 &amp; "-" &amp; INT((F240 + G240 - 1) / 8) + 1)</f>
        <v>2</v>
      </c>
      <c r="F240" s="43">
        <f>F239+G239</f>
        <v>8</v>
      </c>
      <c r="G240" s="59">
        <v>8</v>
      </c>
      <c r="H240" s="59">
        <v>1</v>
      </c>
      <c r="I240" s="59">
        <v>0</v>
      </c>
      <c r="J240" s="59">
        <v>0</v>
      </c>
      <c r="K240" s="59">
        <f t="shared" si="75"/>
        <v>255</v>
      </c>
      <c r="L240" s="59">
        <v>0</v>
      </c>
      <c r="M240" s="57" t="s">
        <v>85</v>
      </c>
      <c r="N240" s="44">
        <f t="shared" ref="N240:N312" si="76">LEN(K240)</f>
        <v>3</v>
      </c>
      <c r="O240" s="55" t="s">
        <v>284</v>
      </c>
      <c r="P240" s="41" t="s">
        <v>2258</v>
      </c>
      <c r="Q240" s="57"/>
      <c r="R240" s="56"/>
      <c r="S240" s="55" t="s">
        <v>633</v>
      </c>
      <c r="T240" s="58" t="s">
        <v>632</v>
      </c>
      <c r="U240" s="58" t="s">
        <v>632</v>
      </c>
      <c r="V240" s="58" t="s">
        <v>1084</v>
      </c>
      <c r="W240" s="60"/>
      <c r="X240" s="60"/>
      <c r="Y240" s="55" t="s">
        <v>283</v>
      </c>
      <c r="Z240" s="60"/>
      <c r="AA240" s="60"/>
    </row>
    <row r="241" spans="1:28" ht="74.25" hidden="1" outlineLevel="1" x14ac:dyDescent="0.35">
      <c r="A241" s="55"/>
      <c r="B241" s="56"/>
      <c r="C241" s="58" t="s">
        <v>2299</v>
      </c>
      <c r="D241" s="55" t="s">
        <v>278</v>
      </c>
      <c r="E241" s="42">
        <f t="shared" ref="E241:E243" si="77">IF(INT((F241 + G241-1) / 8) + 1 = INT(F241 / 8) + 1, INT(F241 / 8) + 1, INT(F241 / 8) + 1 &amp; "-" &amp; INT((F241 + G241 - 1) / 8) + 1)</f>
        <v>3</v>
      </c>
      <c r="F241" s="43">
        <f t="shared" ref="F241:F243" si="78">F240+G240</f>
        <v>16</v>
      </c>
      <c r="G241" s="59">
        <v>8</v>
      </c>
      <c r="H241" s="59">
        <v>1</v>
      </c>
      <c r="I241" s="59">
        <v>0</v>
      </c>
      <c r="J241" s="59">
        <v>0</v>
      </c>
      <c r="K241" s="59">
        <f t="shared" si="75"/>
        <v>255</v>
      </c>
      <c r="L241" s="59">
        <v>0</v>
      </c>
      <c r="M241" s="57" t="s">
        <v>632</v>
      </c>
      <c r="N241" s="44">
        <f>LEN(K241)</f>
        <v>3</v>
      </c>
      <c r="O241" s="55" t="s">
        <v>2297</v>
      </c>
      <c r="P241" s="41" t="s">
        <v>2257</v>
      </c>
      <c r="Q241" s="57"/>
      <c r="R241" s="56"/>
      <c r="S241" s="55" t="s">
        <v>2298</v>
      </c>
      <c r="T241" s="58" t="s">
        <v>85</v>
      </c>
      <c r="U241" s="58" t="s">
        <v>85</v>
      </c>
      <c r="V241" s="58" t="s">
        <v>277</v>
      </c>
      <c r="W241" s="60"/>
      <c r="X241" s="60"/>
      <c r="Y241" s="55" t="s">
        <v>2169</v>
      </c>
      <c r="Z241" s="60"/>
      <c r="AA241" s="60"/>
    </row>
    <row r="242" spans="1:28" ht="24.75" hidden="1" outlineLevel="1" x14ac:dyDescent="0.35">
      <c r="A242" s="55"/>
      <c r="B242" s="56"/>
      <c r="C242" s="58" t="s">
        <v>1619</v>
      </c>
      <c r="D242" s="55" t="s">
        <v>1620</v>
      </c>
      <c r="E242" s="42">
        <f t="shared" si="77"/>
        <v>4</v>
      </c>
      <c r="F242" s="43">
        <f t="shared" si="78"/>
        <v>24</v>
      </c>
      <c r="G242" s="59">
        <v>5</v>
      </c>
      <c r="H242" s="59">
        <v>1</v>
      </c>
      <c r="I242" s="59">
        <v>0</v>
      </c>
      <c r="J242" s="59">
        <v>0</v>
      </c>
      <c r="K242" s="59">
        <f t="shared" si="75"/>
        <v>31</v>
      </c>
      <c r="L242" s="59">
        <v>0</v>
      </c>
      <c r="M242" s="57" t="s">
        <v>1094</v>
      </c>
      <c r="N242" s="44">
        <f t="shared" si="76"/>
        <v>2</v>
      </c>
      <c r="O242" s="55" t="s">
        <v>1621</v>
      </c>
      <c r="P242" s="41" t="s">
        <v>2260</v>
      </c>
      <c r="Q242" s="57"/>
      <c r="R242" s="56"/>
      <c r="S242" s="55" t="s">
        <v>1622</v>
      </c>
      <c r="T242" s="58" t="s">
        <v>632</v>
      </c>
      <c r="U242" s="58" t="s">
        <v>632</v>
      </c>
      <c r="V242" s="58" t="s">
        <v>1671</v>
      </c>
      <c r="W242" s="60"/>
      <c r="X242" s="60"/>
      <c r="Y242" s="55" t="s">
        <v>2172</v>
      </c>
      <c r="Z242" s="60"/>
      <c r="AA242" s="60"/>
    </row>
    <row r="243" spans="1:28" ht="61.9" hidden="1" outlineLevel="1" x14ac:dyDescent="0.35">
      <c r="A243" s="40"/>
      <c r="B243" s="49"/>
      <c r="C243" s="40" t="s">
        <v>282</v>
      </c>
      <c r="D243" s="40" t="s">
        <v>1745</v>
      </c>
      <c r="E243" s="42">
        <f t="shared" si="77"/>
        <v>4</v>
      </c>
      <c r="F243" s="43">
        <f t="shared" si="78"/>
        <v>29</v>
      </c>
      <c r="G243" s="44">
        <v>3</v>
      </c>
      <c r="H243" s="44">
        <v>1</v>
      </c>
      <c r="I243" s="44">
        <v>0</v>
      </c>
      <c r="J243" s="44">
        <v>0</v>
      </c>
      <c r="K243" s="44">
        <f t="shared" ref="K243" si="79">(POWER(2,G243)-1)*H243+I243</f>
        <v>7</v>
      </c>
      <c r="L243" s="44">
        <v>0</v>
      </c>
      <c r="M243" s="41" t="s">
        <v>85</v>
      </c>
      <c r="N243" s="44">
        <f t="shared" si="76"/>
        <v>1</v>
      </c>
      <c r="O243" s="49" t="s">
        <v>1750</v>
      </c>
      <c r="P243" s="41" t="s">
        <v>2261</v>
      </c>
      <c r="Q243" s="41"/>
      <c r="R243" s="49"/>
      <c r="S243" s="40" t="s">
        <v>2220</v>
      </c>
      <c r="T243" s="47" t="s">
        <v>632</v>
      </c>
      <c r="U243" s="47" t="s">
        <v>632</v>
      </c>
      <c r="V243" s="47" t="s">
        <v>282</v>
      </c>
      <c r="W243" s="48"/>
      <c r="X243" s="48"/>
      <c r="Y243" s="40" t="s">
        <v>1745</v>
      </c>
      <c r="Z243" s="48"/>
      <c r="AA243" s="48"/>
    </row>
    <row r="244" spans="1:28" ht="24.75" hidden="1" outlineLevel="1" x14ac:dyDescent="0.35">
      <c r="A244" s="55"/>
      <c r="B244" s="56"/>
      <c r="C244" s="58" t="s">
        <v>1722</v>
      </c>
      <c r="D244" s="55" t="s">
        <v>1723</v>
      </c>
      <c r="E244" s="42">
        <f t="shared" ref="E244:E248" si="80">IF(INT((F244 + G244-1) / 8) + 1 = INT(F244 / 8) + 1, INT(F244 / 8) + 1, INT(F244 / 8) + 1 &amp; "-" &amp; INT((F244 + G244 - 1) / 8) + 1)</f>
        <v>5</v>
      </c>
      <c r="F244" s="43">
        <f t="shared" ref="F244:F248" si="81">F243+G243</f>
        <v>32</v>
      </c>
      <c r="G244" s="59">
        <v>4</v>
      </c>
      <c r="H244" s="59">
        <v>1</v>
      </c>
      <c r="I244" s="59">
        <v>0</v>
      </c>
      <c r="J244" s="59">
        <v>0</v>
      </c>
      <c r="K244" s="59">
        <f t="shared" si="75"/>
        <v>15</v>
      </c>
      <c r="L244" s="59">
        <v>0</v>
      </c>
      <c r="M244" s="57" t="s">
        <v>1724</v>
      </c>
      <c r="N244" s="44">
        <f t="shared" si="76"/>
        <v>2</v>
      </c>
      <c r="O244" s="55" t="s">
        <v>1741</v>
      </c>
      <c r="P244" s="41" t="s">
        <v>2262</v>
      </c>
      <c r="Q244" s="57"/>
      <c r="R244" s="56"/>
      <c r="S244" s="55" t="s">
        <v>1726</v>
      </c>
      <c r="T244" s="58" t="s">
        <v>632</v>
      </c>
      <c r="U244" s="58" t="s">
        <v>632</v>
      </c>
      <c r="V244" s="58" t="s">
        <v>1725</v>
      </c>
      <c r="W244" s="60"/>
      <c r="X244" s="60"/>
      <c r="Y244" s="55" t="s">
        <v>1723</v>
      </c>
      <c r="Z244" s="60"/>
      <c r="AA244" s="60"/>
    </row>
    <row r="245" spans="1:28" ht="61.9" hidden="1" outlineLevel="1" x14ac:dyDescent="0.35">
      <c r="A245" s="55"/>
      <c r="B245" s="56"/>
      <c r="C245" s="58" t="s">
        <v>1705</v>
      </c>
      <c r="D245" s="55" t="s">
        <v>1301</v>
      </c>
      <c r="E245" s="42">
        <f t="shared" si="80"/>
        <v>5</v>
      </c>
      <c r="F245" s="43">
        <f t="shared" si="81"/>
        <v>36</v>
      </c>
      <c r="G245" s="59">
        <v>4</v>
      </c>
      <c r="H245" s="59">
        <v>1</v>
      </c>
      <c r="I245" s="59">
        <v>0</v>
      </c>
      <c r="J245" s="59">
        <v>0</v>
      </c>
      <c r="K245" s="59">
        <f t="shared" si="75"/>
        <v>15</v>
      </c>
      <c r="L245" s="59">
        <v>0</v>
      </c>
      <c r="M245" s="57" t="s">
        <v>932</v>
      </c>
      <c r="N245" s="44">
        <f t="shared" si="76"/>
        <v>2</v>
      </c>
      <c r="O245" s="55" t="s">
        <v>1713</v>
      </c>
      <c r="P245" s="41" t="s">
        <v>2263</v>
      </c>
      <c r="Q245" s="57"/>
      <c r="R245" s="56"/>
      <c r="S245" s="55" t="s">
        <v>1711</v>
      </c>
      <c r="T245" s="58" t="s">
        <v>632</v>
      </c>
      <c r="U245" s="58" t="s">
        <v>632</v>
      </c>
      <c r="V245" s="58" t="s">
        <v>1712</v>
      </c>
      <c r="W245" s="60"/>
      <c r="X245" s="60"/>
      <c r="Y245" s="55" t="s">
        <v>1301</v>
      </c>
      <c r="Z245" s="60"/>
      <c r="AA245" s="60"/>
    </row>
    <row r="246" spans="1:28" ht="24.75" hidden="1" outlineLevel="1" x14ac:dyDescent="0.35">
      <c r="A246" s="48"/>
      <c r="B246" s="48"/>
      <c r="C246" s="40" t="s">
        <v>1714</v>
      </c>
      <c r="D246" s="40" t="s">
        <v>1525</v>
      </c>
      <c r="E246" s="42">
        <f t="shared" si="80"/>
        <v>6</v>
      </c>
      <c r="F246" s="43">
        <f t="shared" si="81"/>
        <v>40</v>
      </c>
      <c r="G246" s="44">
        <v>8</v>
      </c>
      <c r="H246" s="44">
        <v>1</v>
      </c>
      <c r="I246" s="44">
        <v>0</v>
      </c>
      <c r="J246" s="44">
        <v>0</v>
      </c>
      <c r="K246" s="44">
        <f t="shared" si="75"/>
        <v>255</v>
      </c>
      <c r="L246" s="44">
        <v>0</v>
      </c>
      <c r="M246" s="41" t="s">
        <v>1478</v>
      </c>
      <c r="N246" s="44">
        <f t="shared" si="76"/>
        <v>3</v>
      </c>
      <c r="O246" s="49" t="s">
        <v>1718</v>
      </c>
      <c r="P246" s="41" t="s">
        <v>2264</v>
      </c>
      <c r="Q246" s="41"/>
      <c r="R246" s="48"/>
      <c r="S246" s="40" t="s">
        <v>2323</v>
      </c>
      <c r="T246" s="131" t="s">
        <v>352</v>
      </c>
      <c r="U246" s="79" t="s">
        <v>632</v>
      </c>
      <c r="V246" s="301" t="s">
        <v>1716</v>
      </c>
      <c r="W246" s="48"/>
      <c r="X246" s="48"/>
      <c r="Y246" s="40" t="s">
        <v>1525</v>
      </c>
      <c r="Z246" s="48"/>
      <c r="AA246" s="48"/>
    </row>
    <row r="247" spans="1:28" ht="24.75" hidden="1" outlineLevel="1" x14ac:dyDescent="0.35">
      <c r="A247" s="48"/>
      <c r="B247" s="48"/>
      <c r="C247" s="40" t="s">
        <v>1715</v>
      </c>
      <c r="D247" s="40" t="s">
        <v>1526</v>
      </c>
      <c r="E247" s="42">
        <f t="shared" si="80"/>
        <v>7</v>
      </c>
      <c r="F247" s="43">
        <f t="shared" si="81"/>
        <v>48</v>
      </c>
      <c r="G247" s="44">
        <v>8</v>
      </c>
      <c r="H247" s="44">
        <v>1</v>
      </c>
      <c r="I247" s="44">
        <v>0</v>
      </c>
      <c r="J247" s="44">
        <v>0</v>
      </c>
      <c r="K247" s="44">
        <f t="shared" si="75"/>
        <v>255</v>
      </c>
      <c r="L247" s="44">
        <v>0</v>
      </c>
      <c r="M247" s="41" t="s">
        <v>1478</v>
      </c>
      <c r="N247" s="44">
        <f t="shared" si="76"/>
        <v>3</v>
      </c>
      <c r="O247" s="49" t="s">
        <v>1718</v>
      </c>
      <c r="P247" s="41" t="s">
        <v>2265</v>
      </c>
      <c r="Q247" s="41"/>
      <c r="R247" s="48"/>
      <c r="S247" s="40" t="s">
        <v>2324</v>
      </c>
      <c r="T247" s="131" t="s">
        <v>352</v>
      </c>
      <c r="U247" s="79" t="s">
        <v>632</v>
      </c>
      <c r="V247" s="301" t="s">
        <v>1717</v>
      </c>
      <c r="W247" s="48"/>
      <c r="X247" s="48"/>
      <c r="Y247" s="40" t="s">
        <v>1526</v>
      </c>
      <c r="Z247" s="48"/>
      <c r="AA247" s="48"/>
    </row>
    <row r="248" spans="1:28" ht="24.75" hidden="1" outlineLevel="1" x14ac:dyDescent="0.35">
      <c r="A248" s="50"/>
      <c r="B248" s="50"/>
      <c r="C248" s="46" t="s">
        <v>1878</v>
      </c>
      <c r="D248" s="46" t="s">
        <v>1879</v>
      </c>
      <c r="E248" s="42">
        <f t="shared" si="80"/>
        <v>8</v>
      </c>
      <c r="F248" s="43">
        <f t="shared" si="81"/>
        <v>56</v>
      </c>
      <c r="G248" s="44">
        <v>4</v>
      </c>
      <c r="H248" s="44">
        <v>1</v>
      </c>
      <c r="I248" s="44">
        <v>0</v>
      </c>
      <c r="J248" s="44">
        <v>0</v>
      </c>
      <c r="K248" s="44">
        <f t="shared" si="75"/>
        <v>15</v>
      </c>
      <c r="L248" s="44">
        <v>0</v>
      </c>
      <c r="M248" s="41" t="s">
        <v>1724</v>
      </c>
      <c r="N248" s="44">
        <f t="shared" si="76"/>
        <v>2</v>
      </c>
      <c r="O248" s="50"/>
      <c r="P248" s="41" t="s">
        <v>2259</v>
      </c>
      <c r="Q248" s="44"/>
      <c r="R248" s="50" t="s">
        <v>1880</v>
      </c>
      <c r="S248" s="40" t="s">
        <v>632</v>
      </c>
      <c r="T248" s="47" t="s">
        <v>632</v>
      </c>
      <c r="U248" s="47" t="s">
        <v>632</v>
      </c>
      <c r="V248" s="47" t="s">
        <v>632</v>
      </c>
      <c r="W248" s="48"/>
      <c r="X248" s="48"/>
      <c r="Y248" s="46" t="s">
        <v>1879</v>
      </c>
      <c r="Z248" s="48"/>
      <c r="AA248" s="48"/>
    </row>
    <row r="249" spans="1:28" ht="24.75" collapsed="1" x14ac:dyDescent="0.35">
      <c r="A249" s="34" t="s">
        <v>454</v>
      </c>
      <c r="B249" s="34" t="s">
        <v>285</v>
      </c>
      <c r="C249" s="36"/>
      <c r="D249" s="36"/>
      <c r="E249" s="90">
        <v>7</v>
      </c>
      <c r="F249" s="35"/>
      <c r="G249" s="33"/>
      <c r="H249" s="33"/>
      <c r="I249" s="33"/>
      <c r="J249" s="33"/>
      <c r="K249" s="33"/>
      <c r="L249" s="33"/>
      <c r="M249" s="36"/>
      <c r="N249" s="90">
        <f>SUM(N250:N263)</f>
        <v>23</v>
      </c>
      <c r="O249" s="37"/>
      <c r="P249" s="36"/>
      <c r="Q249" s="36"/>
      <c r="R249" s="62"/>
      <c r="S249" s="34"/>
      <c r="T249" s="128"/>
      <c r="U249" s="242"/>
      <c r="V249" s="38"/>
      <c r="W249" s="39"/>
      <c r="X249" s="39"/>
      <c r="Y249" s="36"/>
      <c r="Z249" s="39"/>
      <c r="AA249" s="39"/>
    </row>
    <row r="250" spans="1:28" ht="49.5" hidden="1" outlineLevel="1" x14ac:dyDescent="0.35">
      <c r="A250" s="40"/>
      <c r="B250" s="49"/>
      <c r="C250" s="40" t="s">
        <v>777</v>
      </c>
      <c r="D250" s="40" t="s">
        <v>1307</v>
      </c>
      <c r="E250" s="42">
        <f t="shared" ref="E250:E261" si="82">IF(INT((F250 + G250-1) / 8) + 1 = INT(F250 / 8) + 1, INT(F250 / 8) + 1, INT(F250 / 8) + 1 &amp; "-" &amp; INT((F250 + G250 - 1) / 8) + 1)</f>
        <v>1</v>
      </c>
      <c r="F250" s="43">
        <v>0</v>
      </c>
      <c r="G250" s="44">
        <v>2</v>
      </c>
      <c r="H250" s="44">
        <v>1</v>
      </c>
      <c r="I250" s="44">
        <v>0</v>
      </c>
      <c r="J250" s="44">
        <v>0</v>
      </c>
      <c r="K250" s="44">
        <f t="shared" ref="K250:K261" si="83">(POWER(2,G250)-1)*H250+I250</f>
        <v>3</v>
      </c>
      <c r="L250" s="44">
        <v>0</v>
      </c>
      <c r="M250" s="41" t="s">
        <v>85</v>
      </c>
      <c r="N250" s="44">
        <f t="shared" si="76"/>
        <v>1</v>
      </c>
      <c r="O250" s="49" t="s">
        <v>286</v>
      </c>
      <c r="P250" s="41"/>
      <c r="Q250" s="41"/>
      <c r="R250" s="63"/>
      <c r="S250" s="40" t="s">
        <v>632</v>
      </c>
      <c r="T250" s="47" t="s">
        <v>634</v>
      </c>
      <c r="U250" s="47" t="s">
        <v>634</v>
      </c>
      <c r="V250" s="47" t="s">
        <v>635</v>
      </c>
      <c r="W250" s="48"/>
      <c r="X250" s="48"/>
      <c r="Y250" s="40" t="s">
        <v>2173</v>
      </c>
      <c r="Z250" s="48"/>
      <c r="AA250" s="48"/>
    </row>
    <row r="251" spans="1:28" ht="49.5" hidden="1" outlineLevel="1" x14ac:dyDescent="0.35">
      <c r="A251" s="40"/>
      <c r="B251" s="49"/>
      <c r="C251" s="40" t="s">
        <v>778</v>
      </c>
      <c r="D251" s="40" t="s">
        <v>280</v>
      </c>
      <c r="E251" s="42">
        <f t="shared" si="82"/>
        <v>1</v>
      </c>
      <c r="F251" s="43">
        <f t="shared" ref="F251:F261" si="84">F250+G250</f>
        <v>2</v>
      </c>
      <c r="G251" s="44">
        <v>2</v>
      </c>
      <c r="H251" s="44">
        <v>1</v>
      </c>
      <c r="I251" s="44">
        <v>0</v>
      </c>
      <c r="J251" s="44">
        <v>0</v>
      </c>
      <c r="K251" s="44">
        <f t="shared" si="83"/>
        <v>3</v>
      </c>
      <c r="L251" s="44">
        <v>0</v>
      </c>
      <c r="M251" s="41" t="s">
        <v>85</v>
      </c>
      <c r="N251" s="44">
        <f t="shared" si="76"/>
        <v>1</v>
      </c>
      <c r="O251" s="49" t="s">
        <v>281</v>
      </c>
      <c r="P251" s="41"/>
      <c r="Q251" s="41"/>
      <c r="R251" s="63"/>
      <c r="S251" s="40" t="s">
        <v>632</v>
      </c>
      <c r="T251" s="47" t="s">
        <v>632</v>
      </c>
      <c r="U251" s="47" t="s">
        <v>636</v>
      </c>
      <c r="V251" s="47" t="s">
        <v>637</v>
      </c>
      <c r="W251" s="48"/>
      <c r="X251" s="48"/>
      <c r="Y251" s="40" t="s">
        <v>2170</v>
      </c>
      <c r="Z251" s="48"/>
      <c r="AA251" s="60"/>
    </row>
    <row r="252" spans="1:28" s="231" customFormat="1" ht="24.75" hidden="1" outlineLevel="1" x14ac:dyDescent="0.35">
      <c r="A252" s="228"/>
      <c r="B252" s="326"/>
      <c r="C252" s="230" t="s">
        <v>1889</v>
      </c>
      <c r="D252" s="230" t="s">
        <v>1890</v>
      </c>
      <c r="E252" s="212">
        <f t="shared" si="82"/>
        <v>1</v>
      </c>
      <c r="F252" s="227">
        <f t="shared" si="84"/>
        <v>4</v>
      </c>
      <c r="G252" s="213">
        <v>2</v>
      </c>
      <c r="H252" s="213">
        <v>1</v>
      </c>
      <c r="I252" s="213">
        <v>0</v>
      </c>
      <c r="J252" s="213">
        <v>0</v>
      </c>
      <c r="K252" s="213">
        <f t="shared" si="83"/>
        <v>3</v>
      </c>
      <c r="L252" s="213">
        <v>0</v>
      </c>
      <c r="M252" s="229" t="s">
        <v>352</v>
      </c>
      <c r="N252" s="213">
        <v>0</v>
      </c>
      <c r="O252" s="326"/>
      <c r="P252" s="229"/>
      <c r="Q252" s="229"/>
      <c r="R252" s="229"/>
      <c r="S252" s="228" t="s">
        <v>632</v>
      </c>
      <c r="T252" s="232" t="s">
        <v>632</v>
      </c>
      <c r="U252" s="232" t="s">
        <v>632</v>
      </c>
      <c r="V252" s="232" t="s">
        <v>632</v>
      </c>
      <c r="W252" s="233"/>
      <c r="X252" s="232"/>
      <c r="Y252" s="230" t="s">
        <v>1890</v>
      </c>
      <c r="Z252" s="382"/>
      <c r="AA252" s="384"/>
      <c r="AB252" s="383"/>
    </row>
    <row r="253" spans="1:28" ht="49.5" hidden="1" outlineLevel="1" x14ac:dyDescent="0.35">
      <c r="A253" s="40"/>
      <c r="B253" s="49"/>
      <c r="C253" s="40" t="s">
        <v>775</v>
      </c>
      <c r="D253" s="40" t="s">
        <v>640</v>
      </c>
      <c r="E253" s="42">
        <f t="shared" si="82"/>
        <v>1</v>
      </c>
      <c r="F253" s="43">
        <f t="shared" si="84"/>
        <v>6</v>
      </c>
      <c r="G253" s="44">
        <v>2</v>
      </c>
      <c r="H253" s="44">
        <v>1</v>
      </c>
      <c r="I253" s="44">
        <v>0</v>
      </c>
      <c r="J253" s="44">
        <v>0</v>
      </c>
      <c r="K253" s="44">
        <f t="shared" si="83"/>
        <v>3</v>
      </c>
      <c r="L253" s="44">
        <v>0</v>
      </c>
      <c r="M253" s="41" t="s">
        <v>85</v>
      </c>
      <c r="N253" s="44">
        <f t="shared" si="76"/>
        <v>1</v>
      </c>
      <c r="O253" s="49" t="s">
        <v>281</v>
      </c>
      <c r="P253" s="41"/>
      <c r="Q253" s="41"/>
      <c r="R253" s="63"/>
      <c r="S253" s="40" t="s">
        <v>632</v>
      </c>
      <c r="T253" s="47" t="s">
        <v>632</v>
      </c>
      <c r="U253" s="47" t="s">
        <v>632</v>
      </c>
      <c r="V253" s="47" t="s">
        <v>641</v>
      </c>
      <c r="W253" s="48"/>
      <c r="X253" s="48"/>
      <c r="Y253" s="40" t="s">
        <v>2171</v>
      </c>
      <c r="Z253" s="48"/>
      <c r="AA253" s="75"/>
    </row>
    <row r="254" spans="1:28" ht="49.5" hidden="1" outlineLevel="1" x14ac:dyDescent="0.35">
      <c r="A254" s="40"/>
      <c r="B254" s="49"/>
      <c r="C254" s="40" t="s">
        <v>292</v>
      </c>
      <c r="D254" s="40" t="s">
        <v>293</v>
      </c>
      <c r="E254" s="42">
        <f t="shared" si="82"/>
        <v>2</v>
      </c>
      <c r="F254" s="43">
        <f t="shared" si="84"/>
        <v>8</v>
      </c>
      <c r="G254" s="44">
        <v>2</v>
      </c>
      <c r="H254" s="44">
        <v>1</v>
      </c>
      <c r="I254" s="44">
        <v>0</v>
      </c>
      <c r="J254" s="44">
        <v>0</v>
      </c>
      <c r="K254" s="44">
        <f t="shared" si="83"/>
        <v>3</v>
      </c>
      <c r="L254" s="44">
        <v>0</v>
      </c>
      <c r="M254" s="41" t="s">
        <v>85</v>
      </c>
      <c r="N254" s="44">
        <f t="shared" si="76"/>
        <v>1</v>
      </c>
      <c r="O254" s="45" t="s">
        <v>286</v>
      </c>
      <c r="P254" s="177"/>
      <c r="Q254" s="177"/>
      <c r="R254" s="45"/>
      <c r="S254" s="40" t="s">
        <v>632</v>
      </c>
      <c r="T254" s="47" t="s">
        <v>632</v>
      </c>
      <c r="U254" s="47" t="s">
        <v>642</v>
      </c>
      <c r="V254" s="47" t="s">
        <v>643</v>
      </c>
      <c r="W254" s="48"/>
      <c r="X254" s="48"/>
      <c r="Y254" s="40" t="s">
        <v>293</v>
      </c>
      <c r="Z254" s="48"/>
      <c r="AA254" s="48"/>
    </row>
    <row r="255" spans="1:28" ht="49.5" hidden="1" outlineLevel="1" x14ac:dyDescent="0.35">
      <c r="A255" s="40"/>
      <c r="B255" s="49"/>
      <c r="C255" s="40" t="s">
        <v>287</v>
      </c>
      <c r="D255" s="40" t="s">
        <v>644</v>
      </c>
      <c r="E255" s="42">
        <f t="shared" si="82"/>
        <v>2</v>
      </c>
      <c r="F255" s="43">
        <f t="shared" si="84"/>
        <v>10</v>
      </c>
      <c r="G255" s="44">
        <v>2</v>
      </c>
      <c r="H255" s="44">
        <v>1</v>
      </c>
      <c r="I255" s="44">
        <v>0</v>
      </c>
      <c r="J255" s="44">
        <v>0</v>
      </c>
      <c r="K255" s="44">
        <f t="shared" si="83"/>
        <v>3</v>
      </c>
      <c r="L255" s="44">
        <v>0</v>
      </c>
      <c r="M255" s="41" t="s">
        <v>85</v>
      </c>
      <c r="N255" s="44">
        <f t="shared" si="76"/>
        <v>1</v>
      </c>
      <c r="O255" s="49" t="s">
        <v>281</v>
      </c>
      <c r="P255" s="41"/>
      <c r="Q255" s="41"/>
      <c r="R255" s="49"/>
      <c r="S255" s="40" t="s">
        <v>632</v>
      </c>
      <c r="T255" s="47" t="s">
        <v>632</v>
      </c>
      <c r="U255" s="47" t="s">
        <v>645</v>
      </c>
      <c r="V255" s="47" t="s">
        <v>646</v>
      </c>
      <c r="W255" s="48"/>
      <c r="X255" s="48"/>
      <c r="Y255" s="40" t="s">
        <v>2174</v>
      </c>
      <c r="Z255" s="48"/>
      <c r="AA255" s="48"/>
    </row>
    <row r="256" spans="1:28" ht="49.5" hidden="1" outlineLevel="1" x14ac:dyDescent="0.35">
      <c r="A256" s="40"/>
      <c r="B256" s="49"/>
      <c r="C256" s="40" t="s">
        <v>776</v>
      </c>
      <c r="D256" s="40" t="s">
        <v>647</v>
      </c>
      <c r="E256" s="42">
        <f t="shared" si="82"/>
        <v>2</v>
      </c>
      <c r="F256" s="43">
        <f t="shared" si="84"/>
        <v>12</v>
      </c>
      <c r="G256" s="44">
        <v>4</v>
      </c>
      <c r="H256" s="44">
        <v>1</v>
      </c>
      <c r="I256" s="44">
        <v>0</v>
      </c>
      <c r="J256" s="44">
        <v>0</v>
      </c>
      <c r="K256" s="44">
        <f t="shared" si="83"/>
        <v>15</v>
      </c>
      <c r="L256" s="44">
        <v>0</v>
      </c>
      <c r="M256" s="41" t="s">
        <v>85</v>
      </c>
      <c r="N256" s="44">
        <f t="shared" si="76"/>
        <v>2</v>
      </c>
      <c r="O256" s="49" t="s">
        <v>279</v>
      </c>
      <c r="P256" s="41"/>
      <c r="Q256" s="41"/>
      <c r="R256" s="49"/>
      <c r="S256" s="40" t="s">
        <v>632</v>
      </c>
      <c r="T256" s="47" t="s">
        <v>632</v>
      </c>
      <c r="U256" s="47" t="s">
        <v>648</v>
      </c>
      <c r="V256" s="47" t="s">
        <v>649</v>
      </c>
      <c r="W256" s="48"/>
      <c r="X256" s="48"/>
      <c r="Y256" s="40" t="s">
        <v>2169</v>
      </c>
      <c r="Z256" s="48"/>
      <c r="AA256" s="48"/>
    </row>
    <row r="257" spans="1:28" ht="24.75" hidden="1" outlineLevel="1" x14ac:dyDescent="0.35">
      <c r="A257" s="40"/>
      <c r="B257" s="49"/>
      <c r="C257" s="40" t="s">
        <v>288</v>
      </c>
      <c r="D257" s="40" t="s">
        <v>1308</v>
      </c>
      <c r="E257" s="42">
        <f t="shared" si="82"/>
        <v>3</v>
      </c>
      <c r="F257" s="43">
        <f t="shared" si="84"/>
        <v>16</v>
      </c>
      <c r="G257" s="44">
        <v>8</v>
      </c>
      <c r="H257" s="44">
        <v>1</v>
      </c>
      <c r="I257" s="44">
        <v>0</v>
      </c>
      <c r="J257" s="44">
        <v>0</v>
      </c>
      <c r="K257" s="44">
        <f t="shared" si="83"/>
        <v>255</v>
      </c>
      <c r="L257" s="44">
        <v>0</v>
      </c>
      <c r="M257" s="41" t="s">
        <v>85</v>
      </c>
      <c r="N257" s="44">
        <f t="shared" si="76"/>
        <v>3</v>
      </c>
      <c r="O257" s="45" t="s">
        <v>289</v>
      </c>
      <c r="P257" s="177"/>
      <c r="Q257" s="177"/>
      <c r="R257" s="45" t="s">
        <v>290</v>
      </c>
      <c r="S257" s="40" t="s">
        <v>632</v>
      </c>
      <c r="T257" s="47" t="s">
        <v>632</v>
      </c>
      <c r="U257" s="40" t="s">
        <v>650</v>
      </c>
      <c r="V257" s="40" t="s">
        <v>632</v>
      </c>
      <c r="W257" s="49"/>
      <c r="X257" s="49"/>
      <c r="Y257" s="40" t="s">
        <v>2175</v>
      </c>
      <c r="Z257" s="49"/>
      <c r="AA257" s="49"/>
    </row>
    <row r="258" spans="1:28" ht="24.75" hidden="1" outlineLevel="1" x14ac:dyDescent="0.35">
      <c r="A258" s="40"/>
      <c r="B258" s="49"/>
      <c r="C258" s="40" t="s">
        <v>294</v>
      </c>
      <c r="D258" s="40" t="s">
        <v>295</v>
      </c>
      <c r="E258" s="42">
        <f t="shared" si="82"/>
        <v>4</v>
      </c>
      <c r="F258" s="43">
        <f t="shared" si="84"/>
        <v>24</v>
      </c>
      <c r="G258" s="44">
        <v>8</v>
      </c>
      <c r="H258" s="44">
        <v>1</v>
      </c>
      <c r="I258" s="44">
        <v>0</v>
      </c>
      <c r="J258" s="44">
        <v>0</v>
      </c>
      <c r="K258" s="44">
        <f t="shared" si="83"/>
        <v>255</v>
      </c>
      <c r="L258" s="44">
        <v>0</v>
      </c>
      <c r="M258" s="41" t="s">
        <v>85</v>
      </c>
      <c r="N258" s="44">
        <f t="shared" si="76"/>
        <v>3</v>
      </c>
      <c r="O258" s="45" t="s">
        <v>296</v>
      </c>
      <c r="P258" s="177"/>
      <c r="Q258" s="177"/>
      <c r="R258" s="45" t="s">
        <v>290</v>
      </c>
      <c r="S258" s="40" t="s">
        <v>632</v>
      </c>
      <c r="T258" s="47" t="s">
        <v>632</v>
      </c>
      <c r="U258" s="47" t="s">
        <v>651</v>
      </c>
      <c r="V258" s="47" t="s">
        <v>632</v>
      </c>
      <c r="W258" s="48"/>
      <c r="X258" s="48"/>
      <c r="Y258" s="40" t="s">
        <v>2176</v>
      </c>
      <c r="Z258" s="48"/>
      <c r="AA258" s="48"/>
    </row>
    <row r="259" spans="1:28" ht="24.75" hidden="1" outlineLevel="1" x14ac:dyDescent="0.35">
      <c r="A259" s="40"/>
      <c r="B259" s="49"/>
      <c r="C259" s="40" t="s">
        <v>297</v>
      </c>
      <c r="D259" s="40" t="s">
        <v>1467</v>
      </c>
      <c r="E259" s="42">
        <f t="shared" si="82"/>
        <v>5</v>
      </c>
      <c r="F259" s="43">
        <f t="shared" si="84"/>
        <v>32</v>
      </c>
      <c r="G259" s="44">
        <v>8</v>
      </c>
      <c r="H259" s="44">
        <v>1</v>
      </c>
      <c r="I259" s="44">
        <v>0</v>
      </c>
      <c r="J259" s="44">
        <v>0</v>
      </c>
      <c r="K259" s="44">
        <f t="shared" si="83"/>
        <v>255</v>
      </c>
      <c r="L259" s="44">
        <v>0</v>
      </c>
      <c r="M259" s="41" t="s">
        <v>85</v>
      </c>
      <c r="N259" s="44">
        <f t="shared" si="76"/>
        <v>3</v>
      </c>
      <c r="O259" s="51" t="s">
        <v>298</v>
      </c>
      <c r="P259" s="177"/>
      <c r="Q259" s="177"/>
      <c r="R259" s="45"/>
      <c r="S259" s="40" t="s">
        <v>632</v>
      </c>
      <c r="T259" s="47" t="s">
        <v>632</v>
      </c>
      <c r="U259" s="47"/>
      <c r="V259" s="47" t="s">
        <v>652</v>
      </c>
      <c r="W259" s="48"/>
      <c r="X259" s="48"/>
      <c r="Y259" s="40" t="s">
        <v>2177</v>
      </c>
      <c r="Z259" s="48"/>
      <c r="AA259" s="48"/>
    </row>
    <row r="260" spans="1:28" ht="24.75" hidden="1" outlineLevel="1" x14ac:dyDescent="0.35">
      <c r="A260" s="40"/>
      <c r="B260" s="49"/>
      <c r="C260" s="40" t="s">
        <v>1613</v>
      </c>
      <c r="D260" s="40" t="s">
        <v>1310</v>
      </c>
      <c r="E260" s="42">
        <f t="shared" si="82"/>
        <v>6</v>
      </c>
      <c r="F260" s="43">
        <f t="shared" si="84"/>
        <v>40</v>
      </c>
      <c r="G260" s="44">
        <v>6</v>
      </c>
      <c r="H260" s="44">
        <v>1</v>
      </c>
      <c r="I260" s="44">
        <v>0</v>
      </c>
      <c r="J260" s="44">
        <v>0</v>
      </c>
      <c r="K260" s="44">
        <f t="shared" si="83"/>
        <v>63</v>
      </c>
      <c r="L260" s="44">
        <v>0</v>
      </c>
      <c r="M260" s="41" t="s">
        <v>85</v>
      </c>
      <c r="N260" s="44">
        <f t="shared" si="76"/>
        <v>2</v>
      </c>
      <c r="O260" s="51" t="s">
        <v>1615</v>
      </c>
      <c r="P260" s="177"/>
      <c r="Q260" s="177"/>
      <c r="R260" s="45" t="s">
        <v>291</v>
      </c>
      <c r="S260" s="40" t="s">
        <v>632</v>
      </c>
      <c r="T260" s="47" t="s">
        <v>632</v>
      </c>
      <c r="U260" s="46" t="s">
        <v>1608</v>
      </c>
      <c r="V260" s="47" t="s">
        <v>632</v>
      </c>
      <c r="W260" s="48"/>
      <c r="X260" s="48"/>
      <c r="Y260" s="40" t="s">
        <v>2155</v>
      </c>
      <c r="Z260" s="48"/>
      <c r="AA260" s="48"/>
    </row>
    <row r="261" spans="1:28" ht="49.5" hidden="1" outlineLevel="1" x14ac:dyDescent="0.35">
      <c r="A261" s="55"/>
      <c r="B261" s="56"/>
      <c r="C261" s="55" t="s">
        <v>302</v>
      </c>
      <c r="D261" s="55" t="s">
        <v>1309</v>
      </c>
      <c r="E261" s="295">
        <f t="shared" si="82"/>
        <v>6</v>
      </c>
      <c r="F261" s="296">
        <f t="shared" si="84"/>
        <v>46</v>
      </c>
      <c r="G261" s="59">
        <v>2</v>
      </c>
      <c r="H261" s="59">
        <v>1</v>
      </c>
      <c r="I261" s="59">
        <v>0</v>
      </c>
      <c r="J261" s="59">
        <v>0</v>
      </c>
      <c r="K261" s="59">
        <f t="shared" si="83"/>
        <v>3</v>
      </c>
      <c r="L261" s="59">
        <v>0</v>
      </c>
      <c r="M261" s="57" t="s">
        <v>85</v>
      </c>
      <c r="N261" s="59">
        <f t="shared" si="76"/>
        <v>1</v>
      </c>
      <c r="O261" s="64" t="s">
        <v>281</v>
      </c>
      <c r="P261" s="180"/>
      <c r="Q261" s="180"/>
      <c r="R261" s="64" t="s">
        <v>291</v>
      </c>
      <c r="S261" s="55" t="s">
        <v>632</v>
      </c>
      <c r="T261" s="58" t="s">
        <v>632</v>
      </c>
      <c r="U261" s="58" t="s">
        <v>653</v>
      </c>
      <c r="V261" s="58" t="s">
        <v>632</v>
      </c>
      <c r="W261" s="60"/>
      <c r="X261" s="60"/>
      <c r="Y261" s="55" t="s">
        <v>2178</v>
      </c>
      <c r="Z261" s="60"/>
      <c r="AA261" s="60"/>
    </row>
    <row r="262" spans="1:28" ht="61.9" hidden="1" outlineLevel="1" x14ac:dyDescent="0.35">
      <c r="A262" s="40"/>
      <c r="B262" s="49"/>
      <c r="C262" s="40" t="s">
        <v>774</v>
      </c>
      <c r="D262" s="40" t="s">
        <v>1745</v>
      </c>
      <c r="E262" s="42">
        <f t="shared" ref="E262:E263" si="85">IF(INT((F262 + G262-1) / 8) + 1 = INT(F262 / 8) + 1, INT(F262 / 8) + 1, INT(F262 / 8) + 1 &amp; "-" &amp; INT((F262 + G262 - 1) / 8) + 1)</f>
        <v>7</v>
      </c>
      <c r="F262" s="43">
        <f t="shared" ref="F262:F263" si="86">F261+G261</f>
        <v>48</v>
      </c>
      <c r="G262" s="44">
        <v>4</v>
      </c>
      <c r="H262" s="44">
        <v>1</v>
      </c>
      <c r="I262" s="44">
        <v>0</v>
      </c>
      <c r="J262" s="44">
        <v>0</v>
      </c>
      <c r="K262" s="44">
        <f t="shared" ref="K262:K263" si="87">(POWER(2,G262)-1)*H262+I262</f>
        <v>15</v>
      </c>
      <c r="L262" s="44">
        <v>0</v>
      </c>
      <c r="M262" s="41" t="s">
        <v>85</v>
      </c>
      <c r="N262" s="44">
        <f t="shared" ref="N262:N263" si="88">LEN(K262)</f>
        <v>2</v>
      </c>
      <c r="O262" s="49" t="s">
        <v>1758</v>
      </c>
      <c r="P262" s="57"/>
      <c r="Q262" s="41"/>
      <c r="R262" s="63"/>
      <c r="S262" s="40" t="s">
        <v>632</v>
      </c>
      <c r="T262" s="47" t="s">
        <v>632</v>
      </c>
      <c r="U262" s="47" t="s">
        <v>638</v>
      </c>
      <c r="V262" s="47" t="s">
        <v>639</v>
      </c>
      <c r="W262" s="48"/>
      <c r="X262" s="60"/>
      <c r="Y262" s="55" t="s">
        <v>1745</v>
      </c>
      <c r="Z262" s="48"/>
      <c r="AA262" s="60"/>
    </row>
    <row r="263" spans="1:28" ht="24.75" hidden="1" outlineLevel="1" x14ac:dyDescent="0.35">
      <c r="A263" s="40"/>
      <c r="B263" s="49"/>
      <c r="C263" s="46" t="s">
        <v>1878</v>
      </c>
      <c r="D263" s="46" t="s">
        <v>1879</v>
      </c>
      <c r="E263" s="42">
        <f t="shared" si="85"/>
        <v>7</v>
      </c>
      <c r="F263" s="43">
        <f t="shared" si="86"/>
        <v>52</v>
      </c>
      <c r="G263" s="44">
        <v>4</v>
      </c>
      <c r="H263" s="44">
        <v>1</v>
      </c>
      <c r="I263" s="44">
        <v>0</v>
      </c>
      <c r="J263" s="44">
        <v>0</v>
      </c>
      <c r="K263" s="44">
        <f t="shared" si="87"/>
        <v>15</v>
      </c>
      <c r="L263" s="44">
        <v>0</v>
      </c>
      <c r="M263" s="41" t="s">
        <v>932</v>
      </c>
      <c r="N263" s="44">
        <f t="shared" si="88"/>
        <v>2</v>
      </c>
      <c r="O263" s="49"/>
      <c r="P263" s="41"/>
      <c r="Q263" s="41"/>
      <c r="R263" s="50" t="s">
        <v>1913</v>
      </c>
      <c r="S263" s="40" t="s">
        <v>632</v>
      </c>
      <c r="T263" s="47" t="s">
        <v>632</v>
      </c>
      <c r="U263" s="47" t="s">
        <v>632</v>
      </c>
      <c r="V263" s="131" t="s">
        <v>632</v>
      </c>
      <c r="W263" s="48"/>
      <c r="X263" s="79"/>
      <c r="Y263" s="46" t="s">
        <v>1879</v>
      </c>
      <c r="Z263" s="381"/>
      <c r="AA263" s="65"/>
      <c r="AB263" s="353"/>
    </row>
    <row r="264" spans="1:28" collapsed="1" x14ac:dyDescent="0.35">
      <c r="A264" s="74" t="s">
        <v>1069</v>
      </c>
      <c r="B264" s="74" t="s">
        <v>654</v>
      </c>
      <c r="C264" s="297"/>
      <c r="D264" s="298"/>
      <c r="E264" s="431">
        <v>5</v>
      </c>
      <c r="F264" s="299"/>
      <c r="G264" s="297"/>
      <c r="H264" s="297"/>
      <c r="I264" s="297"/>
      <c r="J264" s="297"/>
      <c r="K264" s="297"/>
      <c r="L264" s="297"/>
      <c r="M264" s="297"/>
      <c r="N264" s="239">
        <f>SUM(N265:N268)</f>
        <v>13</v>
      </c>
      <c r="O264" s="297"/>
      <c r="P264" s="299"/>
      <c r="Q264" s="299"/>
      <c r="R264" s="297"/>
      <c r="S264" s="300"/>
      <c r="T264" s="300"/>
      <c r="U264" s="300"/>
      <c r="V264" s="300"/>
      <c r="W264" s="297"/>
      <c r="X264" s="297"/>
      <c r="Y264" s="298"/>
      <c r="Z264" s="297"/>
      <c r="AA264" s="297"/>
    </row>
    <row r="265" spans="1:28" ht="61.9" hidden="1" outlineLevel="1" x14ac:dyDescent="0.35">
      <c r="A265" s="65"/>
      <c r="B265" s="65"/>
      <c r="C265" s="67" t="s">
        <v>303</v>
      </c>
      <c r="D265" s="80" t="s">
        <v>304</v>
      </c>
      <c r="E265" s="66">
        <f>IF(INT((F265 + G265-1) / 8) + 1 = INT(F265 / 8) + 1, INT(F265 / 8) + 1, INT(F265 / 8) + 1 &amp; "-" &amp; INT((F265 + G265 - 1) / 8) + 1)</f>
        <v>1</v>
      </c>
      <c r="F265" s="68">
        <v>0</v>
      </c>
      <c r="G265" s="68">
        <v>8</v>
      </c>
      <c r="H265" s="68">
        <v>1</v>
      </c>
      <c r="I265" s="68">
        <v>0</v>
      </c>
      <c r="J265" s="68">
        <v>0</v>
      </c>
      <c r="K265" s="68">
        <f>(POWER(2,G265)-1)*H265+I265</f>
        <v>255</v>
      </c>
      <c r="L265" s="68">
        <v>0</v>
      </c>
      <c r="M265" s="69" t="s">
        <v>85</v>
      </c>
      <c r="N265" s="44">
        <f t="shared" si="76"/>
        <v>3</v>
      </c>
      <c r="O265" s="105" t="s">
        <v>2469</v>
      </c>
      <c r="P265" s="68"/>
      <c r="Q265" s="68"/>
      <c r="R265" s="65"/>
      <c r="S265" s="67" t="s">
        <v>632</v>
      </c>
      <c r="T265" s="67" t="s">
        <v>632</v>
      </c>
      <c r="U265" s="67" t="s">
        <v>655</v>
      </c>
      <c r="V265" s="67" t="s">
        <v>655</v>
      </c>
      <c r="W265" s="65"/>
      <c r="X265" s="65"/>
      <c r="Y265" s="80" t="s">
        <v>304</v>
      </c>
      <c r="Z265" s="65"/>
      <c r="AA265" s="65"/>
    </row>
    <row r="266" spans="1:28" ht="24.75" hidden="1" outlineLevel="1" x14ac:dyDescent="0.35">
      <c r="A266" s="65"/>
      <c r="B266" s="65"/>
      <c r="C266" s="67" t="s">
        <v>305</v>
      </c>
      <c r="D266" s="80" t="s">
        <v>306</v>
      </c>
      <c r="E266" s="66" t="str">
        <f>IF(INT((F266 + G266-1) / 8) + 1 = INT(F266 / 8) + 1, INT(F266 / 8) + 1, INT(F266 / 8) + 1 &amp; "-" &amp; INT((F266 + G266 - 1) / 8) + 1)</f>
        <v>2-3</v>
      </c>
      <c r="F266" s="70">
        <f>F265+G265</f>
        <v>8</v>
      </c>
      <c r="G266" s="68">
        <v>16</v>
      </c>
      <c r="H266" s="68">
        <v>0.1</v>
      </c>
      <c r="I266" s="68">
        <v>-40</v>
      </c>
      <c r="J266" s="68">
        <v>0</v>
      </c>
      <c r="K266" s="68">
        <f>(POWER(2,G266)-1)*H266+I266</f>
        <v>6513.5</v>
      </c>
      <c r="L266" s="68">
        <v>0</v>
      </c>
      <c r="M266" s="69" t="s">
        <v>742</v>
      </c>
      <c r="N266" s="44">
        <f t="shared" si="76"/>
        <v>6</v>
      </c>
      <c r="O266" s="71"/>
      <c r="P266" s="69"/>
      <c r="Q266" s="69"/>
      <c r="R266" s="65"/>
      <c r="S266" s="67" t="s">
        <v>632</v>
      </c>
      <c r="T266" s="67" t="s">
        <v>632</v>
      </c>
      <c r="U266" s="67" t="s">
        <v>656</v>
      </c>
      <c r="V266" s="67" t="s">
        <v>656</v>
      </c>
      <c r="W266" s="65"/>
      <c r="X266" s="65"/>
      <c r="Y266" s="80" t="s">
        <v>306</v>
      </c>
      <c r="Z266" s="65"/>
      <c r="AA266" s="65"/>
    </row>
    <row r="267" spans="1:28" ht="24.75" hidden="1" outlineLevel="1" x14ac:dyDescent="0.35">
      <c r="A267" s="306"/>
      <c r="B267" s="306"/>
      <c r="C267" s="281" t="s">
        <v>307</v>
      </c>
      <c r="D267" s="235" t="s">
        <v>308</v>
      </c>
      <c r="E267" s="171">
        <f>IF(INT((F267 + G267-1) / 8) + 1 = INT(F267 / 8) + 1, INT(F267 / 8) + 1, INT(F267 / 8) + 1 &amp; "-" &amp; INT((F267 + G267 - 1) / 8) + 1)</f>
        <v>4</v>
      </c>
      <c r="F267" s="430">
        <f>F266+G266</f>
        <v>24</v>
      </c>
      <c r="G267" s="236">
        <v>8</v>
      </c>
      <c r="H267" s="236">
        <v>1</v>
      </c>
      <c r="I267" s="236">
        <v>0</v>
      </c>
      <c r="J267" s="236">
        <v>0</v>
      </c>
      <c r="K267" s="307">
        <v>1</v>
      </c>
      <c r="L267" s="236">
        <v>0</v>
      </c>
      <c r="M267" s="170" t="s">
        <v>938</v>
      </c>
      <c r="N267" s="59">
        <f t="shared" si="76"/>
        <v>1</v>
      </c>
      <c r="O267" s="281"/>
      <c r="P267" s="170"/>
      <c r="Q267" s="170"/>
      <c r="R267" s="306"/>
      <c r="S267" s="289" t="s">
        <v>632</v>
      </c>
      <c r="T267" s="289" t="s">
        <v>632</v>
      </c>
      <c r="U267" s="289" t="s">
        <v>657</v>
      </c>
      <c r="V267" s="289" t="s">
        <v>657</v>
      </c>
      <c r="W267" s="306"/>
      <c r="X267" s="306"/>
      <c r="Y267" s="235" t="s">
        <v>2179</v>
      </c>
      <c r="Z267" s="306"/>
      <c r="AA267" s="306"/>
    </row>
    <row r="268" spans="1:28" ht="24.75" hidden="1" outlineLevel="1" x14ac:dyDescent="0.35">
      <c r="A268" s="65"/>
      <c r="B268" s="65"/>
      <c r="C268" s="71" t="s">
        <v>1807</v>
      </c>
      <c r="D268" s="80" t="s">
        <v>1808</v>
      </c>
      <c r="E268" s="66">
        <f>IF(INT((F268 + G268-1) / 8) + 1 = INT(F268 / 8) + 1, INT(F268 / 8) + 1, INT(F268 / 8) + 1 &amp; "-" &amp; INT((F268 + G268 - 1) / 8) + 1)</f>
        <v>5</v>
      </c>
      <c r="F268" s="70">
        <f>F267+G267</f>
        <v>32</v>
      </c>
      <c r="G268" s="68">
        <v>8</v>
      </c>
      <c r="H268" s="68">
        <v>1</v>
      </c>
      <c r="I268" s="68">
        <v>0</v>
      </c>
      <c r="J268" s="68">
        <v>0</v>
      </c>
      <c r="K268" s="68">
        <f>(POWER(2,G268)-1)*H268+I268</f>
        <v>255</v>
      </c>
      <c r="L268" s="68">
        <v>0</v>
      </c>
      <c r="M268" s="69" t="s">
        <v>932</v>
      </c>
      <c r="N268" s="68">
        <f t="shared" si="76"/>
        <v>3</v>
      </c>
      <c r="O268" s="71"/>
      <c r="P268" s="69"/>
      <c r="Q268" s="69"/>
      <c r="R268" s="65" t="s">
        <v>1810</v>
      </c>
      <c r="S268" s="67" t="s">
        <v>632</v>
      </c>
      <c r="T268" s="67" t="s">
        <v>632</v>
      </c>
      <c r="U268" s="67" t="s">
        <v>632</v>
      </c>
      <c r="V268" s="67" t="s">
        <v>632</v>
      </c>
      <c r="W268" s="65"/>
      <c r="X268" s="65"/>
      <c r="Y268" s="80" t="s">
        <v>1808</v>
      </c>
      <c r="Z268" s="65"/>
      <c r="AA268" s="65"/>
    </row>
    <row r="269" spans="1:28" collapsed="1" x14ac:dyDescent="0.35">
      <c r="A269" s="74" t="s">
        <v>1070</v>
      </c>
      <c r="B269" s="74" t="s">
        <v>658</v>
      </c>
      <c r="C269" s="297"/>
      <c r="D269" s="298"/>
      <c r="E269" s="308">
        <v>1</v>
      </c>
      <c r="F269" s="299"/>
      <c r="G269" s="297"/>
      <c r="H269" s="297"/>
      <c r="I269" s="297"/>
      <c r="J269" s="297"/>
      <c r="K269" s="297"/>
      <c r="L269" s="297"/>
      <c r="M269" s="297"/>
      <c r="N269" s="239">
        <f>SUM(N270)</f>
        <v>1</v>
      </c>
      <c r="O269" s="297"/>
      <c r="P269" s="181"/>
      <c r="Q269" s="181"/>
      <c r="R269" s="297"/>
      <c r="S269" s="300"/>
      <c r="T269" s="300"/>
      <c r="U269" s="300"/>
      <c r="V269" s="300"/>
      <c r="W269" s="297"/>
      <c r="X269" s="297"/>
      <c r="Y269" s="298"/>
      <c r="Z269" s="297"/>
      <c r="AA269" s="297"/>
    </row>
    <row r="270" spans="1:28" ht="37.15" hidden="1" outlineLevel="1" x14ac:dyDescent="0.35">
      <c r="A270" s="71"/>
      <c r="B270" s="72"/>
      <c r="C270" s="71" t="s">
        <v>299</v>
      </c>
      <c r="D270" s="71" t="s">
        <v>1312</v>
      </c>
      <c r="E270" s="66">
        <f>IF(INT((F270 + G270-1) / 8) + 1 = INT(F270 / 8) + 1, INT(F270 / 8) + 1, INT(F270 / 8) + 1 &amp; "-" &amp; INT((F270 + G270 - 1) / 8) + 1)</f>
        <v>1</v>
      </c>
      <c r="F270" s="70">
        <v>0</v>
      </c>
      <c r="G270" s="68">
        <v>3</v>
      </c>
      <c r="H270" s="68">
        <v>1</v>
      </c>
      <c r="I270" s="68">
        <v>0</v>
      </c>
      <c r="J270" s="68">
        <v>0</v>
      </c>
      <c r="K270" s="68">
        <f>(POWER(2,G270)-1)*H270+I270</f>
        <v>7</v>
      </c>
      <c r="L270" s="68">
        <v>0</v>
      </c>
      <c r="M270" s="69" t="s">
        <v>85</v>
      </c>
      <c r="N270" s="44">
        <f t="shared" si="76"/>
        <v>1</v>
      </c>
      <c r="O270" s="73" t="s">
        <v>300</v>
      </c>
      <c r="P270" s="182"/>
      <c r="Q270" s="182"/>
      <c r="R270" s="73"/>
      <c r="S270" s="67" t="s">
        <v>352</v>
      </c>
      <c r="T270" s="67" t="s">
        <v>632</v>
      </c>
      <c r="U270" s="67" t="s">
        <v>659</v>
      </c>
      <c r="V270" s="67" t="s">
        <v>660</v>
      </c>
      <c r="W270" s="65"/>
      <c r="X270" s="65"/>
      <c r="Y270" s="71" t="s">
        <v>1312</v>
      </c>
      <c r="Z270" s="65"/>
      <c r="AA270" s="65"/>
    </row>
    <row r="271" spans="1:28" collapsed="1" x14ac:dyDescent="0.35">
      <c r="A271" s="34" t="s">
        <v>94</v>
      </c>
      <c r="B271" s="34" t="s">
        <v>95</v>
      </c>
      <c r="C271" s="34"/>
      <c r="D271" s="34"/>
      <c r="E271" s="90">
        <v>16</v>
      </c>
      <c r="F271" s="35"/>
      <c r="G271" s="36"/>
      <c r="H271" s="36"/>
      <c r="I271" s="36"/>
      <c r="J271" s="36"/>
      <c r="K271" s="36"/>
      <c r="L271" s="36"/>
      <c r="M271" s="36"/>
      <c r="N271" s="90">
        <f>SUM(N272:N282)</f>
        <v>42</v>
      </c>
      <c r="O271" s="36"/>
      <c r="P271" s="36"/>
      <c r="Q271" s="36"/>
      <c r="R271" s="37"/>
      <c r="S271" s="34"/>
      <c r="T271" s="128"/>
      <c r="U271" s="38"/>
      <c r="V271" s="38"/>
      <c r="W271" s="39"/>
      <c r="X271" s="39"/>
      <c r="Y271" s="34"/>
      <c r="Z271" s="39"/>
      <c r="AA271" s="39"/>
    </row>
    <row r="272" spans="1:28" ht="86.65" hidden="1" outlineLevel="1" x14ac:dyDescent="0.35">
      <c r="A272" s="48"/>
      <c r="B272" s="48"/>
      <c r="C272" s="47" t="s">
        <v>309</v>
      </c>
      <c r="D272" s="40" t="s">
        <v>1313</v>
      </c>
      <c r="E272" s="42">
        <f t="shared" ref="E272:E282" si="89">IF(INT((F272 + G272-1) / 8) + 1 = INT(F272 / 8) + 1, INT(F272 / 8) + 1, INT(F272 / 8) + 1 &amp; "-" &amp; INT((F272 + G272 - 1) / 8) + 1)</f>
        <v>1</v>
      </c>
      <c r="F272" s="44">
        <v>0</v>
      </c>
      <c r="G272" s="44">
        <v>8</v>
      </c>
      <c r="H272" s="44">
        <v>1</v>
      </c>
      <c r="I272" s="44">
        <v>0</v>
      </c>
      <c r="J272" s="44">
        <v>0</v>
      </c>
      <c r="K272" s="44">
        <f t="shared" ref="K272:K282" si="90">(POWER(2,G272)-1)*H272+I272</f>
        <v>255</v>
      </c>
      <c r="L272" s="44">
        <v>0</v>
      </c>
      <c r="M272" s="41" t="s">
        <v>85</v>
      </c>
      <c r="N272" s="44">
        <f t="shared" si="76"/>
        <v>3</v>
      </c>
      <c r="O272" s="40" t="s">
        <v>310</v>
      </c>
      <c r="P272" s="41"/>
      <c r="Q272" s="41"/>
      <c r="R272" s="48"/>
      <c r="S272" s="47" t="s">
        <v>632</v>
      </c>
      <c r="T272" s="47" t="s">
        <v>632</v>
      </c>
      <c r="U272" s="47" t="s">
        <v>632</v>
      </c>
      <c r="V272" s="47" t="s">
        <v>661</v>
      </c>
      <c r="W272" s="48"/>
      <c r="X272" s="48"/>
      <c r="Y272" s="40" t="s">
        <v>1313</v>
      </c>
      <c r="Z272" s="48"/>
      <c r="AA272" s="48"/>
    </row>
    <row r="273" spans="1:27" ht="24.75" hidden="1" outlineLevel="1" collapsed="1" x14ac:dyDescent="0.35">
      <c r="A273" s="48"/>
      <c r="B273" s="48"/>
      <c r="C273" s="47" t="s">
        <v>311</v>
      </c>
      <c r="D273" s="46" t="s">
        <v>1314</v>
      </c>
      <c r="E273" s="42" t="str">
        <f t="shared" si="89"/>
        <v>2-5</v>
      </c>
      <c r="F273" s="43">
        <f t="shared" ref="F273:F282" si="91">F272+G272</f>
        <v>8</v>
      </c>
      <c r="G273" s="44">
        <v>32</v>
      </c>
      <c r="H273" s="44">
        <v>1</v>
      </c>
      <c r="I273" s="44">
        <v>0</v>
      </c>
      <c r="J273" s="44">
        <v>0</v>
      </c>
      <c r="K273" s="44">
        <f t="shared" si="90"/>
        <v>4294967295</v>
      </c>
      <c r="L273" s="44">
        <v>0</v>
      </c>
      <c r="M273" s="41" t="s">
        <v>85</v>
      </c>
      <c r="N273" s="44">
        <f t="shared" si="76"/>
        <v>10</v>
      </c>
      <c r="O273" s="41"/>
      <c r="P273" s="41"/>
      <c r="Q273" s="41"/>
      <c r="R273" s="48"/>
      <c r="S273" s="47" t="s">
        <v>632</v>
      </c>
      <c r="T273" s="47" t="s">
        <v>632</v>
      </c>
      <c r="U273" s="47" t="s">
        <v>632</v>
      </c>
      <c r="V273" s="47" t="s">
        <v>662</v>
      </c>
      <c r="W273" s="48"/>
      <c r="X273" s="48"/>
      <c r="Y273" s="46" t="s">
        <v>1314</v>
      </c>
      <c r="Z273" s="48"/>
      <c r="AA273" s="48"/>
    </row>
    <row r="274" spans="1:27" ht="24.75" hidden="1" outlineLevel="1" x14ac:dyDescent="0.35">
      <c r="A274" s="50"/>
      <c r="B274" s="50"/>
      <c r="C274" s="40" t="s">
        <v>312</v>
      </c>
      <c r="D274" s="46" t="s">
        <v>313</v>
      </c>
      <c r="E274" s="42">
        <f t="shared" si="89"/>
        <v>6</v>
      </c>
      <c r="F274" s="43">
        <f t="shared" si="91"/>
        <v>40</v>
      </c>
      <c r="G274" s="44">
        <v>8</v>
      </c>
      <c r="H274" s="44">
        <v>1</v>
      </c>
      <c r="I274" s="44">
        <v>0</v>
      </c>
      <c r="J274" s="44">
        <v>0</v>
      </c>
      <c r="K274" s="44">
        <f t="shared" si="90"/>
        <v>255</v>
      </c>
      <c r="L274" s="44">
        <v>0</v>
      </c>
      <c r="M274" s="41" t="s">
        <v>85</v>
      </c>
      <c r="N274" s="44">
        <f t="shared" si="76"/>
        <v>3</v>
      </c>
      <c r="O274" s="50" t="s">
        <v>314</v>
      </c>
      <c r="P274" s="44"/>
      <c r="Q274" s="44"/>
      <c r="R274" s="50"/>
      <c r="S274" s="47" t="s">
        <v>632</v>
      </c>
      <c r="T274" s="47" t="s">
        <v>632</v>
      </c>
      <c r="U274" s="47" t="s">
        <v>632</v>
      </c>
      <c r="V274" s="47" t="s">
        <v>663</v>
      </c>
      <c r="W274" s="48"/>
      <c r="X274" s="48"/>
      <c r="Y274" s="46" t="s">
        <v>313</v>
      </c>
      <c r="Z274" s="48"/>
      <c r="AA274" s="48"/>
    </row>
    <row r="275" spans="1:27" ht="24.75" hidden="1" outlineLevel="1" collapsed="1" x14ac:dyDescent="0.35">
      <c r="A275" s="48"/>
      <c r="B275" s="48"/>
      <c r="C275" s="47" t="s">
        <v>315</v>
      </c>
      <c r="D275" s="46" t="s">
        <v>1315</v>
      </c>
      <c r="E275" s="42">
        <f t="shared" si="89"/>
        <v>7</v>
      </c>
      <c r="F275" s="43">
        <f t="shared" si="91"/>
        <v>48</v>
      </c>
      <c r="G275" s="44">
        <v>8</v>
      </c>
      <c r="H275" s="44">
        <v>1</v>
      </c>
      <c r="I275" s="44">
        <v>0</v>
      </c>
      <c r="J275" s="44">
        <v>0</v>
      </c>
      <c r="K275" s="44">
        <f t="shared" si="90"/>
        <v>255</v>
      </c>
      <c r="L275" s="44">
        <v>0</v>
      </c>
      <c r="M275" s="41" t="s">
        <v>132</v>
      </c>
      <c r="N275" s="44">
        <f t="shared" si="76"/>
        <v>3</v>
      </c>
      <c r="O275" s="40"/>
      <c r="P275" s="41"/>
      <c r="Q275" s="41"/>
      <c r="R275" s="48"/>
      <c r="S275" s="47" t="s">
        <v>632</v>
      </c>
      <c r="T275" s="47" t="s">
        <v>632</v>
      </c>
      <c r="U275" s="47" t="s">
        <v>632</v>
      </c>
      <c r="V275" s="47" t="s">
        <v>664</v>
      </c>
      <c r="W275" s="48"/>
      <c r="X275" s="48"/>
      <c r="Y275" s="46" t="s">
        <v>1315</v>
      </c>
      <c r="Z275" s="48"/>
      <c r="AA275" s="48"/>
    </row>
    <row r="276" spans="1:27" ht="24.75" hidden="1" outlineLevel="1" x14ac:dyDescent="0.35">
      <c r="A276" s="50"/>
      <c r="B276" s="50"/>
      <c r="C276" s="40" t="s">
        <v>316</v>
      </c>
      <c r="D276" s="46" t="s">
        <v>1317</v>
      </c>
      <c r="E276" s="42">
        <f t="shared" si="89"/>
        <v>8</v>
      </c>
      <c r="F276" s="43">
        <f t="shared" si="91"/>
        <v>56</v>
      </c>
      <c r="G276" s="44">
        <v>8</v>
      </c>
      <c r="H276" s="44">
        <v>1</v>
      </c>
      <c r="I276" s="44">
        <v>0</v>
      </c>
      <c r="J276" s="44">
        <v>0</v>
      </c>
      <c r="K276" s="44">
        <f t="shared" si="90"/>
        <v>255</v>
      </c>
      <c r="L276" s="44">
        <v>0</v>
      </c>
      <c r="M276" s="41" t="s">
        <v>85</v>
      </c>
      <c r="N276" s="44">
        <f t="shared" si="76"/>
        <v>3</v>
      </c>
      <c r="O276" s="50" t="s">
        <v>314</v>
      </c>
      <c r="P276" s="44"/>
      <c r="Q276" s="44"/>
      <c r="R276" s="50"/>
      <c r="S276" s="47" t="s">
        <v>632</v>
      </c>
      <c r="T276" s="47" t="s">
        <v>632</v>
      </c>
      <c r="U276" s="47" t="s">
        <v>632</v>
      </c>
      <c r="V276" s="47" t="s">
        <v>665</v>
      </c>
      <c r="W276" s="48"/>
      <c r="X276" s="48"/>
      <c r="Y276" s="46" t="s">
        <v>1317</v>
      </c>
      <c r="Z276" s="48"/>
      <c r="AA276" s="48"/>
    </row>
    <row r="277" spans="1:27" ht="24.75" hidden="1" outlineLevel="1" x14ac:dyDescent="0.35">
      <c r="A277" s="48"/>
      <c r="B277" s="48"/>
      <c r="C277" s="47" t="s">
        <v>317</v>
      </c>
      <c r="D277" s="46" t="s">
        <v>1316</v>
      </c>
      <c r="E277" s="42">
        <f t="shared" si="89"/>
        <v>9</v>
      </c>
      <c r="F277" s="43">
        <f t="shared" si="91"/>
        <v>64</v>
      </c>
      <c r="G277" s="44">
        <v>8</v>
      </c>
      <c r="H277" s="44">
        <v>1</v>
      </c>
      <c r="I277" s="44">
        <v>0</v>
      </c>
      <c r="J277" s="44">
        <v>0</v>
      </c>
      <c r="K277" s="44">
        <f t="shared" si="90"/>
        <v>255</v>
      </c>
      <c r="L277" s="44">
        <v>0</v>
      </c>
      <c r="M277" s="41" t="s">
        <v>132</v>
      </c>
      <c r="N277" s="44">
        <f t="shared" si="76"/>
        <v>3</v>
      </c>
      <c r="O277" s="40"/>
      <c r="P277" s="41"/>
      <c r="Q277" s="41"/>
      <c r="R277" s="48"/>
      <c r="S277" s="47" t="s">
        <v>632</v>
      </c>
      <c r="T277" s="47" t="s">
        <v>632</v>
      </c>
      <c r="U277" s="47" t="s">
        <v>632</v>
      </c>
      <c r="V277" s="47" t="s">
        <v>666</v>
      </c>
      <c r="W277" s="48"/>
      <c r="X277" s="48"/>
      <c r="Y277" s="46" t="s">
        <v>1316</v>
      </c>
      <c r="Z277" s="48"/>
      <c r="AA277" s="48"/>
    </row>
    <row r="278" spans="1:27" ht="24.75" hidden="1" outlineLevel="1" x14ac:dyDescent="0.35">
      <c r="A278" s="48"/>
      <c r="B278" s="48"/>
      <c r="C278" s="40" t="s">
        <v>325</v>
      </c>
      <c r="D278" s="40" t="s">
        <v>326</v>
      </c>
      <c r="E278" s="42">
        <f t="shared" si="89"/>
        <v>10</v>
      </c>
      <c r="F278" s="43">
        <f t="shared" si="91"/>
        <v>72</v>
      </c>
      <c r="G278" s="44">
        <v>8</v>
      </c>
      <c r="H278" s="44">
        <v>1</v>
      </c>
      <c r="I278" s="44">
        <v>0</v>
      </c>
      <c r="J278" s="44">
        <v>0</v>
      </c>
      <c r="K278" s="44">
        <f t="shared" si="90"/>
        <v>255</v>
      </c>
      <c r="L278" s="44">
        <v>0</v>
      </c>
      <c r="M278" s="41" t="s">
        <v>85</v>
      </c>
      <c r="N278" s="44">
        <f t="shared" si="76"/>
        <v>3</v>
      </c>
      <c r="O278" s="40" t="s">
        <v>327</v>
      </c>
      <c r="P278" s="41"/>
      <c r="Q278" s="41"/>
      <c r="R278" s="48"/>
      <c r="S278" s="40" t="s">
        <v>632</v>
      </c>
      <c r="T278" s="47" t="s">
        <v>632</v>
      </c>
      <c r="U278" s="47" t="s">
        <v>632</v>
      </c>
      <c r="V278" s="47" t="s">
        <v>667</v>
      </c>
      <c r="W278" s="48"/>
      <c r="X278" s="48"/>
      <c r="Y278" s="40" t="s">
        <v>326</v>
      </c>
      <c r="Z278" s="48"/>
      <c r="AA278" s="48"/>
    </row>
    <row r="279" spans="1:27" ht="24.75" hidden="1" outlineLevel="1" x14ac:dyDescent="0.35">
      <c r="A279" s="50"/>
      <c r="B279" s="50"/>
      <c r="C279" s="40" t="s">
        <v>328</v>
      </c>
      <c r="D279" s="46" t="s">
        <v>329</v>
      </c>
      <c r="E279" s="42" t="str">
        <f t="shared" si="89"/>
        <v>11-12</v>
      </c>
      <c r="F279" s="43">
        <f t="shared" si="91"/>
        <v>80</v>
      </c>
      <c r="G279" s="44">
        <v>16</v>
      </c>
      <c r="H279" s="44">
        <v>1</v>
      </c>
      <c r="I279" s="44">
        <v>0</v>
      </c>
      <c r="J279" s="44">
        <v>0</v>
      </c>
      <c r="K279" s="44">
        <f t="shared" si="90"/>
        <v>65535</v>
      </c>
      <c r="L279" s="44">
        <v>0</v>
      </c>
      <c r="M279" s="41" t="s">
        <v>85</v>
      </c>
      <c r="N279" s="44">
        <f t="shared" si="76"/>
        <v>5</v>
      </c>
      <c r="O279" s="41"/>
      <c r="P279" s="41"/>
      <c r="Q279" s="41"/>
      <c r="R279" s="50"/>
      <c r="S279" s="40" t="s">
        <v>632</v>
      </c>
      <c r="T279" s="47" t="s">
        <v>632</v>
      </c>
      <c r="U279" s="47" t="s">
        <v>632</v>
      </c>
      <c r="V279" s="47" t="s">
        <v>668</v>
      </c>
      <c r="W279" s="48"/>
      <c r="X279" s="48"/>
      <c r="Y279" s="46" t="s">
        <v>329</v>
      </c>
      <c r="Z279" s="48"/>
      <c r="AA279" s="48"/>
    </row>
    <row r="280" spans="1:27" ht="24.75" hidden="1" outlineLevel="1" x14ac:dyDescent="0.35">
      <c r="A280" s="48"/>
      <c r="B280" s="48"/>
      <c r="C280" s="47" t="s">
        <v>330</v>
      </c>
      <c r="D280" s="46" t="s">
        <v>1318</v>
      </c>
      <c r="E280" s="42" t="str">
        <f t="shared" si="89"/>
        <v>13-14</v>
      </c>
      <c r="F280" s="43">
        <f t="shared" si="91"/>
        <v>96</v>
      </c>
      <c r="G280" s="44">
        <v>16</v>
      </c>
      <c r="H280" s="44">
        <v>1</v>
      </c>
      <c r="I280" s="44">
        <v>0</v>
      </c>
      <c r="J280" s="44">
        <v>0</v>
      </c>
      <c r="K280" s="44">
        <f t="shared" si="90"/>
        <v>65535</v>
      </c>
      <c r="L280" s="44">
        <v>0</v>
      </c>
      <c r="M280" s="41" t="s">
        <v>121</v>
      </c>
      <c r="N280" s="44">
        <f t="shared" si="76"/>
        <v>5</v>
      </c>
      <c r="O280" s="40"/>
      <c r="P280" s="41"/>
      <c r="Q280" s="41"/>
      <c r="R280" s="48"/>
      <c r="S280" s="40" t="s">
        <v>632</v>
      </c>
      <c r="T280" s="47" t="s">
        <v>632</v>
      </c>
      <c r="U280" s="47" t="s">
        <v>632</v>
      </c>
      <c r="V280" s="47" t="s">
        <v>669</v>
      </c>
      <c r="W280" s="48"/>
      <c r="X280" s="48"/>
      <c r="Y280" s="46" t="s">
        <v>1318</v>
      </c>
      <c r="Z280" s="48"/>
      <c r="AA280" s="48"/>
    </row>
    <row r="281" spans="1:27" ht="24.75" hidden="1" outlineLevel="1" collapsed="1" x14ac:dyDescent="0.35">
      <c r="A281" s="48"/>
      <c r="B281" s="48"/>
      <c r="C281" s="47" t="s">
        <v>331</v>
      </c>
      <c r="D281" s="46" t="s">
        <v>332</v>
      </c>
      <c r="E281" s="42">
        <f t="shared" si="89"/>
        <v>15</v>
      </c>
      <c r="F281" s="43">
        <f t="shared" si="91"/>
        <v>112</v>
      </c>
      <c r="G281" s="44">
        <v>8</v>
      </c>
      <c r="H281" s="44">
        <v>1</v>
      </c>
      <c r="I281" s="44">
        <v>0</v>
      </c>
      <c r="J281" s="44">
        <v>0</v>
      </c>
      <c r="K281" s="44">
        <f t="shared" si="90"/>
        <v>255</v>
      </c>
      <c r="L281" s="44">
        <v>0</v>
      </c>
      <c r="M281" s="41" t="s">
        <v>85</v>
      </c>
      <c r="N281" s="44">
        <f t="shared" si="76"/>
        <v>3</v>
      </c>
      <c r="O281" s="40" t="s">
        <v>333</v>
      </c>
      <c r="P281" s="41"/>
      <c r="Q281" s="41"/>
      <c r="R281" s="48"/>
      <c r="S281" s="40" t="s">
        <v>632</v>
      </c>
      <c r="T281" s="47" t="s">
        <v>632</v>
      </c>
      <c r="U281" s="47" t="s">
        <v>632</v>
      </c>
      <c r="V281" s="47" t="s">
        <v>670</v>
      </c>
      <c r="W281" s="48"/>
      <c r="X281" s="48"/>
      <c r="Y281" s="46" t="s">
        <v>332</v>
      </c>
      <c r="Z281" s="48"/>
      <c r="AA281" s="48"/>
    </row>
    <row r="282" spans="1:27" ht="49.5" hidden="1" outlineLevel="1" x14ac:dyDescent="0.35">
      <c r="A282" s="55"/>
      <c r="B282" s="56"/>
      <c r="C282" s="55" t="s">
        <v>671</v>
      </c>
      <c r="D282" s="55" t="s">
        <v>1319</v>
      </c>
      <c r="E282" s="42">
        <f t="shared" si="89"/>
        <v>16</v>
      </c>
      <c r="F282" s="43">
        <f t="shared" si="91"/>
        <v>120</v>
      </c>
      <c r="G282" s="59">
        <v>2</v>
      </c>
      <c r="H282" s="59">
        <v>1</v>
      </c>
      <c r="I282" s="59">
        <v>0</v>
      </c>
      <c r="J282" s="59">
        <v>0</v>
      </c>
      <c r="K282" s="59">
        <f t="shared" si="90"/>
        <v>3</v>
      </c>
      <c r="L282" s="59">
        <v>0</v>
      </c>
      <c r="M282" s="57" t="s">
        <v>85</v>
      </c>
      <c r="N282" s="44">
        <f t="shared" si="76"/>
        <v>1</v>
      </c>
      <c r="O282" s="64" t="s">
        <v>301</v>
      </c>
      <c r="P282" s="180"/>
      <c r="Q282" s="180"/>
      <c r="R282" s="64"/>
      <c r="S282" s="58" t="s">
        <v>632</v>
      </c>
      <c r="T282" s="58" t="s">
        <v>352</v>
      </c>
      <c r="U282" s="58" t="s">
        <v>352</v>
      </c>
      <c r="V282" s="58" t="s">
        <v>671</v>
      </c>
      <c r="W282" s="60"/>
      <c r="X282" s="60"/>
      <c r="Y282" s="55" t="s">
        <v>1319</v>
      </c>
      <c r="Z282" s="60"/>
      <c r="AA282" s="60"/>
    </row>
    <row r="283" spans="1:27" collapsed="1" x14ac:dyDescent="0.35">
      <c r="A283" s="96" t="s">
        <v>791</v>
      </c>
      <c r="B283" s="96" t="s">
        <v>792</v>
      </c>
      <c r="C283" s="96"/>
      <c r="D283" s="96"/>
      <c r="E283" s="93">
        <v>3</v>
      </c>
      <c r="F283" s="97"/>
      <c r="G283" s="92"/>
      <c r="H283" s="92"/>
      <c r="I283" s="92"/>
      <c r="J283" s="92"/>
      <c r="K283" s="92"/>
      <c r="L283" s="92"/>
      <c r="M283" s="92"/>
      <c r="N283" s="90">
        <f>SUM(N284:N286)</f>
        <v>7</v>
      </c>
      <c r="O283" s="92"/>
      <c r="P283" s="92"/>
      <c r="Q283" s="92"/>
      <c r="R283" s="98"/>
      <c r="S283" s="96"/>
      <c r="T283" s="99"/>
      <c r="U283" s="99"/>
      <c r="V283" s="99"/>
      <c r="W283" s="100"/>
      <c r="X283" s="100"/>
      <c r="Y283" s="96"/>
      <c r="Z283" s="100"/>
      <c r="AA283" s="100"/>
    </row>
    <row r="284" spans="1:27" ht="24.75" hidden="1" outlineLevel="1" x14ac:dyDescent="0.35">
      <c r="A284" s="75"/>
      <c r="B284" s="75"/>
      <c r="C284" s="76" t="s">
        <v>318</v>
      </c>
      <c r="D284" s="101" t="s">
        <v>319</v>
      </c>
      <c r="E284" s="102">
        <f>IF(INT((F284 + G284-1) / 8) + 1 = INT(F284 / 8) + 1, INT(F284 / 8) + 1, INT(F284 / 8) + 1 &amp; "-" &amp; INT((F284 + G284 - 1) / 8) + 1)</f>
        <v>1</v>
      </c>
      <c r="F284" s="103">
        <v>0</v>
      </c>
      <c r="G284" s="104">
        <v>8</v>
      </c>
      <c r="H284" s="104">
        <v>1</v>
      </c>
      <c r="I284" s="104">
        <v>0</v>
      </c>
      <c r="J284" s="104">
        <v>0</v>
      </c>
      <c r="K284" s="249">
        <v>1</v>
      </c>
      <c r="L284" s="104">
        <v>0</v>
      </c>
      <c r="M284" s="78" t="s">
        <v>938</v>
      </c>
      <c r="N284" s="44">
        <f t="shared" si="76"/>
        <v>1</v>
      </c>
      <c r="O284" s="77" t="s">
        <v>320</v>
      </c>
      <c r="P284" s="69"/>
      <c r="Q284" s="78"/>
      <c r="R284" s="75"/>
      <c r="S284" s="76" t="s">
        <v>352</v>
      </c>
      <c r="T284" s="76" t="s">
        <v>352</v>
      </c>
      <c r="U284" s="76" t="s">
        <v>352</v>
      </c>
      <c r="V284" s="76" t="s">
        <v>1469</v>
      </c>
      <c r="W284" s="75"/>
      <c r="X284" s="75"/>
      <c r="Y284" s="101" t="s">
        <v>319</v>
      </c>
      <c r="Z284" s="75"/>
      <c r="AA284" s="75"/>
    </row>
    <row r="285" spans="1:27" ht="61.9" hidden="1" outlineLevel="1" x14ac:dyDescent="0.35">
      <c r="A285" s="48"/>
      <c r="B285" s="48"/>
      <c r="C285" s="47" t="s">
        <v>321</v>
      </c>
      <c r="D285" s="46" t="s">
        <v>1320</v>
      </c>
      <c r="E285" s="42">
        <f>IF(INT((F285 + G285-1) / 8) + 1 = INT(F285 / 8) + 1, INT(F285 / 8) + 1, INT(F285 / 8) + 1 &amp; "-" &amp; INT((F285 + G285 - 1) / 8) + 1)</f>
        <v>2</v>
      </c>
      <c r="F285" s="43">
        <f>F284+G284</f>
        <v>8</v>
      </c>
      <c r="G285" s="44">
        <v>8</v>
      </c>
      <c r="H285" s="44">
        <v>1</v>
      </c>
      <c r="I285" s="44">
        <v>0</v>
      </c>
      <c r="J285" s="44">
        <v>0</v>
      </c>
      <c r="K285" s="44">
        <f>(POWER(2,G285)-1)*H285+I285</f>
        <v>255</v>
      </c>
      <c r="L285" s="44">
        <v>0</v>
      </c>
      <c r="M285" s="41" t="s">
        <v>85</v>
      </c>
      <c r="N285" s="44">
        <f t="shared" si="76"/>
        <v>3</v>
      </c>
      <c r="O285" s="40" t="s">
        <v>322</v>
      </c>
      <c r="P285" s="78"/>
      <c r="Q285" s="41"/>
      <c r="R285" s="48"/>
      <c r="S285" s="76" t="s">
        <v>352</v>
      </c>
      <c r="T285" s="76" t="s">
        <v>352</v>
      </c>
      <c r="U285" s="76" t="s">
        <v>352</v>
      </c>
      <c r="V285" s="47" t="s">
        <v>672</v>
      </c>
      <c r="W285" s="48"/>
      <c r="X285" s="48"/>
      <c r="Y285" s="46" t="s">
        <v>1320</v>
      </c>
      <c r="Z285" s="48"/>
      <c r="AA285" s="48"/>
    </row>
    <row r="286" spans="1:27" ht="61.9" hidden="1" outlineLevel="1" x14ac:dyDescent="0.35">
      <c r="A286" s="60"/>
      <c r="B286" s="60"/>
      <c r="C286" s="58" t="s">
        <v>323</v>
      </c>
      <c r="D286" s="347" t="s">
        <v>1321</v>
      </c>
      <c r="E286" s="295">
        <f>IF(INT((F286 + G286-1) / 8) + 1 = INT(F286 / 8) + 1, INT(F286 / 8) + 1, INT(F286 / 8) + 1 &amp; "-" &amp; INT((F286 + G286 - 1) / 8) + 1)</f>
        <v>3</v>
      </c>
      <c r="F286" s="296">
        <f>F285+G285</f>
        <v>16</v>
      </c>
      <c r="G286" s="59">
        <v>8</v>
      </c>
      <c r="H286" s="59">
        <v>1</v>
      </c>
      <c r="I286" s="59">
        <v>0</v>
      </c>
      <c r="J286" s="59">
        <v>0</v>
      </c>
      <c r="K286" s="59">
        <f>(POWER(2,G286)-1)*H286+I286</f>
        <v>255</v>
      </c>
      <c r="L286" s="59">
        <v>0</v>
      </c>
      <c r="M286" s="57" t="s">
        <v>85</v>
      </c>
      <c r="N286" s="59">
        <f t="shared" si="76"/>
        <v>3</v>
      </c>
      <c r="O286" s="55" t="s">
        <v>324</v>
      </c>
      <c r="P286" s="57"/>
      <c r="Q286" s="57"/>
      <c r="R286" s="60"/>
      <c r="S286" s="351" t="s">
        <v>352</v>
      </c>
      <c r="T286" s="351" t="s">
        <v>352</v>
      </c>
      <c r="U286" s="351" t="s">
        <v>352</v>
      </c>
      <c r="V286" s="58" t="s">
        <v>673</v>
      </c>
      <c r="W286" s="60"/>
      <c r="X286" s="60"/>
      <c r="Y286" s="347" t="s">
        <v>1321</v>
      </c>
      <c r="Z286" s="60"/>
      <c r="AA286" s="60"/>
    </row>
    <row r="287" spans="1:27" s="352" customFormat="1" collapsed="1" x14ac:dyDescent="0.35">
      <c r="A287" s="96" t="s">
        <v>678</v>
      </c>
      <c r="B287" s="157" t="s">
        <v>1806</v>
      </c>
      <c r="C287" s="91"/>
      <c r="D287" s="94"/>
      <c r="E287" s="93">
        <v>24</v>
      </c>
      <c r="F287" s="61"/>
      <c r="G287" s="91"/>
      <c r="H287" s="91"/>
      <c r="I287" s="91"/>
      <c r="J287" s="91"/>
      <c r="K287" s="91"/>
      <c r="L287" s="91"/>
      <c r="M287" s="91"/>
      <c r="N287" s="93">
        <f>SUM(N288:N302)</f>
        <v>72</v>
      </c>
      <c r="O287" s="91"/>
      <c r="P287" s="61"/>
      <c r="Q287" s="61"/>
      <c r="R287" s="91"/>
      <c r="S287" s="95"/>
      <c r="T287" s="95"/>
      <c r="U287" s="95"/>
      <c r="V287" s="95"/>
      <c r="W287" s="91"/>
      <c r="X287" s="91"/>
      <c r="Y287" s="94"/>
      <c r="Z287" s="91"/>
      <c r="AA287" s="91"/>
    </row>
    <row r="288" spans="1:27" ht="24.75" hidden="1" outlineLevel="1" collapsed="1" x14ac:dyDescent="0.35">
      <c r="A288" s="79"/>
      <c r="B288" s="79"/>
      <c r="C288" s="67" t="s">
        <v>2371</v>
      </c>
      <c r="D288" s="80" t="s">
        <v>1460</v>
      </c>
      <c r="E288" s="66" t="str">
        <f t="shared" ref="E288:E302" si="92">IF(INT((F288 + G288-1) / 8) + 1 = INT(F288 / 8) + 1, INT(F288 / 8) + 1, INT(F288 / 8) + 1 &amp; "-" &amp; INT((F288 + G288 - 1) / 8) + 1)</f>
        <v>1-2</v>
      </c>
      <c r="F288" s="70">
        <v>0</v>
      </c>
      <c r="G288" s="68">
        <v>16</v>
      </c>
      <c r="H288" s="68">
        <v>0.1</v>
      </c>
      <c r="I288" s="68">
        <v>-40</v>
      </c>
      <c r="J288" s="68">
        <v>-40</v>
      </c>
      <c r="K288" s="68">
        <f>(POWER(2,G288)-1)*H288+I288</f>
        <v>6513.5</v>
      </c>
      <c r="L288" s="68">
        <v>0</v>
      </c>
      <c r="M288" s="68" t="s">
        <v>113</v>
      </c>
      <c r="N288" s="68">
        <f t="shared" si="76"/>
        <v>6</v>
      </c>
      <c r="O288" s="80"/>
      <c r="P288" s="68" t="s">
        <v>2243</v>
      </c>
      <c r="Q288" s="68" t="s">
        <v>1098</v>
      </c>
      <c r="R288" s="79"/>
      <c r="S288" s="67" t="s">
        <v>2382</v>
      </c>
      <c r="T288" s="81" t="s">
        <v>352</v>
      </c>
      <c r="U288" s="81" t="s">
        <v>352</v>
      </c>
      <c r="V288" s="81" t="s">
        <v>352</v>
      </c>
      <c r="W288" s="79"/>
      <c r="X288" s="79"/>
      <c r="Y288" s="80" t="s">
        <v>1460</v>
      </c>
      <c r="Z288" s="79"/>
      <c r="AA288" s="79"/>
    </row>
    <row r="289" spans="1:27" ht="24.75" hidden="1" outlineLevel="1" x14ac:dyDescent="0.35">
      <c r="A289" s="79"/>
      <c r="B289" s="79"/>
      <c r="C289" s="67" t="s">
        <v>2372</v>
      </c>
      <c r="D289" s="80" t="s">
        <v>1461</v>
      </c>
      <c r="E289" s="66" t="str">
        <f t="shared" si="92"/>
        <v>3-4</v>
      </c>
      <c r="F289" s="70">
        <f t="shared" ref="F289:F302" si="93">F288+G288</f>
        <v>16</v>
      </c>
      <c r="G289" s="68">
        <v>16</v>
      </c>
      <c r="H289" s="68">
        <v>0.1</v>
      </c>
      <c r="I289" s="68">
        <v>-40</v>
      </c>
      <c r="J289" s="68">
        <v>-40</v>
      </c>
      <c r="K289" s="68">
        <f t="shared" ref="K289:K301" si="94">(POWER(2,G289)-1)*H289+I289</f>
        <v>6513.5</v>
      </c>
      <c r="L289" s="68">
        <v>0</v>
      </c>
      <c r="M289" s="68" t="s">
        <v>113</v>
      </c>
      <c r="N289" s="68">
        <f t="shared" si="76"/>
        <v>6</v>
      </c>
      <c r="O289" s="80"/>
      <c r="P289" s="68" t="s">
        <v>2244</v>
      </c>
      <c r="Q289" s="68" t="s">
        <v>1098</v>
      </c>
      <c r="R289" s="79"/>
      <c r="S289" s="67" t="s">
        <v>2383</v>
      </c>
      <c r="T289" s="81" t="s">
        <v>352</v>
      </c>
      <c r="U289" s="81" t="s">
        <v>352</v>
      </c>
      <c r="V289" s="81" t="s">
        <v>352</v>
      </c>
      <c r="W289" s="79"/>
      <c r="X289" s="79"/>
      <c r="Y289" s="80" t="s">
        <v>1461</v>
      </c>
      <c r="Z289" s="79"/>
      <c r="AA289" s="79"/>
    </row>
    <row r="290" spans="1:27" ht="24.75" hidden="1" outlineLevel="1" x14ac:dyDescent="0.35">
      <c r="A290" s="79"/>
      <c r="B290" s="79"/>
      <c r="C290" s="67" t="s">
        <v>2373</v>
      </c>
      <c r="D290" s="80" t="s">
        <v>1462</v>
      </c>
      <c r="E290" s="66" t="str">
        <f t="shared" si="92"/>
        <v>5-6</v>
      </c>
      <c r="F290" s="70">
        <f t="shared" si="93"/>
        <v>32</v>
      </c>
      <c r="G290" s="68">
        <v>16</v>
      </c>
      <c r="H290" s="68">
        <v>0.1</v>
      </c>
      <c r="I290" s="68">
        <v>-40</v>
      </c>
      <c r="J290" s="68">
        <v>-40</v>
      </c>
      <c r="K290" s="68">
        <f t="shared" si="94"/>
        <v>6513.5</v>
      </c>
      <c r="L290" s="68">
        <v>0</v>
      </c>
      <c r="M290" s="68" t="s">
        <v>113</v>
      </c>
      <c r="N290" s="68">
        <f t="shared" si="76"/>
        <v>6</v>
      </c>
      <c r="O290" s="80"/>
      <c r="P290" s="68" t="s">
        <v>2245</v>
      </c>
      <c r="Q290" s="68" t="s">
        <v>1098</v>
      </c>
      <c r="R290" s="79"/>
      <c r="S290" s="67" t="s">
        <v>2384</v>
      </c>
      <c r="T290" s="81" t="s">
        <v>352</v>
      </c>
      <c r="U290" s="81" t="s">
        <v>352</v>
      </c>
      <c r="V290" s="81" t="s">
        <v>352</v>
      </c>
      <c r="W290" s="79"/>
      <c r="X290" s="79"/>
      <c r="Y290" s="80" t="s">
        <v>1462</v>
      </c>
      <c r="Z290" s="79"/>
      <c r="AA290" s="79"/>
    </row>
    <row r="291" spans="1:27" ht="24.75" hidden="1" outlineLevel="1" x14ac:dyDescent="0.35">
      <c r="A291" s="79"/>
      <c r="B291" s="79"/>
      <c r="C291" s="67" t="s">
        <v>2374</v>
      </c>
      <c r="D291" s="80" t="s">
        <v>1463</v>
      </c>
      <c r="E291" s="66" t="str">
        <f t="shared" si="92"/>
        <v>7-8</v>
      </c>
      <c r="F291" s="70">
        <f t="shared" si="93"/>
        <v>48</v>
      </c>
      <c r="G291" s="68">
        <v>16</v>
      </c>
      <c r="H291" s="68">
        <v>0.1</v>
      </c>
      <c r="I291" s="68">
        <v>-40</v>
      </c>
      <c r="J291" s="68">
        <v>-40</v>
      </c>
      <c r="K291" s="68">
        <f t="shared" si="94"/>
        <v>6513.5</v>
      </c>
      <c r="L291" s="68">
        <v>0</v>
      </c>
      <c r="M291" s="68" t="s">
        <v>113</v>
      </c>
      <c r="N291" s="68">
        <f t="shared" si="76"/>
        <v>6</v>
      </c>
      <c r="O291" s="80"/>
      <c r="P291" s="68" t="s">
        <v>2246</v>
      </c>
      <c r="Q291" s="68" t="s">
        <v>1098</v>
      </c>
      <c r="R291" s="79"/>
      <c r="S291" s="67" t="s">
        <v>2385</v>
      </c>
      <c r="T291" s="81" t="s">
        <v>352</v>
      </c>
      <c r="U291" s="81" t="s">
        <v>352</v>
      </c>
      <c r="V291" s="81" t="s">
        <v>352</v>
      </c>
      <c r="W291" s="79"/>
      <c r="X291" s="79"/>
      <c r="Y291" s="80" t="s">
        <v>1463</v>
      </c>
      <c r="Z291" s="79"/>
      <c r="AA291" s="79"/>
    </row>
    <row r="292" spans="1:27" ht="24.75" hidden="1" outlineLevel="1" x14ac:dyDescent="0.35">
      <c r="A292" s="79"/>
      <c r="B292" s="79"/>
      <c r="C292" s="67" t="s">
        <v>2375</v>
      </c>
      <c r="D292" s="80" t="s">
        <v>1464</v>
      </c>
      <c r="E292" s="66" t="str">
        <f t="shared" si="92"/>
        <v>9-10</v>
      </c>
      <c r="F292" s="70">
        <f t="shared" si="93"/>
        <v>64</v>
      </c>
      <c r="G292" s="263">
        <v>16</v>
      </c>
      <c r="H292" s="68">
        <v>0.1</v>
      </c>
      <c r="I292" s="68">
        <v>-40</v>
      </c>
      <c r="J292" s="68">
        <v>-40</v>
      </c>
      <c r="K292" s="68">
        <f t="shared" si="94"/>
        <v>6513.5</v>
      </c>
      <c r="L292" s="68">
        <v>0</v>
      </c>
      <c r="M292" s="68" t="s">
        <v>113</v>
      </c>
      <c r="N292" s="68">
        <f t="shared" si="76"/>
        <v>6</v>
      </c>
      <c r="O292" s="80"/>
      <c r="P292" s="68" t="s">
        <v>2247</v>
      </c>
      <c r="Q292" s="68" t="s">
        <v>1098</v>
      </c>
      <c r="R292" s="79"/>
      <c r="S292" s="67" t="s">
        <v>1569</v>
      </c>
      <c r="T292" s="81" t="s">
        <v>352</v>
      </c>
      <c r="U292" s="81" t="s">
        <v>352</v>
      </c>
      <c r="V292" s="81" t="s">
        <v>352</v>
      </c>
      <c r="W292" s="79"/>
      <c r="X292" s="79"/>
      <c r="Y292" s="80" t="s">
        <v>1464</v>
      </c>
      <c r="Z292" s="79"/>
      <c r="AA292" s="79"/>
    </row>
    <row r="293" spans="1:27" ht="24.75" hidden="1" outlineLevel="1" x14ac:dyDescent="0.35">
      <c r="A293" s="79"/>
      <c r="B293" s="79"/>
      <c r="C293" s="67" t="s">
        <v>2377</v>
      </c>
      <c r="D293" s="80" t="s">
        <v>1465</v>
      </c>
      <c r="E293" s="66" t="str">
        <f t="shared" si="92"/>
        <v>11-12</v>
      </c>
      <c r="F293" s="70">
        <f t="shared" si="93"/>
        <v>80</v>
      </c>
      <c r="G293" s="263">
        <v>16</v>
      </c>
      <c r="H293" s="68">
        <v>0.1</v>
      </c>
      <c r="I293" s="68">
        <v>-40</v>
      </c>
      <c r="J293" s="68">
        <v>-40</v>
      </c>
      <c r="K293" s="68">
        <f t="shared" si="94"/>
        <v>6513.5</v>
      </c>
      <c r="L293" s="68">
        <v>0</v>
      </c>
      <c r="M293" s="68" t="s">
        <v>113</v>
      </c>
      <c r="N293" s="68">
        <f t="shared" si="76"/>
        <v>6</v>
      </c>
      <c r="O293" s="80"/>
      <c r="P293" s="68" t="s">
        <v>2248</v>
      </c>
      <c r="Q293" s="68" t="s">
        <v>1098</v>
      </c>
      <c r="R293" s="79"/>
      <c r="S293" s="67" t="s">
        <v>1570</v>
      </c>
      <c r="T293" s="81" t="s">
        <v>352</v>
      </c>
      <c r="U293" s="81" t="s">
        <v>352</v>
      </c>
      <c r="V293" s="81" t="s">
        <v>352</v>
      </c>
      <c r="W293" s="79"/>
      <c r="X293" s="79"/>
      <c r="Y293" s="80" t="s">
        <v>1465</v>
      </c>
      <c r="Z293" s="79"/>
      <c r="AA293" s="79"/>
    </row>
    <row r="294" spans="1:27" ht="24.75" hidden="1" outlineLevel="1" x14ac:dyDescent="0.35">
      <c r="A294" s="79"/>
      <c r="B294" s="79"/>
      <c r="C294" s="67" t="s">
        <v>2376</v>
      </c>
      <c r="D294" s="80" t="s">
        <v>1466</v>
      </c>
      <c r="E294" s="66" t="str">
        <f t="shared" si="92"/>
        <v>13-14</v>
      </c>
      <c r="F294" s="70">
        <f t="shared" si="93"/>
        <v>96</v>
      </c>
      <c r="G294" s="263">
        <v>16</v>
      </c>
      <c r="H294" s="68">
        <v>0.1</v>
      </c>
      <c r="I294" s="68">
        <v>-40</v>
      </c>
      <c r="J294" s="68">
        <v>-40</v>
      </c>
      <c r="K294" s="68">
        <f t="shared" si="94"/>
        <v>6513.5</v>
      </c>
      <c r="L294" s="68">
        <v>0</v>
      </c>
      <c r="M294" s="68" t="s">
        <v>113</v>
      </c>
      <c r="N294" s="68">
        <f t="shared" si="76"/>
        <v>6</v>
      </c>
      <c r="O294" s="80"/>
      <c r="P294" s="68" t="s">
        <v>2249</v>
      </c>
      <c r="Q294" s="68" t="s">
        <v>1098</v>
      </c>
      <c r="R294" s="79"/>
      <c r="S294" s="67" t="s">
        <v>1571</v>
      </c>
      <c r="T294" s="81" t="s">
        <v>352</v>
      </c>
      <c r="U294" s="81" t="s">
        <v>352</v>
      </c>
      <c r="V294" s="81" t="s">
        <v>352</v>
      </c>
      <c r="W294" s="79"/>
      <c r="X294" s="79"/>
      <c r="Y294" s="80" t="s">
        <v>1466</v>
      </c>
      <c r="Z294" s="79"/>
      <c r="AA294" s="79"/>
    </row>
    <row r="295" spans="1:27" ht="24.75" hidden="1" outlineLevel="1" x14ac:dyDescent="0.35">
      <c r="A295" s="79"/>
      <c r="B295" s="79"/>
      <c r="C295" s="67" t="s">
        <v>683</v>
      </c>
      <c r="D295" s="80" t="s">
        <v>1323</v>
      </c>
      <c r="E295" s="66" t="str">
        <f t="shared" si="92"/>
        <v>15-16</v>
      </c>
      <c r="F295" s="70">
        <f t="shared" si="93"/>
        <v>112</v>
      </c>
      <c r="G295" s="263">
        <v>16</v>
      </c>
      <c r="H295" s="68">
        <v>0.01</v>
      </c>
      <c r="I295" s="263">
        <v>0</v>
      </c>
      <c r="J295" s="263">
        <v>0</v>
      </c>
      <c r="K295" s="68">
        <f t="shared" si="94"/>
        <v>655.35</v>
      </c>
      <c r="L295" s="68">
        <v>0</v>
      </c>
      <c r="M295" s="68" t="s">
        <v>118</v>
      </c>
      <c r="N295" s="68">
        <f t="shared" si="76"/>
        <v>6</v>
      </c>
      <c r="O295" s="80"/>
      <c r="P295" s="68" t="s">
        <v>2250</v>
      </c>
      <c r="Q295" s="68" t="s">
        <v>1098</v>
      </c>
      <c r="R295" s="79"/>
      <c r="S295" s="67" t="s">
        <v>679</v>
      </c>
      <c r="T295" s="81" t="s">
        <v>352</v>
      </c>
      <c r="U295" s="81" t="s">
        <v>352</v>
      </c>
      <c r="V295" s="81" t="s">
        <v>352</v>
      </c>
      <c r="W295" s="79"/>
      <c r="X295" s="79"/>
      <c r="Y295" s="80" t="s">
        <v>1323</v>
      </c>
      <c r="Z295" s="79"/>
      <c r="AA295" s="79"/>
    </row>
    <row r="296" spans="1:27" ht="24.75" hidden="1" outlineLevel="1" x14ac:dyDescent="0.35">
      <c r="A296" s="79"/>
      <c r="B296" s="79"/>
      <c r="C296" s="67" t="s">
        <v>684</v>
      </c>
      <c r="D296" s="80" t="s">
        <v>1322</v>
      </c>
      <c r="E296" s="66" t="str">
        <f t="shared" si="92"/>
        <v>17-18</v>
      </c>
      <c r="F296" s="70">
        <f t="shared" si="93"/>
        <v>128</v>
      </c>
      <c r="G296" s="263">
        <v>16</v>
      </c>
      <c r="H296" s="68">
        <v>0.01</v>
      </c>
      <c r="I296" s="263">
        <v>0</v>
      </c>
      <c r="J296" s="263">
        <v>0</v>
      </c>
      <c r="K296" s="68">
        <f t="shared" si="94"/>
        <v>655.35</v>
      </c>
      <c r="L296" s="68">
        <v>0</v>
      </c>
      <c r="M296" s="68" t="s">
        <v>118</v>
      </c>
      <c r="N296" s="68">
        <f t="shared" si="76"/>
        <v>6</v>
      </c>
      <c r="O296" s="80"/>
      <c r="P296" s="68" t="s">
        <v>2251</v>
      </c>
      <c r="Q296" s="68" t="s">
        <v>1098</v>
      </c>
      <c r="R296" s="79"/>
      <c r="S296" s="67" t="s">
        <v>680</v>
      </c>
      <c r="T296" s="81" t="s">
        <v>352</v>
      </c>
      <c r="U296" s="81" t="s">
        <v>352</v>
      </c>
      <c r="V296" s="81" t="s">
        <v>352</v>
      </c>
      <c r="W296" s="79"/>
      <c r="X296" s="79"/>
      <c r="Y296" s="80" t="s">
        <v>1322</v>
      </c>
      <c r="Z296" s="79"/>
      <c r="AA296" s="79"/>
    </row>
    <row r="297" spans="1:27" ht="61.9" hidden="1" outlineLevel="1" x14ac:dyDescent="0.35">
      <c r="A297" s="79"/>
      <c r="B297" s="79"/>
      <c r="C297" s="67" t="s">
        <v>2378</v>
      </c>
      <c r="D297" s="80" t="s">
        <v>1324</v>
      </c>
      <c r="E297" s="66">
        <f t="shared" si="92"/>
        <v>19</v>
      </c>
      <c r="F297" s="70">
        <f t="shared" si="93"/>
        <v>144</v>
      </c>
      <c r="G297" s="263">
        <v>8</v>
      </c>
      <c r="H297" s="68">
        <v>1</v>
      </c>
      <c r="I297" s="263">
        <v>0</v>
      </c>
      <c r="J297" s="263">
        <v>0</v>
      </c>
      <c r="K297" s="68">
        <f t="shared" si="94"/>
        <v>255</v>
      </c>
      <c r="L297" s="68">
        <v>0</v>
      </c>
      <c r="M297" s="68" t="s">
        <v>85</v>
      </c>
      <c r="N297" s="68">
        <f t="shared" si="76"/>
        <v>3</v>
      </c>
      <c r="O297" s="80" t="s">
        <v>1101</v>
      </c>
      <c r="P297" s="68" t="s">
        <v>2252</v>
      </c>
      <c r="Q297" s="68" t="s">
        <v>1098</v>
      </c>
      <c r="R297" s="79"/>
      <c r="S297" s="67" t="s">
        <v>681</v>
      </c>
      <c r="T297" s="81" t="s">
        <v>352</v>
      </c>
      <c r="U297" s="81" t="s">
        <v>352</v>
      </c>
      <c r="V297" s="81" t="s">
        <v>352</v>
      </c>
      <c r="W297" s="79"/>
      <c r="X297" s="79"/>
      <c r="Y297" s="80" t="s">
        <v>2180</v>
      </c>
      <c r="Z297" s="79"/>
      <c r="AA297" s="79"/>
    </row>
    <row r="298" spans="1:27" ht="24.75" hidden="1" outlineLevel="1" x14ac:dyDescent="0.35">
      <c r="A298" s="79"/>
      <c r="B298" s="79"/>
      <c r="C298" s="67" t="s">
        <v>2379</v>
      </c>
      <c r="D298" s="80" t="s">
        <v>1325</v>
      </c>
      <c r="E298" s="66">
        <f t="shared" si="92"/>
        <v>20</v>
      </c>
      <c r="F298" s="70">
        <f t="shared" si="93"/>
        <v>152</v>
      </c>
      <c r="G298" s="263">
        <v>8</v>
      </c>
      <c r="H298" s="68">
        <v>1</v>
      </c>
      <c r="I298" s="263">
        <v>0</v>
      </c>
      <c r="J298" s="263">
        <v>0</v>
      </c>
      <c r="K298" s="68">
        <f t="shared" si="94"/>
        <v>255</v>
      </c>
      <c r="L298" s="68">
        <v>0</v>
      </c>
      <c r="M298" s="68" t="s">
        <v>85</v>
      </c>
      <c r="N298" s="68">
        <f t="shared" si="76"/>
        <v>3</v>
      </c>
      <c r="O298" s="80"/>
      <c r="P298" s="68" t="s">
        <v>2253</v>
      </c>
      <c r="Q298" s="68" t="s">
        <v>1098</v>
      </c>
      <c r="R298" s="79"/>
      <c r="S298" s="67" t="s">
        <v>682</v>
      </c>
      <c r="T298" s="81" t="s">
        <v>352</v>
      </c>
      <c r="U298" s="81" t="s">
        <v>352</v>
      </c>
      <c r="V298" s="81" t="s">
        <v>352</v>
      </c>
      <c r="W298" s="79"/>
      <c r="X298" s="79"/>
      <c r="Y298" s="80" t="s">
        <v>2181</v>
      </c>
      <c r="Z298" s="79"/>
      <c r="AA298" s="79"/>
    </row>
    <row r="299" spans="1:27" ht="49.5" hidden="1" outlineLevel="1" x14ac:dyDescent="0.35">
      <c r="A299" s="79"/>
      <c r="B299" s="79"/>
      <c r="C299" s="67" t="s">
        <v>2470</v>
      </c>
      <c r="D299" s="80" t="s">
        <v>2477</v>
      </c>
      <c r="E299" s="66">
        <f t="shared" si="92"/>
        <v>21</v>
      </c>
      <c r="F299" s="70">
        <f t="shared" si="93"/>
        <v>160</v>
      </c>
      <c r="G299" s="263">
        <v>8</v>
      </c>
      <c r="H299" s="68">
        <v>1</v>
      </c>
      <c r="I299" s="263">
        <v>0</v>
      </c>
      <c r="J299" s="263">
        <v>0</v>
      </c>
      <c r="K299" s="68">
        <f t="shared" si="94"/>
        <v>255</v>
      </c>
      <c r="L299" s="68">
        <v>0</v>
      </c>
      <c r="M299" s="68" t="s">
        <v>932</v>
      </c>
      <c r="N299" s="68">
        <f t="shared" si="76"/>
        <v>3</v>
      </c>
      <c r="O299" s="80" t="s">
        <v>2478</v>
      </c>
      <c r="P299" s="68" t="s">
        <v>2254</v>
      </c>
      <c r="Q299" s="68" t="s">
        <v>1098</v>
      </c>
      <c r="R299" s="79"/>
      <c r="S299" s="67" t="s">
        <v>2473</v>
      </c>
      <c r="T299" s="81" t="s">
        <v>632</v>
      </c>
      <c r="U299" s="81" t="s">
        <v>632</v>
      </c>
      <c r="V299" s="81" t="s">
        <v>632</v>
      </c>
      <c r="W299" s="79"/>
      <c r="X299" s="79"/>
      <c r="Y299" s="80" t="s">
        <v>2477</v>
      </c>
      <c r="Z299" s="79"/>
      <c r="AA299" s="79"/>
    </row>
    <row r="300" spans="1:27" ht="61.9" hidden="1" outlineLevel="1" x14ac:dyDescent="0.35">
      <c r="A300" s="79"/>
      <c r="B300" s="79"/>
      <c r="C300" s="67" t="s">
        <v>2380</v>
      </c>
      <c r="D300" s="425" t="s">
        <v>2471</v>
      </c>
      <c r="E300" s="66">
        <f t="shared" si="92"/>
        <v>22</v>
      </c>
      <c r="F300" s="70">
        <f t="shared" si="93"/>
        <v>168</v>
      </c>
      <c r="G300" s="263">
        <v>8</v>
      </c>
      <c r="H300" s="68">
        <v>1</v>
      </c>
      <c r="I300" s="68">
        <v>0</v>
      </c>
      <c r="J300" s="68">
        <v>0</v>
      </c>
      <c r="K300" s="68">
        <f t="shared" si="94"/>
        <v>255</v>
      </c>
      <c r="L300" s="68">
        <v>0</v>
      </c>
      <c r="M300" s="68" t="s">
        <v>85</v>
      </c>
      <c r="N300" s="68">
        <f t="shared" si="76"/>
        <v>3</v>
      </c>
      <c r="O300" s="80" t="s">
        <v>2469</v>
      </c>
      <c r="P300" s="68" t="s">
        <v>2474</v>
      </c>
      <c r="Q300" s="68" t="s">
        <v>1098</v>
      </c>
      <c r="R300" s="79"/>
      <c r="S300" s="67" t="s">
        <v>2479</v>
      </c>
      <c r="T300" s="81" t="s">
        <v>352</v>
      </c>
      <c r="U300" s="81" t="s">
        <v>352</v>
      </c>
      <c r="V300" s="81" t="s">
        <v>352</v>
      </c>
      <c r="W300" s="79"/>
      <c r="X300" s="79"/>
      <c r="Y300" s="80" t="s">
        <v>1326</v>
      </c>
      <c r="Z300" s="79"/>
      <c r="AA300" s="79"/>
    </row>
    <row r="301" spans="1:27" ht="61.9" hidden="1" outlineLevel="1" collapsed="1" x14ac:dyDescent="0.35">
      <c r="A301" s="79"/>
      <c r="B301" s="79"/>
      <c r="C301" s="67" t="s">
        <v>2381</v>
      </c>
      <c r="D301" s="425" t="s">
        <v>2472</v>
      </c>
      <c r="E301" s="66">
        <f t="shared" si="92"/>
        <v>23</v>
      </c>
      <c r="F301" s="70">
        <f t="shared" si="93"/>
        <v>176</v>
      </c>
      <c r="G301" s="263">
        <v>8</v>
      </c>
      <c r="H301" s="68">
        <v>1</v>
      </c>
      <c r="I301" s="263">
        <v>0</v>
      </c>
      <c r="J301" s="263">
        <v>0</v>
      </c>
      <c r="K301" s="68">
        <f t="shared" si="94"/>
        <v>255</v>
      </c>
      <c r="L301" s="68">
        <v>0</v>
      </c>
      <c r="M301" s="68" t="s">
        <v>85</v>
      </c>
      <c r="N301" s="68">
        <f t="shared" si="76"/>
        <v>3</v>
      </c>
      <c r="O301" s="80" t="s">
        <v>1102</v>
      </c>
      <c r="P301" s="68" t="s">
        <v>2475</v>
      </c>
      <c r="Q301" s="68" t="s">
        <v>1098</v>
      </c>
      <c r="R301" s="79"/>
      <c r="S301" s="67" t="s">
        <v>1809</v>
      </c>
      <c r="T301" s="81" t="s">
        <v>352</v>
      </c>
      <c r="U301" s="81" t="s">
        <v>352</v>
      </c>
      <c r="V301" s="81" t="s">
        <v>352</v>
      </c>
      <c r="W301" s="79"/>
      <c r="X301" s="79"/>
      <c r="Y301" s="80" t="s">
        <v>1568</v>
      </c>
      <c r="Z301" s="79"/>
      <c r="AA301" s="79"/>
    </row>
    <row r="302" spans="1:27" ht="24.75" hidden="1" outlineLevel="1" x14ac:dyDescent="0.35">
      <c r="A302" s="65"/>
      <c r="B302" s="65"/>
      <c r="C302" s="71" t="s">
        <v>1807</v>
      </c>
      <c r="D302" s="80" t="s">
        <v>1808</v>
      </c>
      <c r="E302" s="66">
        <f t="shared" si="92"/>
        <v>24</v>
      </c>
      <c r="F302" s="70">
        <f t="shared" si="93"/>
        <v>184</v>
      </c>
      <c r="G302" s="68">
        <v>8</v>
      </c>
      <c r="H302" s="68">
        <v>1</v>
      </c>
      <c r="I302" s="68">
        <v>0</v>
      </c>
      <c r="J302" s="68">
        <v>0</v>
      </c>
      <c r="K302" s="68">
        <f>(POWER(2,G302)-1)*H302+I302</f>
        <v>255</v>
      </c>
      <c r="L302" s="68">
        <v>0</v>
      </c>
      <c r="M302" s="69" t="s">
        <v>932</v>
      </c>
      <c r="N302" s="68">
        <f t="shared" ref="N302" si="95">LEN(K302)</f>
        <v>3</v>
      </c>
      <c r="O302" s="71"/>
      <c r="P302" s="68" t="s">
        <v>2476</v>
      </c>
      <c r="Q302" s="69"/>
      <c r="R302" s="65" t="s">
        <v>1810</v>
      </c>
      <c r="S302" s="67" t="s">
        <v>632</v>
      </c>
      <c r="T302" s="67" t="s">
        <v>632</v>
      </c>
      <c r="U302" s="67" t="s">
        <v>632</v>
      </c>
      <c r="V302" s="67" t="s">
        <v>632</v>
      </c>
      <c r="W302" s="65"/>
      <c r="X302" s="65"/>
      <c r="Y302" s="80" t="s">
        <v>2182</v>
      </c>
      <c r="Z302" s="65"/>
      <c r="AA302" s="65"/>
    </row>
    <row r="303" spans="1:27" s="352" customFormat="1" collapsed="1" x14ac:dyDescent="0.35">
      <c r="A303" s="284" t="s">
        <v>345</v>
      </c>
      <c r="B303" s="284" t="s">
        <v>1071</v>
      </c>
      <c r="C303" s="91"/>
      <c r="D303" s="94"/>
      <c r="E303" s="92">
        <v>36</v>
      </c>
      <c r="F303" s="61"/>
      <c r="G303" s="91"/>
      <c r="H303" s="91"/>
      <c r="I303" s="91"/>
      <c r="J303" s="91"/>
      <c r="K303" s="91"/>
      <c r="L303" s="91"/>
      <c r="M303" s="91"/>
      <c r="N303" s="93">
        <f>SUM(N304:N321)</f>
        <v>67</v>
      </c>
      <c r="O303" s="93"/>
      <c r="P303" s="93"/>
      <c r="Q303" s="93"/>
      <c r="R303" s="91"/>
      <c r="S303" s="95"/>
      <c r="T303" s="95"/>
      <c r="U303" s="95"/>
      <c r="V303" s="95"/>
      <c r="W303" s="91"/>
      <c r="X303" s="91"/>
      <c r="Y303" s="94"/>
      <c r="Z303" s="91"/>
      <c r="AA303" s="91"/>
    </row>
    <row r="304" spans="1:27" ht="26" hidden="1" customHeight="1" outlineLevel="1" x14ac:dyDescent="0.35">
      <c r="A304" s="79"/>
      <c r="B304" s="79"/>
      <c r="C304" s="67" t="s">
        <v>411</v>
      </c>
      <c r="D304" s="80" t="s">
        <v>369</v>
      </c>
      <c r="E304" s="66" t="str">
        <f t="shared" ref="E304:E321" si="96">IF(INT((F304 + G304-1) / 8) + 1 = INT(F304 / 8) + 1, INT(F304 / 8) + 1, INT(F304 / 8) + 1 &amp; "-" &amp; INT((F304 + G304 - 1) / 8) + 1)</f>
        <v>1-2</v>
      </c>
      <c r="F304" s="68">
        <v>0</v>
      </c>
      <c r="G304" s="68">
        <v>16</v>
      </c>
      <c r="H304" s="68">
        <v>1</v>
      </c>
      <c r="I304" s="68">
        <v>0</v>
      </c>
      <c r="J304" s="68">
        <v>0</v>
      </c>
      <c r="K304" s="218">
        <v>4500</v>
      </c>
      <c r="L304" s="68">
        <v>0</v>
      </c>
      <c r="M304" s="68" t="s">
        <v>354</v>
      </c>
      <c r="N304" s="68">
        <f t="shared" si="76"/>
        <v>4</v>
      </c>
      <c r="O304" s="68"/>
      <c r="P304" s="68"/>
      <c r="Q304" s="68"/>
      <c r="R304" s="79"/>
      <c r="S304" s="81" t="s">
        <v>352</v>
      </c>
      <c r="T304" s="81" t="s">
        <v>352</v>
      </c>
      <c r="U304" s="81" t="s">
        <v>352</v>
      </c>
      <c r="V304" s="67" t="s">
        <v>411</v>
      </c>
      <c r="W304" s="79"/>
      <c r="X304" s="79"/>
      <c r="Y304" s="80" t="s">
        <v>369</v>
      </c>
      <c r="Z304" s="79"/>
      <c r="AA304" s="79"/>
    </row>
    <row r="305" spans="1:27" ht="26" hidden="1" customHeight="1" outlineLevel="1" collapsed="1" x14ac:dyDescent="0.35">
      <c r="A305" s="79"/>
      <c r="B305" s="79"/>
      <c r="C305" s="67" t="s">
        <v>931</v>
      </c>
      <c r="D305" s="80" t="s">
        <v>983</v>
      </c>
      <c r="E305" s="66" t="str">
        <f t="shared" si="96"/>
        <v>3-4</v>
      </c>
      <c r="F305" s="68">
        <f t="shared" ref="F305:F321" si="97">F304+G304</f>
        <v>16</v>
      </c>
      <c r="G305" s="68">
        <v>16</v>
      </c>
      <c r="H305" s="68">
        <v>1</v>
      </c>
      <c r="I305" s="68">
        <v>0</v>
      </c>
      <c r="J305" s="68">
        <v>0</v>
      </c>
      <c r="K305" s="218">
        <v>4500</v>
      </c>
      <c r="L305" s="68">
        <v>0</v>
      </c>
      <c r="M305" s="68" t="s">
        <v>354</v>
      </c>
      <c r="N305" s="68">
        <f t="shared" si="76"/>
        <v>4</v>
      </c>
      <c r="O305" s="80" t="s">
        <v>1007</v>
      </c>
      <c r="P305" s="68"/>
      <c r="Q305" s="68"/>
      <c r="R305" s="79"/>
      <c r="S305" s="81" t="s">
        <v>352</v>
      </c>
      <c r="T305" s="81" t="s">
        <v>352</v>
      </c>
      <c r="U305" s="81" t="s">
        <v>352</v>
      </c>
      <c r="V305" s="67" t="s">
        <v>931</v>
      </c>
      <c r="W305" s="79"/>
      <c r="X305" s="79"/>
      <c r="Y305" s="80" t="s">
        <v>983</v>
      </c>
      <c r="Z305" s="79"/>
      <c r="AA305" s="79"/>
    </row>
    <row r="306" spans="1:27" ht="26" hidden="1" customHeight="1" outlineLevel="1" x14ac:dyDescent="0.35">
      <c r="A306" s="79"/>
      <c r="B306" s="79"/>
      <c r="C306" s="67" t="s">
        <v>412</v>
      </c>
      <c r="D306" s="80" t="s">
        <v>984</v>
      </c>
      <c r="E306" s="66" t="str">
        <f t="shared" si="96"/>
        <v>5-6</v>
      </c>
      <c r="F306" s="68">
        <f t="shared" si="97"/>
        <v>32</v>
      </c>
      <c r="G306" s="68">
        <v>16</v>
      </c>
      <c r="H306" s="68">
        <v>1</v>
      </c>
      <c r="I306" s="68">
        <v>0</v>
      </c>
      <c r="J306" s="68">
        <v>0</v>
      </c>
      <c r="K306" s="218">
        <v>4500</v>
      </c>
      <c r="L306" s="68">
        <v>0</v>
      </c>
      <c r="M306" s="68" t="s">
        <v>354</v>
      </c>
      <c r="N306" s="68">
        <f t="shared" si="76"/>
        <v>4</v>
      </c>
      <c r="O306" s="68"/>
      <c r="P306" s="68"/>
      <c r="Q306" s="68"/>
      <c r="R306" s="79"/>
      <c r="S306" s="81" t="s">
        <v>352</v>
      </c>
      <c r="T306" s="81" t="s">
        <v>352</v>
      </c>
      <c r="U306" s="81" t="s">
        <v>352</v>
      </c>
      <c r="V306" s="67" t="s">
        <v>412</v>
      </c>
      <c r="W306" s="79"/>
      <c r="X306" s="79"/>
      <c r="Y306" s="80" t="s">
        <v>984</v>
      </c>
      <c r="Z306" s="79"/>
      <c r="AA306" s="79"/>
    </row>
    <row r="307" spans="1:27" ht="26" hidden="1" customHeight="1" outlineLevel="1" x14ac:dyDescent="0.35">
      <c r="A307" s="79"/>
      <c r="B307" s="79"/>
      <c r="C307" s="67" t="s">
        <v>413</v>
      </c>
      <c r="D307" s="80" t="s">
        <v>985</v>
      </c>
      <c r="E307" s="66" t="str">
        <f t="shared" si="96"/>
        <v>7-8</v>
      </c>
      <c r="F307" s="68">
        <f t="shared" si="97"/>
        <v>48</v>
      </c>
      <c r="G307" s="68">
        <v>16</v>
      </c>
      <c r="H307" s="68">
        <v>1</v>
      </c>
      <c r="I307" s="68">
        <v>0</v>
      </c>
      <c r="J307" s="68">
        <v>0</v>
      </c>
      <c r="K307" s="218">
        <v>4500</v>
      </c>
      <c r="L307" s="68">
        <v>0</v>
      </c>
      <c r="M307" s="68" t="s">
        <v>354</v>
      </c>
      <c r="N307" s="68">
        <f t="shared" si="76"/>
        <v>4</v>
      </c>
      <c r="O307" s="68"/>
      <c r="P307" s="68"/>
      <c r="Q307" s="68"/>
      <c r="R307" s="79"/>
      <c r="S307" s="81" t="s">
        <v>352</v>
      </c>
      <c r="T307" s="81" t="s">
        <v>352</v>
      </c>
      <c r="U307" s="81" t="s">
        <v>352</v>
      </c>
      <c r="V307" s="67" t="s">
        <v>413</v>
      </c>
      <c r="W307" s="79"/>
      <c r="X307" s="79"/>
      <c r="Y307" s="80" t="s">
        <v>985</v>
      </c>
      <c r="Z307" s="79"/>
      <c r="AA307" s="79"/>
    </row>
    <row r="308" spans="1:27" ht="26" hidden="1" customHeight="1" outlineLevel="1" collapsed="1" x14ac:dyDescent="0.35">
      <c r="A308" s="79"/>
      <c r="B308" s="79"/>
      <c r="C308" s="67" t="s">
        <v>414</v>
      </c>
      <c r="D308" s="80" t="s">
        <v>986</v>
      </c>
      <c r="E308" s="66" t="str">
        <f t="shared" si="96"/>
        <v>9-10</v>
      </c>
      <c r="F308" s="68">
        <f t="shared" si="97"/>
        <v>64</v>
      </c>
      <c r="G308" s="68">
        <v>16</v>
      </c>
      <c r="H308" s="68">
        <v>1</v>
      </c>
      <c r="I308" s="68">
        <v>0</v>
      </c>
      <c r="J308" s="68">
        <v>0</v>
      </c>
      <c r="K308" s="218">
        <v>4500</v>
      </c>
      <c r="L308" s="68">
        <v>0</v>
      </c>
      <c r="M308" s="68" t="s">
        <v>354</v>
      </c>
      <c r="N308" s="68">
        <f t="shared" si="76"/>
        <v>4</v>
      </c>
      <c r="O308" s="68"/>
      <c r="P308" s="68"/>
      <c r="Q308" s="68"/>
      <c r="R308" s="79"/>
      <c r="S308" s="81" t="s">
        <v>352</v>
      </c>
      <c r="T308" s="81" t="s">
        <v>352</v>
      </c>
      <c r="U308" s="81" t="s">
        <v>352</v>
      </c>
      <c r="V308" s="67" t="s">
        <v>414</v>
      </c>
      <c r="W308" s="79"/>
      <c r="X308" s="79"/>
      <c r="Y308" s="80" t="s">
        <v>986</v>
      </c>
      <c r="Z308" s="79"/>
      <c r="AA308" s="79"/>
    </row>
    <row r="309" spans="1:27" ht="26" hidden="1" customHeight="1" outlineLevel="1" x14ac:dyDescent="0.35">
      <c r="A309" s="79"/>
      <c r="B309" s="79"/>
      <c r="C309" s="67" t="s">
        <v>415</v>
      </c>
      <c r="D309" s="80" t="s">
        <v>987</v>
      </c>
      <c r="E309" s="66" t="str">
        <f t="shared" si="96"/>
        <v>11-12</v>
      </c>
      <c r="F309" s="68">
        <f t="shared" si="97"/>
        <v>80</v>
      </c>
      <c r="G309" s="68">
        <v>16</v>
      </c>
      <c r="H309" s="68">
        <v>1</v>
      </c>
      <c r="I309" s="68">
        <v>0</v>
      </c>
      <c r="J309" s="68">
        <v>0</v>
      </c>
      <c r="K309" s="218">
        <v>4500</v>
      </c>
      <c r="L309" s="68">
        <v>0</v>
      </c>
      <c r="M309" s="68" t="s">
        <v>354</v>
      </c>
      <c r="N309" s="68">
        <f t="shared" si="76"/>
        <v>4</v>
      </c>
      <c r="O309" s="68"/>
      <c r="P309" s="68"/>
      <c r="Q309" s="68"/>
      <c r="R309" s="79"/>
      <c r="S309" s="81" t="s">
        <v>352</v>
      </c>
      <c r="T309" s="81" t="s">
        <v>352</v>
      </c>
      <c r="U309" s="81" t="s">
        <v>352</v>
      </c>
      <c r="V309" s="67" t="s">
        <v>415</v>
      </c>
      <c r="W309" s="79"/>
      <c r="X309" s="79"/>
      <c r="Y309" s="80" t="s">
        <v>987</v>
      </c>
      <c r="Z309" s="79"/>
      <c r="AA309" s="79"/>
    </row>
    <row r="310" spans="1:27" ht="26" hidden="1" customHeight="1" outlineLevel="1" x14ac:dyDescent="0.35">
      <c r="A310" s="79"/>
      <c r="B310" s="79"/>
      <c r="C310" s="67" t="s">
        <v>416</v>
      </c>
      <c r="D310" s="80" t="s">
        <v>370</v>
      </c>
      <c r="E310" s="66" t="str">
        <f t="shared" si="96"/>
        <v>13-14</v>
      </c>
      <c r="F310" s="68">
        <f t="shared" si="97"/>
        <v>96</v>
      </c>
      <c r="G310" s="68">
        <v>16</v>
      </c>
      <c r="H310" s="68">
        <v>1</v>
      </c>
      <c r="I310" s="68">
        <v>0</v>
      </c>
      <c r="J310" s="68">
        <v>0</v>
      </c>
      <c r="K310" s="218">
        <v>4500</v>
      </c>
      <c r="L310" s="68">
        <v>0</v>
      </c>
      <c r="M310" s="68" t="s">
        <v>354</v>
      </c>
      <c r="N310" s="68">
        <f t="shared" si="76"/>
        <v>4</v>
      </c>
      <c r="O310" s="68"/>
      <c r="P310" s="68"/>
      <c r="Q310" s="68"/>
      <c r="R310" s="79"/>
      <c r="S310" s="81" t="s">
        <v>352</v>
      </c>
      <c r="T310" s="81" t="s">
        <v>352</v>
      </c>
      <c r="U310" s="81" t="s">
        <v>352</v>
      </c>
      <c r="V310" s="67" t="s">
        <v>416</v>
      </c>
      <c r="W310" s="79"/>
      <c r="X310" s="79"/>
      <c r="Y310" s="80" t="s">
        <v>370</v>
      </c>
      <c r="Z310" s="79"/>
      <c r="AA310" s="79"/>
    </row>
    <row r="311" spans="1:27" ht="26" hidden="1" customHeight="1" outlineLevel="1" x14ac:dyDescent="0.35">
      <c r="A311" s="79"/>
      <c r="B311" s="79"/>
      <c r="C311" s="67" t="s">
        <v>930</v>
      </c>
      <c r="D311" s="80" t="s">
        <v>988</v>
      </c>
      <c r="E311" s="66" t="str">
        <f t="shared" si="96"/>
        <v>15-16</v>
      </c>
      <c r="F311" s="68">
        <f t="shared" si="97"/>
        <v>112</v>
      </c>
      <c r="G311" s="68">
        <v>16</v>
      </c>
      <c r="H311" s="68">
        <v>1</v>
      </c>
      <c r="I311" s="68">
        <v>0</v>
      </c>
      <c r="J311" s="68">
        <v>0</v>
      </c>
      <c r="K311" s="218">
        <v>4500</v>
      </c>
      <c r="L311" s="68">
        <v>0</v>
      </c>
      <c r="M311" s="68" t="s">
        <v>354</v>
      </c>
      <c r="N311" s="68">
        <f t="shared" si="76"/>
        <v>4</v>
      </c>
      <c r="O311" s="80" t="s">
        <v>1008</v>
      </c>
      <c r="P311" s="68"/>
      <c r="Q311" s="68"/>
      <c r="R311" s="79"/>
      <c r="S311" s="81" t="s">
        <v>352</v>
      </c>
      <c r="T311" s="81" t="s">
        <v>352</v>
      </c>
      <c r="U311" s="81" t="s">
        <v>352</v>
      </c>
      <c r="V311" s="67" t="s">
        <v>930</v>
      </c>
      <c r="W311" s="79"/>
      <c r="X311" s="79"/>
      <c r="Y311" s="80" t="s">
        <v>988</v>
      </c>
      <c r="Z311" s="79"/>
      <c r="AA311" s="79"/>
    </row>
    <row r="312" spans="1:27" ht="26" hidden="1" customHeight="1" outlineLevel="1" x14ac:dyDescent="0.35">
      <c r="A312" s="79"/>
      <c r="B312" s="79"/>
      <c r="C312" s="67" t="s">
        <v>417</v>
      </c>
      <c r="D312" s="80" t="s">
        <v>989</v>
      </c>
      <c r="E312" s="66" t="str">
        <f t="shared" si="96"/>
        <v>17-18</v>
      </c>
      <c r="F312" s="68">
        <f t="shared" si="97"/>
        <v>128</v>
      </c>
      <c r="G312" s="68">
        <v>16</v>
      </c>
      <c r="H312" s="68">
        <v>1</v>
      </c>
      <c r="I312" s="68">
        <v>0</v>
      </c>
      <c r="J312" s="68">
        <v>0</v>
      </c>
      <c r="K312" s="218">
        <v>4500</v>
      </c>
      <c r="L312" s="68">
        <v>0</v>
      </c>
      <c r="M312" s="68" t="s">
        <v>354</v>
      </c>
      <c r="N312" s="68">
        <f t="shared" si="76"/>
        <v>4</v>
      </c>
      <c r="O312" s="68"/>
      <c r="P312" s="68"/>
      <c r="Q312" s="68"/>
      <c r="R312" s="79"/>
      <c r="S312" s="81" t="s">
        <v>352</v>
      </c>
      <c r="T312" s="81" t="s">
        <v>352</v>
      </c>
      <c r="U312" s="81" t="s">
        <v>352</v>
      </c>
      <c r="V312" s="67" t="s">
        <v>417</v>
      </c>
      <c r="W312" s="79"/>
      <c r="X312" s="79"/>
      <c r="Y312" s="80" t="s">
        <v>989</v>
      </c>
      <c r="Z312" s="79"/>
      <c r="AA312" s="79"/>
    </row>
    <row r="313" spans="1:27" ht="26" hidden="1" customHeight="1" outlineLevel="1" x14ac:dyDescent="0.35">
      <c r="A313" s="79"/>
      <c r="B313" s="79"/>
      <c r="C313" s="67" t="s">
        <v>418</v>
      </c>
      <c r="D313" s="80" t="s">
        <v>993</v>
      </c>
      <c r="E313" s="66" t="str">
        <f t="shared" si="96"/>
        <v>19-20</v>
      </c>
      <c r="F313" s="68">
        <f t="shared" si="97"/>
        <v>144</v>
      </c>
      <c r="G313" s="68">
        <v>16</v>
      </c>
      <c r="H313" s="68">
        <v>1</v>
      </c>
      <c r="I313" s="68">
        <v>0</v>
      </c>
      <c r="J313" s="68">
        <v>0</v>
      </c>
      <c r="K313" s="218">
        <v>4500</v>
      </c>
      <c r="L313" s="68">
        <v>0</v>
      </c>
      <c r="M313" s="68" t="s">
        <v>354</v>
      </c>
      <c r="N313" s="68">
        <f t="shared" ref="N313:N375" si="98">LEN(K313)</f>
        <v>4</v>
      </c>
      <c r="O313" s="68"/>
      <c r="P313" s="68"/>
      <c r="Q313" s="68"/>
      <c r="R313" s="79"/>
      <c r="S313" s="81" t="s">
        <v>352</v>
      </c>
      <c r="T313" s="81" t="s">
        <v>352</v>
      </c>
      <c r="U313" s="81" t="s">
        <v>352</v>
      </c>
      <c r="V313" s="67" t="s">
        <v>418</v>
      </c>
      <c r="W313" s="79"/>
      <c r="X313" s="79"/>
      <c r="Y313" s="80" t="s">
        <v>993</v>
      </c>
      <c r="Z313" s="79"/>
      <c r="AA313" s="79"/>
    </row>
    <row r="314" spans="1:27" ht="26" hidden="1" customHeight="1" outlineLevel="1" x14ac:dyDescent="0.35">
      <c r="A314" s="79"/>
      <c r="B314" s="79"/>
      <c r="C314" s="67" t="s">
        <v>419</v>
      </c>
      <c r="D314" s="80" t="s">
        <v>992</v>
      </c>
      <c r="E314" s="66" t="str">
        <f t="shared" si="96"/>
        <v>21-22</v>
      </c>
      <c r="F314" s="68">
        <f t="shared" si="97"/>
        <v>160</v>
      </c>
      <c r="G314" s="68">
        <v>16</v>
      </c>
      <c r="H314" s="68">
        <v>1</v>
      </c>
      <c r="I314" s="68">
        <v>0</v>
      </c>
      <c r="J314" s="68">
        <v>0</v>
      </c>
      <c r="K314" s="218">
        <v>4500</v>
      </c>
      <c r="L314" s="68">
        <v>0</v>
      </c>
      <c r="M314" s="68" t="s">
        <v>354</v>
      </c>
      <c r="N314" s="68">
        <f t="shared" si="98"/>
        <v>4</v>
      </c>
      <c r="O314" s="68"/>
      <c r="P314" s="68"/>
      <c r="Q314" s="68"/>
      <c r="R314" s="79"/>
      <c r="S314" s="81" t="s">
        <v>352</v>
      </c>
      <c r="T314" s="81" t="s">
        <v>352</v>
      </c>
      <c r="U314" s="81" t="s">
        <v>352</v>
      </c>
      <c r="V314" s="67" t="s">
        <v>419</v>
      </c>
      <c r="W314" s="79"/>
      <c r="X314" s="79"/>
      <c r="Y314" s="80" t="s">
        <v>992</v>
      </c>
      <c r="Z314" s="79"/>
      <c r="AA314" s="79"/>
    </row>
    <row r="315" spans="1:27" ht="26" hidden="1" customHeight="1" outlineLevel="1" x14ac:dyDescent="0.35">
      <c r="A315" s="79"/>
      <c r="B315" s="79"/>
      <c r="C315" s="67" t="s">
        <v>751</v>
      </c>
      <c r="D315" s="80" t="s">
        <v>991</v>
      </c>
      <c r="E315" s="66" t="str">
        <f t="shared" si="96"/>
        <v>23-24</v>
      </c>
      <c r="F315" s="68">
        <f t="shared" si="97"/>
        <v>176</v>
      </c>
      <c r="G315" s="68">
        <v>16</v>
      </c>
      <c r="H315" s="68">
        <v>1</v>
      </c>
      <c r="I315" s="68">
        <v>0</v>
      </c>
      <c r="J315" s="68">
        <v>0</v>
      </c>
      <c r="K315" s="218">
        <v>4500</v>
      </c>
      <c r="L315" s="68">
        <v>0</v>
      </c>
      <c r="M315" s="68" t="s">
        <v>354</v>
      </c>
      <c r="N315" s="68">
        <f t="shared" si="98"/>
        <v>4</v>
      </c>
      <c r="O315" s="68"/>
      <c r="P315" s="68"/>
      <c r="Q315" s="68"/>
      <c r="R315" s="79"/>
      <c r="S315" s="81" t="s">
        <v>352</v>
      </c>
      <c r="T315" s="81" t="s">
        <v>352</v>
      </c>
      <c r="U315" s="81" t="s">
        <v>352</v>
      </c>
      <c r="V315" s="67" t="s">
        <v>751</v>
      </c>
      <c r="W315" s="79"/>
      <c r="X315" s="79"/>
      <c r="Y315" s="80" t="s">
        <v>991</v>
      </c>
      <c r="Z315" s="79"/>
      <c r="AA315" s="79"/>
    </row>
    <row r="316" spans="1:27" ht="26" hidden="1" customHeight="1" outlineLevel="1" x14ac:dyDescent="0.35">
      <c r="A316" s="79"/>
      <c r="B316" s="79"/>
      <c r="C316" s="67" t="s">
        <v>752</v>
      </c>
      <c r="D316" s="80" t="s">
        <v>990</v>
      </c>
      <c r="E316" s="66" t="str">
        <f t="shared" si="96"/>
        <v>25-26</v>
      </c>
      <c r="F316" s="68">
        <f t="shared" si="97"/>
        <v>192</v>
      </c>
      <c r="G316" s="68">
        <v>16</v>
      </c>
      <c r="H316" s="68">
        <v>1</v>
      </c>
      <c r="I316" s="68">
        <v>0</v>
      </c>
      <c r="J316" s="68">
        <v>0</v>
      </c>
      <c r="K316" s="218">
        <v>4500</v>
      </c>
      <c r="L316" s="68">
        <v>0</v>
      </c>
      <c r="M316" s="68" t="s">
        <v>354</v>
      </c>
      <c r="N316" s="68">
        <f t="shared" si="98"/>
        <v>4</v>
      </c>
      <c r="O316" s="68"/>
      <c r="P316" s="68"/>
      <c r="Q316" s="68"/>
      <c r="R316" s="79"/>
      <c r="S316" s="81" t="s">
        <v>352</v>
      </c>
      <c r="T316" s="81" t="s">
        <v>352</v>
      </c>
      <c r="U316" s="81" t="s">
        <v>352</v>
      </c>
      <c r="V316" s="67" t="s">
        <v>752</v>
      </c>
      <c r="W316" s="79"/>
      <c r="X316" s="79"/>
      <c r="Y316" s="80" t="s">
        <v>990</v>
      </c>
      <c r="Z316" s="79"/>
      <c r="AA316" s="79"/>
    </row>
    <row r="317" spans="1:27" ht="26" hidden="1" customHeight="1" outlineLevel="1" x14ac:dyDescent="0.35">
      <c r="A317" s="79"/>
      <c r="B317" s="79"/>
      <c r="C317" s="67" t="s">
        <v>420</v>
      </c>
      <c r="D317" s="80" t="s">
        <v>371</v>
      </c>
      <c r="E317" s="66" t="str">
        <f t="shared" si="96"/>
        <v>27-28</v>
      </c>
      <c r="F317" s="68">
        <f t="shared" si="97"/>
        <v>208</v>
      </c>
      <c r="G317" s="68">
        <v>16</v>
      </c>
      <c r="H317" s="68">
        <v>1</v>
      </c>
      <c r="I317" s="68">
        <v>0</v>
      </c>
      <c r="J317" s="68">
        <v>0</v>
      </c>
      <c r="K317" s="218">
        <v>500</v>
      </c>
      <c r="L317" s="68">
        <v>0</v>
      </c>
      <c r="M317" s="68" t="s">
        <v>354</v>
      </c>
      <c r="N317" s="68">
        <f t="shared" si="98"/>
        <v>3</v>
      </c>
      <c r="O317" s="68"/>
      <c r="P317" s="68"/>
      <c r="Q317" s="68"/>
      <c r="R317" s="79"/>
      <c r="S317" s="81" t="s">
        <v>352</v>
      </c>
      <c r="T317" s="81" t="s">
        <v>352</v>
      </c>
      <c r="U317" s="81" t="s">
        <v>352</v>
      </c>
      <c r="V317" s="67" t="s">
        <v>420</v>
      </c>
      <c r="W317" s="79"/>
      <c r="X317" s="79"/>
      <c r="Y317" s="80" t="s">
        <v>371</v>
      </c>
      <c r="Z317" s="79"/>
      <c r="AA317" s="79"/>
    </row>
    <row r="318" spans="1:27" ht="26" hidden="1" customHeight="1" outlineLevel="1" x14ac:dyDescent="0.35">
      <c r="A318" s="79"/>
      <c r="B318" s="79"/>
      <c r="C318" s="67" t="s">
        <v>421</v>
      </c>
      <c r="D318" s="80" t="s">
        <v>994</v>
      </c>
      <c r="E318" s="66" t="str">
        <f t="shared" si="96"/>
        <v>29-30</v>
      </c>
      <c r="F318" s="68">
        <f t="shared" si="97"/>
        <v>224</v>
      </c>
      <c r="G318" s="68">
        <v>16</v>
      </c>
      <c r="H318" s="68">
        <v>1</v>
      </c>
      <c r="I318" s="68">
        <v>0</v>
      </c>
      <c r="J318" s="68">
        <v>0</v>
      </c>
      <c r="K318" s="218">
        <v>500</v>
      </c>
      <c r="L318" s="68">
        <v>0</v>
      </c>
      <c r="M318" s="68" t="s">
        <v>354</v>
      </c>
      <c r="N318" s="68">
        <f t="shared" si="98"/>
        <v>3</v>
      </c>
      <c r="O318" s="68"/>
      <c r="P318" s="68"/>
      <c r="Q318" s="68"/>
      <c r="R318" s="79"/>
      <c r="S318" s="81" t="s">
        <v>352</v>
      </c>
      <c r="T318" s="81" t="s">
        <v>352</v>
      </c>
      <c r="U318" s="81" t="s">
        <v>352</v>
      </c>
      <c r="V318" s="67" t="s">
        <v>421</v>
      </c>
      <c r="W318" s="79"/>
      <c r="X318" s="79"/>
      <c r="Y318" s="80" t="s">
        <v>994</v>
      </c>
      <c r="Z318" s="79"/>
      <c r="AA318" s="79"/>
    </row>
    <row r="319" spans="1:27" ht="26" hidden="1" customHeight="1" outlineLevel="1" x14ac:dyDescent="0.35">
      <c r="A319" s="79"/>
      <c r="B319" s="79"/>
      <c r="C319" s="67" t="s">
        <v>422</v>
      </c>
      <c r="D319" s="80" t="s">
        <v>995</v>
      </c>
      <c r="E319" s="66" t="str">
        <f t="shared" si="96"/>
        <v>31-32</v>
      </c>
      <c r="F319" s="68">
        <f t="shared" si="97"/>
        <v>240</v>
      </c>
      <c r="G319" s="68">
        <v>16</v>
      </c>
      <c r="H319" s="68">
        <v>1</v>
      </c>
      <c r="I319" s="68">
        <v>0</v>
      </c>
      <c r="J319" s="68">
        <v>0</v>
      </c>
      <c r="K319" s="218">
        <v>500</v>
      </c>
      <c r="L319" s="68">
        <v>0</v>
      </c>
      <c r="M319" s="68" t="s">
        <v>354</v>
      </c>
      <c r="N319" s="68">
        <f t="shared" si="98"/>
        <v>3</v>
      </c>
      <c r="O319" s="68"/>
      <c r="P319" s="68"/>
      <c r="Q319" s="68"/>
      <c r="R319" s="79"/>
      <c r="S319" s="81" t="s">
        <v>352</v>
      </c>
      <c r="T319" s="81" t="s">
        <v>352</v>
      </c>
      <c r="U319" s="81" t="s">
        <v>352</v>
      </c>
      <c r="V319" s="67" t="s">
        <v>422</v>
      </c>
      <c r="W319" s="79"/>
      <c r="X319" s="79"/>
      <c r="Y319" s="80" t="s">
        <v>995</v>
      </c>
      <c r="Z319" s="79"/>
      <c r="AA319" s="79"/>
    </row>
    <row r="320" spans="1:27" ht="26" hidden="1" customHeight="1" outlineLevel="1" x14ac:dyDescent="0.35">
      <c r="A320" s="79"/>
      <c r="B320" s="79"/>
      <c r="C320" s="67" t="s">
        <v>423</v>
      </c>
      <c r="D320" s="80" t="s">
        <v>996</v>
      </c>
      <c r="E320" s="66" t="str">
        <f t="shared" si="96"/>
        <v>33-34</v>
      </c>
      <c r="F320" s="68">
        <f t="shared" si="97"/>
        <v>256</v>
      </c>
      <c r="G320" s="68">
        <v>16</v>
      </c>
      <c r="H320" s="68">
        <v>1</v>
      </c>
      <c r="I320" s="68">
        <v>0</v>
      </c>
      <c r="J320" s="68">
        <v>0</v>
      </c>
      <c r="K320" s="218">
        <v>500</v>
      </c>
      <c r="L320" s="68">
        <v>0</v>
      </c>
      <c r="M320" s="68" t="s">
        <v>354</v>
      </c>
      <c r="N320" s="68">
        <f t="shared" si="98"/>
        <v>3</v>
      </c>
      <c r="O320" s="68"/>
      <c r="P320" s="68"/>
      <c r="Q320" s="68"/>
      <c r="R320" s="79"/>
      <c r="S320" s="81" t="s">
        <v>352</v>
      </c>
      <c r="T320" s="81" t="s">
        <v>352</v>
      </c>
      <c r="U320" s="81" t="s">
        <v>352</v>
      </c>
      <c r="V320" s="67" t="s">
        <v>423</v>
      </c>
      <c r="W320" s="79"/>
      <c r="X320" s="79"/>
      <c r="Y320" s="80" t="s">
        <v>996</v>
      </c>
      <c r="Z320" s="79"/>
      <c r="AA320" s="79"/>
    </row>
    <row r="321" spans="1:27" ht="26" hidden="1" customHeight="1" outlineLevel="1" x14ac:dyDescent="0.35">
      <c r="A321" s="79"/>
      <c r="B321" s="79"/>
      <c r="C321" s="67" t="s">
        <v>424</v>
      </c>
      <c r="D321" s="80" t="s">
        <v>997</v>
      </c>
      <c r="E321" s="66" t="str">
        <f t="shared" si="96"/>
        <v>35-36</v>
      </c>
      <c r="F321" s="68">
        <f t="shared" si="97"/>
        <v>272</v>
      </c>
      <c r="G321" s="68">
        <v>16</v>
      </c>
      <c r="H321" s="68">
        <v>1</v>
      </c>
      <c r="I321" s="68">
        <v>0</v>
      </c>
      <c r="J321" s="68">
        <v>0</v>
      </c>
      <c r="K321" s="218">
        <v>500</v>
      </c>
      <c r="L321" s="68">
        <v>0</v>
      </c>
      <c r="M321" s="68" t="s">
        <v>354</v>
      </c>
      <c r="N321" s="68">
        <f t="shared" si="98"/>
        <v>3</v>
      </c>
      <c r="O321" s="68"/>
      <c r="P321" s="68"/>
      <c r="Q321" s="68"/>
      <c r="R321" s="79"/>
      <c r="S321" s="81" t="s">
        <v>352</v>
      </c>
      <c r="T321" s="81" t="s">
        <v>352</v>
      </c>
      <c r="U321" s="81" t="s">
        <v>352</v>
      </c>
      <c r="V321" s="67" t="s">
        <v>424</v>
      </c>
      <c r="W321" s="79"/>
      <c r="X321" s="79"/>
      <c r="Y321" s="80" t="s">
        <v>997</v>
      </c>
      <c r="Z321" s="79"/>
      <c r="AA321" s="79"/>
    </row>
    <row r="322" spans="1:27" s="352" customFormat="1" collapsed="1" x14ac:dyDescent="0.35">
      <c r="A322" s="284" t="s">
        <v>346</v>
      </c>
      <c r="B322" s="284" t="s">
        <v>1072</v>
      </c>
      <c r="C322" s="91"/>
      <c r="D322" s="94"/>
      <c r="E322" s="92">
        <v>20</v>
      </c>
      <c r="F322" s="61"/>
      <c r="G322" s="61"/>
      <c r="H322" s="61"/>
      <c r="I322" s="61"/>
      <c r="J322" s="61"/>
      <c r="K322" s="61"/>
      <c r="L322" s="61"/>
      <c r="M322" s="61"/>
      <c r="N322" s="93">
        <f>SUM(N323:N332)</f>
        <v>10</v>
      </c>
      <c r="O322" s="93"/>
      <c r="P322" s="93"/>
      <c r="Q322" s="93"/>
      <c r="R322" s="91"/>
      <c r="S322" s="95"/>
      <c r="T322" s="95"/>
      <c r="U322" s="95"/>
      <c r="V322" s="95"/>
      <c r="W322" s="91"/>
      <c r="X322" s="91"/>
      <c r="Y322" s="94"/>
      <c r="Z322" s="91"/>
      <c r="AA322" s="91"/>
    </row>
    <row r="323" spans="1:27" ht="24.75" hidden="1" outlineLevel="1" x14ac:dyDescent="0.35">
      <c r="A323" s="79"/>
      <c r="B323" s="79"/>
      <c r="C323" s="67" t="s">
        <v>425</v>
      </c>
      <c r="D323" s="80" t="s">
        <v>372</v>
      </c>
      <c r="E323" s="66" t="str">
        <f t="shared" ref="E323:E332" si="99">IF(INT((F323 + G323-1) / 8) + 1 = INT(F323 / 8) + 1, INT(F323 / 8) + 1, INT(F323 / 8) + 1 &amp; "-" &amp; INT((F323 + G323 - 1) / 8) + 1)</f>
        <v>1-2</v>
      </c>
      <c r="F323" s="68">
        <v>0</v>
      </c>
      <c r="G323" s="68">
        <v>16</v>
      </c>
      <c r="H323" s="68">
        <v>1E-3</v>
      </c>
      <c r="I323" s="68">
        <v>0</v>
      </c>
      <c r="J323" s="68">
        <v>0</v>
      </c>
      <c r="K323" s="218">
        <v>5</v>
      </c>
      <c r="L323" s="68">
        <v>0</v>
      </c>
      <c r="M323" s="68" t="s">
        <v>355</v>
      </c>
      <c r="N323" s="68">
        <f t="shared" si="98"/>
        <v>1</v>
      </c>
      <c r="O323" s="68"/>
      <c r="P323" s="68"/>
      <c r="Q323" s="68"/>
      <c r="R323" s="79"/>
      <c r="S323" s="81" t="s">
        <v>352</v>
      </c>
      <c r="T323" s="81" t="s">
        <v>352</v>
      </c>
      <c r="U323" s="81" t="s">
        <v>352</v>
      </c>
      <c r="V323" s="67" t="s">
        <v>425</v>
      </c>
      <c r="W323" s="79"/>
      <c r="X323" s="79"/>
      <c r="Y323" s="80" t="s">
        <v>372</v>
      </c>
      <c r="Z323" s="79"/>
      <c r="AA323" s="79"/>
    </row>
    <row r="324" spans="1:27" ht="24.75" hidden="1" outlineLevel="1" x14ac:dyDescent="0.35">
      <c r="A324" s="79"/>
      <c r="B324" s="79"/>
      <c r="C324" s="67" t="s">
        <v>426</v>
      </c>
      <c r="D324" s="80" t="s">
        <v>998</v>
      </c>
      <c r="E324" s="66" t="str">
        <f t="shared" si="99"/>
        <v>3-4</v>
      </c>
      <c r="F324" s="68">
        <f t="shared" ref="F324:F332" si="100">F323+G323</f>
        <v>16</v>
      </c>
      <c r="G324" s="68">
        <v>16</v>
      </c>
      <c r="H324" s="68">
        <v>1E-3</v>
      </c>
      <c r="I324" s="68">
        <v>0</v>
      </c>
      <c r="J324" s="68">
        <v>0</v>
      </c>
      <c r="K324" s="218">
        <v>5</v>
      </c>
      <c r="L324" s="68">
        <v>0</v>
      </c>
      <c r="M324" s="68" t="s">
        <v>355</v>
      </c>
      <c r="N324" s="68">
        <f t="shared" si="98"/>
        <v>1</v>
      </c>
      <c r="O324" s="68"/>
      <c r="P324" s="68"/>
      <c r="Q324" s="68"/>
      <c r="R324" s="79"/>
      <c r="S324" s="81" t="s">
        <v>352</v>
      </c>
      <c r="T324" s="81" t="s">
        <v>352</v>
      </c>
      <c r="U324" s="81" t="s">
        <v>352</v>
      </c>
      <c r="V324" s="67" t="s">
        <v>426</v>
      </c>
      <c r="W324" s="79"/>
      <c r="X324" s="79"/>
      <c r="Y324" s="80" t="s">
        <v>998</v>
      </c>
      <c r="Z324" s="79"/>
      <c r="AA324" s="79"/>
    </row>
    <row r="325" spans="1:27" ht="24.75" hidden="1" outlineLevel="1" x14ac:dyDescent="0.35">
      <c r="A325" s="79"/>
      <c r="B325" s="79"/>
      <c r="C325" s="67" t="s">
        <v>427</v>
      </c>
      <c r="D325" s="80" t="s">
        <v>999</v>
      </c>
      <c r="E325" s="66" t="str">
        <f t="shared" si="99"/>
        <v>5-6</v>
      </c>
      <c r="F325" s="68">
        <f t="shared" si="100"/>
        <v>32</v>
      </c>
      <c r="G325" s="68">
        <v>16</v>
      </c>
      <c r="H325" s="68">
        <v>1E-3</v>
      </c>
      <c r="I325" s="68">
        <v>0</v>
      </c>
      <c r="J325" s="68">
        <v>0</v>
      </c>
      <c r="K325" s="218">
        <v>5</v>
      </c>
      <c r="L325" s="68">
        <v>0</v>
      </c>
      <c r="M325" s="68" t="s">
        <v>355</v>
      </c>
      <c r="N325" s="68">
        <f t="shared" si="98"/>
        <v>1</v>
      </c>
      <c r="O325" s="68"/>
      <c r="P325" s="68"/>
      <c r="Q325" s="68"/>
      <c r="R325" s="79"/>
      <c r="S325" s="81" t="s">
        <v>352</v>
      </c>
      <c r="T325" s="81" t="s">
        <v>352</v>
      </c>
      <c r="U325" s="81" t="s">
        <v>352</v>
      </c>
      <c r="V325" s="67" t="s">
        <v>427</v>
      </c>
      <c r="W325" s="79"/>
      <c r="X325" s="79"/>
      <c r="Y325" s="80" t="s">
        <v>999</v>
      </c>
      <c r="Z325" s="79"/>
      <c r="AA325" s="79"/>
    </row>
    <row r="326" spans="1:27" ht="24.75" hidden="1" outlineLevel="1" x14ac:dyDescent="0.35">
      <c r="A326" s="79"/>
      <c r="B326" s="79"/>
      <c r="C326" s="67" t="s">
        <v>428</v>
      </c>
      <c r="D326" s="80" t="s">
        <v>1000</v>
      </c>
      <c r="E326" s="66" t="str">
        <f t="shared" si="99"/>
        <v>7-8</v>
      </c>
      <c r="F326" s="68">
        <f t="shared" si="100"/>
        <v>48</v>
      </c>
      <c r="G326" s="68">
        <v>16</v>
      </c>
      <c r="H326" s="68">
        <v>1E-3</v>
      </c>
      <c r="I326" s="68">
        <v>0</v>
      </c>
      <c r="J326" s="68">
        <v>0</v>
      </c>
      <c r="K326" s="218">
        <v>5</v>
      </c>
      <c r="L326" s="68">
        <v>0</v>
      </c>
      <c r="M326" s="68" t="s">
        <v>355</v>
      </c>
      <c r="N326" s="68">
        <f t="shared" si="98"/>
        <v>1</v>
      </c>
      <c r="O326" s="68"/>
      <c r="P326" s="68"/>
      <c r="Q326" s="68"/>
      <c r="R326" s="79"/>
      <c r="S326" s="81" t="s">
        <v>352</v>
      </c>
      <c r="T326" s="81" t="s">
        <v>352</v>
      </c>
      <c r="U326" s="81" t="s">
        <v>352</v>
      </c>
      <c r="V326" s="67" t="s">
        <v>428</v>
      </c>
      <c r="W326" s="79"/>
      <c r="X326" s="79"/>
      <c r="Y326" s="80" t="s">
        <v>1000</v>
      </c>
      <c r="Z326" s="79"/>
      <c r="AA326" s="79"/>
    </row>
    <row r="327" spans="1:27" ht="24.75" hidden="1" outlineLevel="1" x14ac:dyDescent="0.35">
      <c r="A327" s="79"/>
      <c r="B327" s="79"/>
      <c r="C327" s="67" t="s">
        <v>429</v>
      </c>
      <c r="D327" s="80" t="s">
        <v>1001</v>
      </c>
      <c r="E327" s="66" t="str">
        <f t="shared" si="99"/>
        <v>9-10</v>
      </c>
      <c r="F327" s="68">
        <f t="shared" si="100"/>
        <v>64</v>
      </c>
      <c r="G327" s="68">
        <v>16</v>
      </c>
      <c r="H327" s="68">
        <v>1E-3</v>
      </c>
      <c r="I327" s="68">
        <v>0</v>
      </c>
      <c r="J327" s="68">
        <v>0</v>
      </c>
      <c r="K327" s="218">
        <v>5</v>
      </c>
      <c r="L327" s="68">
        <v>0</v>
      </c>
      <c r="M327" s="68" t="s">
        <v>355</v>
      </c>
      <c r="N327" s="68">
        <f t="shared" si="98"/>
        <v>1</v>
      </c>
      <c r="O327" s="68"/>
      <c r="P327" s="68"/>
      <c r="Q327" s="68"/>
      <c r="R327" s="79"/>
      <c r="S327" s="81" t="s">
        <v>352</v>
      </c>
      <c r="T327" s="81" t="s">
        <v>352</v>
      </c>
      <c r="U327" s="81" t="s">
        <v>352</v>
      </c>
      <c r="V327" s="67" t="s">
        <v>429</v>
      </c>
      <c r="W327" s="79"/>
      <c r="X327" s="79"/>
      <c r="Y327" s="80" t="s">
        <v>1001</v>
      </c>
      <c r="Z327" s="79"/>
      <c r="AA327" s="79"/>
    </row>
    <row r="328" spans="1:27" ht="24.75" hidden="1" outlineLevel="1" x14ac:dyDescent="0.35">
      <c r="A328" s="79"/>
      <c r="B328" s="79"/>
      <c r="C328" s="67" t="s">
        <v>430</v>
      </c>
      <c r="D328" s="80" t="s">
        <v>1002</v>
      </c>
      <c r="E328" s="66" t="str">
        <f t="shared" si="99"/>
        <v>11-12</v>
      </c>
      <c r="F328" s="68">
        <f t="shared" si="100"/>
        <v>80</v>
      </c>
      <c r="G328" s="68">
        <v>16</v>
      </c>
      <c r="H328" s="68">
        <v>1E-3</v>
      </c>
      <c r="I328" s="68">
        <v>0</v>
      </c>
      <c r="J328" s="68">
        <v>0</v>
      </c>
      <c r="K328" s="218">
        <v>5</v>
      </c>
      <c r="L328" s="68">
        <v>0</v>
      </c>
      <c r="M328" s="68" t="s">
        <v>355</v>
      </c>
      <c r="N328" s="68">
        <f t="shared" si="98"/>
        <v>1</v>
      </c>
      <c r="O328" s="68"/>
      <c r="P328" s="68"/>
      <c r="Q328" s="68"/>
      <c r="R328" s="79"/>
      <c r="S328" s="81" t="s">
        <v>352</v>
      </c>
      <c r="T328" s="81" t="s">
        <v>352</v>
      </c>
      <c r="U328" s="81" t="s">
        <v>352</v>
      </c>
      <c r="V328" s="67" t="s">
        <v>430</v>
      </c>
      <c r="W328" s="79"/>
      <c r="X328" s="79"/>
      <c r="Y328" s="80" t="s">
        <v>1002</v>
      </c>
      <c r="Z328" s="79"/>
      <c r="AA328" s="79"/>
    </row>
    <row r="329" spans="1:27" ht="24.75" hidden="1" outlineLevel="1" x14ac:dyDescent="0.35">
      <c r="A329" s="79"/>
      <c r="B329" s="79"/>
      <c r="C329" s="67" t="s">
        <v>431</v>
      </c>
      <c r="D329" s="80" t="s">
        <v>1003</v>
      </c>
      <c r="E329" s="66" t="str">
        <f t="shared" si="99"/>
        <v>13-14</v>
      </c>
      <c r="F329" s="68">
        <f t="shared" si="100"/>
        <v>96</v>
      </c>
      <c r="G329" s="68">
        <v>16</v>
      </c>
      <c r="H329" s="68">
        <v>1E-3</v>
      </c>
      <c r="I329" s="68">
        <v>0</v>
      </c>
      <c r="J329" s="68">
        <v>0</v>
      </c>
      <c r="K329" s="218">
        <v>5</v>
      </c>
      <c r="L329" s="68">
        <v>0</v>
      </c>
      <c r="M329" s="68" t="s">
        <v>355</v>
      </c>
      <c r="N329" s="68">
        <f t="shared" si="98"/>
        <v>1</v>
      </c>
      <c r="O329" s="68"/>
      <c r="P329" s="68"/>
      <c r="Q329" s="68"/>
      <c r="R329" s="79"/>
      <c r="S329" s="81" t="s">
        <v>352</v>
      </c>
      <c r="T329" s="81" t="s">
        <v>352</v>
      </c>
      <c r="U329" s="81" t="s">
        <v>352</v>
      </c>
      <c r="V329" s="67" t="s">
        <v>431</v>
      </c>
      <c r="W329" s="79"/>
      <c r="X329" s="79"/>
      <c r="Y329" s="80" t="s">
        <v>1003</v>
      </c>
      <c r="Z329" s="79"/>
      <c r="AA329" s="79"/>
    </row>
    <row r="330" spans="1:27" ht="24.75" hidden="1" outlineLevel="1" x14ac:dyDescent="0.35">
      <c r="A330" s="79"/>
      <c r="B330" s="79"/>
      <c r="C330" s="67" t="s">
        <v>432</v>
      </c>
      <c r="D330" s="80" t="s">
        <v>1004</v>
      </c>
      <c r="E330" s="66" t="str">
        <f t="shared" si="99"/>
        <v>15-16</v>
      </c>
      <c r="F330" s="68">
        <f t="shared" si="100"/>
        <v>112</v>
      </c>
      <c r="G330" s="68">
        <v>16</v>
      </c>
      <c r="H330" s="68">
        <v>1E-3</v>
      </c>
      <c r="I330" s="68">
        <v>0</v>
      </c>
      <c r="J330" s="68">
        <v>0</v>
      </c>
      <c r="K330" s="218">
        <v>5</v>
      </c>
      <c r="L330" s="68">
        <v>0</v>
      </c>
      <c r="M330" s="68" t="s">
        <v>355</v>
      </c>
      <c r="N330" s="68">
        <f t="shared" si="98"/>
        <v>1</v>
      </c>
      <c r="O330" s="68"/>
      <c r="P330" s="68"/>
      <c r="Q330" s="68"/>
      <c r="R330" s="79"/>
      <c r="S330" s="81" t="s">
        <v>352</v>
      </c>
      <c r="T330" s="81" t="s">
        <v>352</v>
      </c>
      <c r="U330" s="81" t="s">
        <v>352</v>
      </c>
      <c r="V330" s="67" t="s">
        <v>432</v>
      </c>
      <c r="W330" s="79"/>
      <c r="X330" s="79"/>
      <c r="Y330" s="80" t="s">
        <v>1004</v>
      </c>
      <c r="Z330" s="79"/>
      <c r="AA330" s="79"/>
    </row>
    <row r="331" spans="1:27" ht="24.75" hidden="1" outlineLevel="1" x14ac:dyDescent="0.35">
      <c r="A331" s="79"/>
      <c r="B331" s="79"/>
      <c r="C331" s="67" t="s">
        <v>433</v>
      </c>
      <c r="D331" s="80" t="s">
        <v>1005</v>
      </c>
      <c r="E331" s="66" t="str">
        <f t="shared" si="99"/>
        <v>17-18</v>
      </c>
      <c r="F331" s="68">
        <f t="shared" si="100"/>
        <v>128</v>
      </c>
      <c r="G331" s="68">
        <v>16</v>
      </c>
      <c r="H331" s="68">
        <v>1E-3</v>
      </c>
      <c r="I331" s="68">
        <v>0</v>
      </c>
      <c r="J331" s="68">
        <v>0</v>
      </c>
      <c r="K331" s="218">
        <v>5</v>
      </c>
      <c r="L331" s="68">
        <v>0</v>
      </c>
      <c r="M331" s="68" t="s">
        <v>355</v>
      </c>
      <c r="N331" s="68">
        <f t="shared" si="98"/>
        <v>1</v>
      </c>
      <c r="O331" s="68"/>
      <c r="P331" s="68"/>
      <c r="Q331" s="68"/>
      <c r="R331" s="79"/>
      <c r="S331" s="81" t="s">
        <v>352</v>
      </c>
      <c r="T331" s="81" t="s">
        <v>352</v>
      </c>
      <c r="U331" s="81" t="s">
        <v>352</v>
      </c>
      <c r="V331" s="67" t="s">
        <v>433</v>
      </c>
      <c r="W331" s="79"/>
      <c r="X331" s="79"/>
      <c r="Y331" s="80" t="s">
        <v>1005</v>
      </c>
      <c r="Z331" s="79"/>
      <c r="AA331" s="79"/>
    </row>
    <row r="332" spans="1:27" ht="24.75" hidden="1" outlineLevel="1" x14ac:dyDescent="0.35">
      <c r="A332" s="79"/>
      <c r="B332" s="79"/>
      <c r="C332" s="67" t="s">
        <v>434</v>
      </c>
      <c r="D332" s="80" t="s">
        <v>1006</v>
      </c>
      <c r="E332" s="66" t="str">
        <f t="shared" si="99"/>
        <v>19-20</v>
      </c>
      <c r="F332" s="68">
        <f t="shared" si="100"/>
        <v>144</v>
      </c>
      <c r="G332" s="68">
        <v>16</v>
      </c>
      <c r="H332" s="68">
        <v>1E-3</v>
      </c>
      <c r="I332" s="68">
        <v>0</v>
      </c>
      <c r="J332" s="68">
        <v>0</v>
      </c>
      <c r="K332" s="218">
        <v>5</v>
      </c>
      <c r="L332" s="68">
        <v>0</v>
      </c>
      <c r="M332" s="68" t="s">
        <v>355</v>
      </c>
      <c r="N332" s="68">
        <f t="shared" si="98"/>
        <v>1</v>
      </c>
      <c r="O332" s="68"/>
      <c r="P332" s="68"/>
      <c r="Q332" s="68"/>
      <c r="R332" s="79"/>
      <c r="S332" s="81" t="s">
        <v>352</v>
      </c>
      <c r="T332" s="81" t="s">
        <v>352</v>
      </c>
      <c r="U332" s="81" t="s">
        <v>352</v>
      </c>
      <c r="V332" s="67" t="s">
        <v>434</v>
      </c>
      <c r="W332" s="79"/>
      <c r="X332" s="79"/>
      <c r="Y332" s="80" t="s">
        <v>1006</v>
      </c>
      <c r="Z332" s="79"/>
      <c r="AA332" s="79"/>
    </row>
    <row r="333" spans="1:27" s="352" customFormat="1" ht="15" customHeight="1" collapsed="1" x14ac:dyDescent="0.35">
      <c r="A333" s="284" t="s">
        <v>348</v>
      </c>
      <c r="B333" s="284" t="s">
        <v>1073</v>
      </c>
      <c r="C333" s="91"/>
      <c r="D333" s="94"/>
      <c r="E333" s="92">
        <v>20</v>
      </c>
      <c r="F333" s="61"/>
      <c r="G333" s="61"/>
      <c r="H333" s="61"/>
      <c r="I333" s="61"/>
      <c r="J333" s="61"/>
      <c r="K333" s="61"/>
      <c r="L333" s="61"/>
      <c r="M333" s="61"/>
      <c r="N333" s="93">
        <f>SUM(N334:N343)</f>
        <v>60</v>
      </c>
      <c r="O333" s="93"/>
      <c r="P333" s="93"/>
      <c r="Q333" s="93"/>
      <c r="R333" s="91"/>
      <c r="S333" s="95"/>
      <c r="T333" s="95"/>
      <c r="U333" s="95"/>
      <c r="V333" s="95"/>
      <c r="W333" s="91"/>
      <c r="X333" s="91"/>
      <c r="Y333" s="94"/>
      <c r="Z333" s="91"/>
      <c r="AA333" s="91"/>
    </row>
    <row r="334" spans="1:27" ht="24.75" hidden="1" outlineLevel="1" x14ac:dyDescent="0.35">
      <c r="A334" s="79"/>
      <c r="B334" s="79"/>
      <c r="C334" s="67" t="s">
        <v>746</v>
      </c>
      <c r="D334" s="80" t="s">
        <v>373</v>
      </c>
      <c r="E334" s="66" t="str">
        <f t="shared" ref="E334:E343" si="101">IF(INT((F334 + G334-1) / 8) + 1 = INT(F334 / 8) + 1, INT(F334 / 8) + 1, INT(F334 / 8) + 1 &amp; "-" &amp; INT((F334 + G334 - 1) / 8) + 1)</f>
        <v>1-2</v>
      </c>
      <c r="F334" s="68">
        <v>0</v>
      </c>
      <c r="G334" s="68">
        <v>16</v>
      </c>
      <c r="H334" s="68">
        <v>0.1</v>
      </c>
      <c r="I334" s="68">
        <v>0</v>
      </c>
      <c r="J334" s="68">
        <v>0</v>
      </c>
      <c r="K334" s="68">
        <f>(POWER(2,G334)-1)*H334+I334</f>
        <v>6553.5</v>
      </c>
      <c r="L334" s="68">
        <v>0</v>
      </c>
      <c r="M334" s="68" t="s">
        <v>356</v>
      </c>
      <c r="N334" s="68">
        <f t="shared" si="98"/>
        <v>6</v>
      </c>
      <c r="O334" s="68"/>
      <c r="P334" s="68"/>
      <c r="Q334" s="68"/>
      <c r="R334" s="79"/>
      <c r="S334" s="81" t="s">
        <v>352</v>
      </c>
      <c r="T334" s="81" t="s">
        <v>352</v>
      </c>
      <c r="U334" s="81" t="s">
        <v>352</v>
      </c>
      <c r="V334" s="67" t="s">
        <v>746</v>
      </c>
      <c r="W334" s="79"/>
      <c r="X334" s="79"/>
      <c r="Y334" s="80" t="s">
        <v>373</v>
      </c>
      <c r="Z334" s="79"/>
      <c r="AA334" s="79"/>
    </row>
    <row r="335" spans="1:27" ht="24.75" hidden="1" outlineLevel="1" x14ac:dyDescent="0.35">
      <c r="A335" s="79"/>
      <c r="B335" s="79"/>
      <c r="C335" s="67" t="s">
        <v>747</v>
      </c>
      <c r="D335" s="80" t="s">
        <v>374</v>
      </c>
      <c r="E335" s="66" t="str">
        <f t="shared" si="101"/>
        <v>3-4</v>
      </c>
      <c r="F335" s="68">
        <f t="shared" ref="F335:F343" si="102">F334+G334</f>
        <v>16</v>
      </c>
      <c r="G335" s="68">
        <v>16</v>
      </c>
      <c r="H335" s="68">
        <v>0.1</v>
      </c>
      <c r="I335" s="68">
        <v>0</v>
      </c>
      <c r="J335" s="68">
        <v>0</v>
      </c>
      <c r="K335" s="68">
        <f t="shared" ref="K335:K342" si="103">(POWER(2,G335)-1)*H335+I335</f>
        <v>6553.5</v>
      </c>
      <c r="L335" s="68">
        <v>0</v>
      </c>
      <c r="M335" s="68" t="s">
        <v>356</v>
      </c>
      <c r="N335" s="68">
        <f t="shared" si="98"/>
        <v>6</v>
      </c>
      <c r="O335" s="68"/>
      <c r="P335" s="68"/>
      <c r="Q335" s="68"/>
      <c r="R335" s="79"/>
      <c r="S335" s="81" t="s">
        <v>352</v>
      </c>
      <c r="T335" s="81" t="s">
        <v>352</v>
      </c>
      <c r="U335" s="81" t="s">
        <v>352</v>
      </c>
      <c r="V335" s="67" t="s">
        <v>747</v>
      </c>
      <c r="W335" s="79"/>
      <c r="X335" s="79"/>
      <c r="Y335" s="80" t="s">
        <v>374</v>
      </c>
      <c r="Z335" s="79"/>
      <c r="AA335" s="79"/>
    </row>
    <row r="336" spans="1:27" ht="24.75" hidden="1" outlineLevel="1" x14ac:dyDescent="0.35">
      <c r="A336" s="79"/>
      <c r="B336" s="79"/>
      <c r="C336" s="67" t="s">
        <v>749</v>
      </c>
      <c r="D336" s="80" t="s">
        <v>375</v>
      </c>
      <c r="E336" s="66" t="str">
        <f t="shared" si="101"/>
        <v>5-6</v>
      </c>
      <c r="F336" s="68">
        <f t="shared" si="102"/>
        <v>32</v>
      </c>
      <c r="G336" s="68">
        <v>16</v>
      </c>
      <c r="H336" s="68">
        <v>0.1</v>
      </c>
      <c r="I336" s="68">
        <v>0</v>
      </c>
      <c r="J336" s="68">
        <v>0</v>
      </c>
      <c r="K336" s="68">
        <f t="shared" si="103"/>
        <v>6553.5</v>
      </c>
      <c r="L336" s="68">
        <v>0</v>
      </c>
      <c r="M336" s="68" t="s">
        <v>356</v>
      </c>
      <c r="N336" s="68">
        <f t="shared" si="98"/>
        <v>6</v>
      </c>
      <c r="O336" s="68"/>
      <c r="P336" s="68"/>
      <c r="Q336" s="68"/>
      <c r="R336" s="79"/>
      <c r="S336" s="81" t="s">
        <v>352</v>
      </c>
      <c r="T336" s="81" t="s">
        <v>352</v>
      </c>
      <c r="U336" s="81" t="s">
        <v>352</v>
      </c>
      <c r="V336" s="67" t="s">
        <v>749</v>
      </c>
      <c r="W336" s="79"/>
      <c r="X336" s="79"/>
      <c r="Y336" s="80" t="s">
        <v>375</v>
      </c>
      <c r="Z336" s="79"/>
      <c r="AA336" s="79"/>
    </row>
    <row r="337" spans="1:27" ht="24.75" hidden="1" outlineLevel="1" x14ac:dyDescent="0.35">
      <c r="A337" s="79"/>
      <c r="B337" s="79"/>
      <c r="C337" s="67" t="s">
        <v>748</v>
      </c>
      <c r="D337" s="80" t="s">
        <v>376</v>
      </c>
      <c r="E337" s="66" t="str">
        <f t="shared" si="101"/>
        <v>7-8</v>
      </c>
      <c r="F337" s="68">
        <f t="shared" si="102"/>
        <v>48</v>
      </c>
      <c r="G337" s="68">
        <v>16</v>
      </c>
      <c r="H337" s="68">
        <v>0.1</v>
      </c>
      <c r="I337" s="68">
        <v>0</v>
      </c>
      <c r="J337" s="68">
        <v>0</v>
      </c>
      <c r="K337" s="68">
        <f t="shared" si="103"/>
        <v>6553.5</v>
      </c>
      <c r="L337" s="68">
        <v>0</v>
      </c>
      <c r="M337" s="68" t="s">
        <v>356</v>
      </c>
      <c r="N337" s="68">
        <f t="shared" si="98"/>
        <v>6</v>
      </c>
      <c r="O337" s="68"/>
      <c r="P337" s="68"/>
      <c r="Q337" s="68"/>
      <c r="R337" s="79"/>
      <c r="S337" s="81" t="s">
        <v>352</v>
      </c>
      <c r="T337" s="81" t="s">
        <v>352</v>
      </c>
      <c r="U337" s="81" t="s">
        <v>352</v>
      </c>
      <c r="V337" s="67" t="s">
        <v>748</v>
      </c>
      <c r="W337" s="79"/>
      <c r="X337" s="79"/>
      <c r="Y337" s="80" t="s">
        <v>376</v>
      </c>
      <c r="Z337" s="79"/>
      <c r="AA337" s="79"/>
    </row>
    <row r="338" spans="1:27" ht="24.75" hidden="1" outlineLevel="1" x14ac:dyDescent="0.35">
      <c r="A338" s="79"/>
      <c r="B338" s="79"/>
      <c r="C338" s="67" t="s">
        <v>750</v>
      </c>
      <c r="D338" s="80" t="s">
        <v>377</v>
      </c>
      <c r="E338" s="66" t="str">
        <f t="shared" si="101"/>
        <v>9-10</v>
      </c>
      <c r="F338" s="68">
        <f t="shared" si="102"/>
        <v>64</v>
      </c>
      <c r="G338" s="68">
        <v>16</v>
      </c>
      <c r="H338" s="68">
        <v>0.1</v>
      </c>
      <c r="I338" s="68">
        <v>0</v>
      </c>
      <c r="J338" s="68">
        <v>0</v>
      </c>
      <c r="K338" s="68">
        <f t="shared" si="103"/>
        <v>6553.5</v>
      </c>
      <c r="L338" s="68">
        <v>0</v>
      </c>
      <c r="M338" s="68" t="s">
        <v>356</v>
      </c>
      <c r="N338" s="68">
        <f t="shared" si="98"/>
        <v>6</v>
      </c>
      <c r="O338" s="68"/>
      <c r="P338" s="68"/>
      <c r="Q338" s="68"/>
      <c r="R338" s="79"/>
      <c r="S338" s="81" t="s">
        <v>352</v>
      </c>
      <c r="T338" s="81" t="s">
        <v>352</v>
      </c>
      <c r="U338" s="81" t="s">
        <v>352</v>
      </c>
      <c r="V338" s="67" t="s">
        <v>750</v>
      </c>
      <c r="W338" s="79"/>
      <c r="X338" s="79"/>
      <c r="Y338" s="80" t="s">
        <v>377</v>
      </c>
      <c r="Z338" s="79"/>
      <c r="AA338" s="79"/>
    </row>
    <row r="339" spans="1:27" ht="24.75" hidden="1" outlineLevel="1" x14ac:dyDescent="0.35">
      <c r="A339" s="79"/>
      <c r="B339" s="79"/>
      <c r="C339" s="67" t="s">
        <v>696</v>
      </c>
      <c r="D339" s="80" t="s">
        <v>378</v>
      </c>
      <c r="E339" s="66" t="str">
        <f t="shared" si="101"/>
        <v>11-12</v>
      </c>
      <c r="F339" s="68">
        <f t="shared" si="102"/>
        <v>80</v>
      </c>
      <c r="G339" s="68">
        <v>16</v>
      </c>
      <c r="H339" s="68">
        <v>0.1</v>
      </c>
      <c r="I339" s="68">
        <v>0</v>
      </c>
      <c r="J339" s="68">
        <v>0</v>
      </c>
      <c r="K339" s="68">
        <f t="shared" si="103"/>
        <v>6553.5</v>
      </c>
      <c r="L339" s="68">
        <v>0</v>
      </c>
      <c r="M339" s="68" t="s">
        <v>356</v>
      </c>
      <c r="N339" s="68">
        <f t="shared" si="98"/>
        <v>6</v>
      </c>
      <c r="O339" s="68"/>
      <c r="P339" s="68"/>
      <c r="Q339" s="68"/>
      <c r="R339" s="79"/>
      <c r="S339" s="81" t="s">
        <v>352</v>
      </c>
      <c r="T339" s="81" t="s">
        <v>352</v>
      </c>
      <c r="U339" s="81" t="s">
        <v>352</v>
      </c>
      <c r="V339" s="67" t="s">
        <v>696</v>
      </c>
      <c r="W339" s="79"/>
      <c r="X339" s="79"/>
      <c r="Y339" s="80" t="s">
        <v>378</v>
      </c>
      <c r="Z339" s="79"/>
      <c r="AA339" s="79"/>
    </row>
    <row r="340" spans="1:27" ht="24.75" hidden="1" outlineLevel="1" x14ac:dyDescent="0.35">
      <c r="A340" s="79"/>
      <c r="B340" s="79"/>
      <c r="C340" s="67" t="s">
        <v>697</v>
      </c>
      <c r="D340" s="80" t="s">
        <v>379</v>
      </c>
      <c r="E340" s="66" t="str">
        <f t="shared" si="101"/>
        <v>13-14</v>
      </c>
      <c r="F340" s="68">
        <f t="shared" si="102"/>
        <v>96</v>
      </c>
      <c r="G340" s="68">
        <v>16</v>
      </c>
      <c r="H340" s="68">
        <v>0.1</v>
      </c>
      <c r="I340" s="68">
        <v>0</v>
      </c>
      <c r="J340" s="68">
        <v>0</v>
      </c>
      <c r="K340" s="68">
        <f t="shared" si="103"/>
        <v>6553.5</v>
      </c>
      <c r="L340" s="68">
        <v>0</v>
      </c>
      <c r="M340" s="68" t="s">
        <v>356</v>
      </c>
      <c r="N340" s="68">
        <f t="shared" si="98"/>
        <v>6</v>
      </c>
      <c r="O340" s="68"/>
      <c r="P340" s="68"/>
      <c r="Q340" s="68"/>
      <c r="R340" s="79"/>
      <c r="S340" s="81" t="s">
        <v>352</v>
      </c>
      <c r="T340" s="81" t="s">
        <v>352</v>
      </c>
      <c r="U340" s="81" t="s">
        <v>352</v>
      </c>
      <c r="V340" s="67" t="s">
        <v>697</v>
      </c>
      <c r="W340" s="79"/>
      <c r="X340" s="79"/>
      <c r="Y340" s="80" t="s">
        <v>379</v>
      </c>
      <c r="Z340" s="79"/>
      <c r="AA340" s="79"/>
    </row>
    <row r="341" spans="1:27" ht="26" hidden="1" customHeight="1" outlineLevel="1" collapsed="1" x14ac:dyDescent="0.35">
      <c r="A341" s="79"/>
      <c r="B341" s="79"/>
      <c r="C341" s="67" t="s">
        <v>699</v>
      </c>
      <c r="D341" s="80" t="s">
        <v>380</v>
      </c>
      <c r="E341" s="66" t="str">
        <f t="shared" si="101"/>
        <v>15-16</v>
      </c>
      <c r="F341" s="68">
        <f t="shared" si="102"/>
        <v>112</v>
      </c>
      <c r="G341" s="68">
        <v>16</v>
      </c>
      <c r="H341" s="68">
        <v>0.1</v>
      </c>
      <c r="I341" s="68">
        <v>0</v>
      </c>
      <c r="J341" s="68">
        <v>0</v>
      </c>
      <c r="K341" s="68">
        <f t="shared" si="103"/>
        <v>6553.5</v>
      </c>
      <c r="L341" s="68">
        <v>0</v>
      </c>
      <c r="M341" s="68" t="s">
        <v>356</v>
      </c>
      <c r="N341" s="68">
        <f t="shared" si="98"/>
        <v>6</v>
      </c>
      <c r="O341" s="68"/>
      <c r="P341" s="68"/>
      <c r="Q341" s="68"/>
      <c r="R341" s="79"/>
      <c r="S341" s="81" t="s">
        <v>352</v>
      </c>
      <c r="T341" s="81" t="s">
        <v>352</v>
      </c>
      <c r="U341" s="81" t="s">
        <v>352</v>
      </c>
      <c r="V341" s="67" t="s">
        <v>699</v>
      </c>
      <c r="W341" s="79"/>
      <c r="X341" s="79"/>
      <c r="Y341" s="80" t="s">
        <v>380</v>
      </c>
      <c r="Z341" s="79"/>
      <c r="AA341" s="79"/>
    </row>
    <row r="342" spans="1:27" ht="24.75" hidden="1" outlineLevel="1" x14ac:dyDescent="0.35">
      <c r="A342" s="79"/>
      <c r="B342" s="79"/>
      <c r="C342" s="67" t="s">
        <v>698</v>
      </c>
      <c r="D342" s="80" t="s">
        <v>381</v>
      </c>
      <c r="E342" s="66" t="str">
        <f t="shared" si="101"/>
        <v>17-18</v>
      </c>
      <c r="F342" s="68">
        <f t="shared" si="102"/>
        <v>128</v>
      </c>
      <c r="G342" s="68">
        <v>16</v>
      </c>
      <c r="H342" s="68">
        <v>0.1</v>
      </c>
      <c r="I342" s="68">
        <v>0</v>
      </c>
      <c r="J342" s="68">
        <v>0</v>
      </c>
      <c r="K342" s="68">
        <f t="shared" si="103"/>
        <v>6553.5</v>
      </c>
      <c r="L342" s="68">
        <v>0</v>
      </c>
      <c r="M342" s="68" t="s">
        <v>356</v>
      </c>
      <c r="N342" s="68">
        <f t="shared" si="98"/>
        <v>6</v>
      </c>
      <c r="O342" s="68"/>
      <c r="P342" s="68"/>
      <c r="Q342" s="68"/>
      <c r="R342" s="79"/>
      <c r="S342" s="81" t="s">
        <v>352</v>
      </c>
      <c r="T342" s="81" t="s">
        <v>352</v>
      </c>
      <c r="U342" s="81" t="s">
        <v>352</v>
      </c>
      <c r="V342" s="67" t="s">
        <v>698</v>
      </c>
      <c r="W342" s="79"/>
      <c r="X342" s="79"/>
      <c r="Y342" s="80" t="s">
        <v>381</v>
      </c>
      <c r="Z342" s="79"/>
      <c r="AA342" s="79"/>
    </row>
    <row r="343" spans="1:27" ht="24.75" hidden="1" outlineLevel="1" x14ac:dyDescent="0.35">
      <c r="A343" s="79"/>
      <c r="B343" s="79"/>
      <c r="C343" s="67" t="s">
        <v>700</v>
      </c>
      <c r="D343" s="80" t="s">
        <v>382</v>
      </c>
      <c r="E343" s="66" t="str">
        <f t="shared" si="101"/>
        <v>19-20</v>
      </c>
      <c r="F343" s="68">
        <f t="shared" si="102"/>
        <v>144</v>
      </c>
      <c r="G343" s="68">
        <v>16</v>
      </c>
      <c r="H343" s="68">
        <v>0.1</v>
      </c>
      <c r="I343" s="68">
        <v>0</v>
      </c>
      <c r="J343" s="68">
        <v>0</v>
      </c>
      <c r="K343" s="68">
        <f>(POWER(2,G343)-1)*H343+I343</f>
        <v>6553.5</v>
      </c>
      <c r="L343" s="68">
        <v>0</v>
      </c>
      <c r="M343" s="68" t="s">
        <v>356</v>
      </c>
      <c r="N343" s="68">
        <f t="shared" si="98"/>
        <v>6</v>
      </c>
      <c r="O343" s="68"/>
      <c r="P343" s="68"/>
      <c r="Q343" s="68"/>
      <c r="R343" s="79"/>
      <c r="S343" s="81" t="s">
        <v>352</v>
      </c>
      <c r="T343" s="81" t="s">
        <v>352</v>
      </c>
      <c r="U343" s="81" t="s">
        <v>352</v>
      </c>
      <c r="V343" s="67" t="s">
        <v>700</v>
      </c>
      <c r="W343" s="79"/>
      <c r="X343" s="79"/>
      <c r="Y343" s="80" t="s">
        <v>382</v>
      </c>
      <c r="Z343" s="79"/>
      <c r="AA343" s="79"/>
    </row>
    <row r="344" spans="1:27" s="352" customFormat="1" ht="15" customHeight="1" collapsed="1" x14ac:dyDescent="0.35">
      <c r="A344" s="284" t="s">
        <v>347</v>
      </c>
      <c r="B344" s="284" t="s">
        <v>1074</v>
      </c>
      <c r="C344" s="91"/>
      <c r="D344" s="94"/>
      <c r="E344" s="92">
        <v>56</v>
      </c>
      <c r="F344" s="61"/>
      <c r="G344" s="61"/>
      <c r="H344" s="61"/>
      <c r="I344" s="61"/>
      <c r="J344" s="61"/>
      <c r="K344" s="61"/>
      <c r="L344" s="61"/>
      <c r="M344" s="61"/>
      <c r="N344" s="93">
        <f>SUM(N345:N372)</f>
        <v>140</v>
      </c>
      <c r="O344" s="93"/>
      <c r="P344" s="93"/>
      <c r="Q344" s="93"/>
      <c r="R344" s="91"/>
      <c r="S344" s="95"/>
      <c r="T344" s="95"/>
      <c r="U344" s="95"/>
      <c r="V344" s="95"/>
      <c r="W344" s="91"/>
      <c r="X344" s="91"/>
      <c r="Y344" s="94"/>
      <c r="Z344" s="91"/>
      <c r="AA344" s="91"/>
    </row>
    <row r="345" spans="1:27" ht="24.75" hidden="1" outlineLevel="1" x14ac:dyDescent="0.35">
      <c r="A345" s="79"/>
      <c r="B345" s="79"/>
      <c r="C345" s="67" t="s">
        <v>701</v>
      </c>
      <c r="D345" s="80" t="s">
        <v>383</v>
      </c>
      <c r="E345" s="66" t="str">
        <f t="shared" ref="E345:E372" si="104">IF(INT((F345 + G345-1) / 8) + 1 = INT(F345 / 8) + 1, INT(F345 / 8) + 1, INT(F345 / 8) + 1 &amp; "-" &amp; INT((F345 + G345 - 1) / 8) + 1)</f>
        <v>1-2</v>
      </c>
      <c r="F345" s="68">
        <v>0</v>
      </c>
      <c r="G345" s="68">
        <v>16</v>
      </c>
      <c r="H345" s="68">
        <v>0.1</v>
      </c>
      <c r="I345" s="68">
        <v>-40</v>
      </c>
      <c r="J345" s="68">
        <v>-40</v>
      </c>
      <c r="K345" s="224">
        <v>125.1</v>
      </c>
      <c r="L345" s="68">
        <v>0</v>
      </c>
      <c r="M345" s="68" t="s">
        <v>113</v>
      </c>
      <c r="N345" s="68">
        <f t="shared" si="98"/>
        <v>5</v>
      </c>
      <c r="O345" s="68"/>
      <c r="P345" s="68"/>
      <c r="Q345" s="68"/>
      <c r="R345" s="79"/>
      <c r="S345" s="81" t="s">
        <v>352</v>
      </c>
      <c r="T345" s="81" t="s">
        <v>352</v>
      </c>
      <c r="U345" s="81" t="s">
        <v>352</v>
      </c>
      <c r="V345" s="67" t="s">
        <v>701</v>
      </c>
      <c r="W345" s="79"/>
      <c r="X345" s="79"/>
      <c r="Y345" s="80" t="s">
        <v>383</v>
      </c>
      <c r="Z345" s="79"/>
      <c r="AA345" s="79"/>
    </row>
    <row r="346" spans="1:27" ht="24.75" hidden="1" outlineLevel="1" x14ac:dyDescent="0.35">
      <c r="A346" s="79"/>
      <c r="B346" s="79"/>
      <c r="C346" s="67" t="s">
        <v>702</v>
      </c>
      <c r="D346" s="80" t="s">
        <v>384</v>
      </c>
      <c r="E346" s="66" t="str">
        <f t="shared" si="104"/>
        <v>3-4</v>
      </c>
      <c r="F346" s="68">
        <f t="shared" ref="F346:F372" si="105">F345+G345</f>
        <v>16</v>
      </c>
      <c r="G346" s="68">
        <v>16</v>
      </c>
      <c r="H346" s="68">
        <v>0.1</v>
      </c>
      <c r="I346" s="68">
        <v>-40</v>
      </c>
      <c r="J346" s="68">
        <v>-40</v>
      </c>
      <c r="K346" s="224">
        <v>125.1</v>
      </c>
      <c r="L346" s="68">
        <v>0</v>
      </c>
      <c r="M346" s="68" t="s">
        <v>113</v>
      </c>
      <c r="N346" s="68">
        <f t="shared" si="98"/>
        <v>5</v>
      </c>
      <c r="O346" s="68"/>
      <c r="P346" s="68"/>
      <c r="Q346" s="68"/>
      <c r="R346" s="79"/>
      <c r="S346" s="81" t="s">
        <v>352</v>
      </c>
      <c r="T346" s="81" t="s">
        <v>352</v>
      </c>
      <c r="U346" s="81" t="s">
        <v>352</v>
      </c>
      <c r="V346" s="67" t="s">
        <v>702</v>
      </c>
      <c r="W346" s="79"/>
      <c r="X346" s="79"/>
      <c r="Y346" s="80" t="s">
        <v>384</v>
      </c>
      <c r="Z346" s="79"/>
      <c r="AA346" s="79"/>
    </row>
    <row r="347" spans="1:27" ht="24.75" hidden="1" outlineLevel="1" x14ac:dyDescent="0.35">
      <c r="A347" s="79"/>
      <c r="B347" s="79"/>
      <c r="C347" s="67" t="s">
        <v>703</v>
      </c>
      <c r="D347" s="80" t="s">
        <v>385</v>
      </c>
      <c r="E347" s="66" t="str">
        <f t="shared" si="104"/>
        <v>5-6</v>
      </c>
      <c r="F347" s="68">
        <f t="shared" si="105"/>
        <v>32</v>
      </c>
      <c r="G347" s="68">
        <v>16</v>
      </c>
      <c r="H347" s="68">
        <v>0.1</v>
      </c>
      <c r="I347" s="68">
        <v>-40</v>
      </c>
      <c r="J347" s="68">
        <v>-40</v>
      </c>
      <c r="K347" s="224">
        <v>125.1</v>
      </c>
      <c r="L347" s="68">
        <v>0</v>
      </c>
      <c r="M347" s="68" t="s">
        <v>113</v>
      </c>
      <c r="N347" s="68">
        <f t="shared" si="98"/>
        <v>5</v>
      </c>
      <c r="O347" s="68"/>
      <c r="P347" s="68"/>
      <c r="Q347" s="68"/>
      <c r="R347" s="79"/>
      <c r="S347" s="81" t="s">
        <v>352</v>
      </c>
      <c r="T347" s="81" t="s">
        <v>352</v>
      </c>
      <c r="U347" s="81" t="s">
        <v>352</v>
      </c>
      <c r="V347" s="67" t="s">
        <v>703</v>
      </c>
      <c r="W347" s="79"/>
      <c r="X347" s="79"/>
      <c r="Y347" s="80" t="s">
        <v>385</v>
      </c>
      <c r="Z347" s="79"/>
      <c r="AA347" s="79"/>
    </row>
    <row r="348" spans="1:27" ht="24.75" hidden="1" outlineLevel="1" x14ac:dyDescent="0.35">
      <c r="A348" s="79"/>
      <c r="B348" s="79"/>
      <c r="C348" s="67" t="s">
        <v>704</v>
      </c>
      <c r="D348" s="80" t="s">
        <v>386</v>
      </c>
      <c r="E348" s="66" t="str">
        <f t="shared" si="104"/>
        <v>7-8</v>
      </c>
      <c r="F348" s="68">
        <f t="shared" si="105"/>
        <v>48</v>
      </c>
      <c r="G348" s="68">
        <v>16</v>
      </c>
      <c r="H348" s="68">
        <v>0.1</v>
      </c>
      <c r="I348" s="68">
        <v>-40</v>
      </c>
      <c r="J348" s="68">
        <v>-40</v>
      </c>
      <c r="K348" s="224">
        <v>125.1</v>
      </c>
      <c r="L348" s="68">
        <v>0</v>
      </c>
      <c r="M348" s="68" t="s">
        <v>113</v>
      </c>
      <c r="N348" s="68">
        <f t="shared" si="98"/>
        <v>5</v>
      </c>
      <c r="O348" s="68"/>
      <c r="P348" s="68"/>
      <c r="Q348" s="68"/>
      <c r="R348" s="79"/>
      <c r="S348" s="81" t="s">
        <v>352</v>
      </c>
      <c r="T348" s="81" t="s">
        <v>352</v>
      </c>
      <c r="U348" s="81" t="s">
        <v>352</v>
      </c>
      <c r="V348" s="67" t="s">
        <v>704</v>
      </c>
      <c r="W348" s="79"/>
      <c r="X348" s="79"/>
      <c r="Y348" s="80" t="s">
        <v>386</v>
      </c>
      <c r="Z348" s="79"/>
      <c r="AA348" s="79"/>
    </row>
    <row r="349" spans="1:27" ht="24.75" hidden="1" outlineLevel="1" x14ac:dyDescent="0.35">
      <c r="A349" s="79"/>
      <c r="B349" s="79"/>
      <c r="C349" s="67" t="s">
        <v>705</v>
      </c>
      <c r="D349" s="80" t="s">
        <v>387</v>
      </c>
      <c r="E349" s="66" t="str">
        <f t="shared" si="104"/>
        <v>9-10</v>
      </c>
      <c r="F349" s="68">
        <f t="shared" si="105"/>
        <v>64</v>
      </c>
      <c r="G349" s="68">
        <v>16</v>
      </c>
      <c r="H349" s="68">
        <v>0.1</v>
      </c>
      <c r="I349" s="68">
        <v>-40</v>
      </c>
      <c r="J349" s="68">
        <v>-40</v>
      </c>
      <c r="K349" s="224">
        <v>125.1</v>
      </c>
      <c r="L349" s="68">
        <v>0</v>
      </c>
      <c r="M349" s="68" t="s">
        <v>113</v>
      </c>
      <c r="N349" s="68">
        <f t="shared" si="98"/>
        <v>5</v>
      </c>
      <c r="O349" s="68"/>
      <c r="P349" s="68"/>
      <c r="Q349" s="68"/>
      <c r="R349" s="79"/>
      <c r="S349" s="81" t="s">
        <v>352</v>
      </c>
      <c r="T349" s="81" t="s">
        <v>352</v>
      </c>
      <c r="U349" s="81" t="s">
        <v>352</v>
      </c>
      <c r="V349" s="67" t="s">
        <v>705</v>
      </c>
      <c r="W349" s="79"/>
      <c r="X349" s="79"/>
      <c r="Y349" s="80" t="s">
        <v>387</v>
      </c>
      <c r="Z349" s="79"/>
      <c r="AA349" s="79"/>
    </row>
    <row r="350" spans="1:27" ht="24.75" hidden="1" outlineLevel="1" x14ac:dyDescent="0.35">
      <c r="A350" s="79"/>
      <c r="B350" s="79"/>
      <c r="C350" s="67" t="s">
        <v>706</v>
      </c>
      <c r="D350" s="80" t="s">
        <v>388</v>
      </c>
      <c r="E350" s="66" t="str">
        <f t="shared" si="104"/>
        <v>11-12</v>
      </c>
      <c r="F350" s="68">
        <f t="shared" si="105"/>
        <v>80</v>
      </c>
      <c r="G350" s="68">
        <v>16</v>
      </c>
      <c r="H350" s="68">
        <v>0.1</v>
      </c>
      <c r="I350" s="68">
        <v>-40</v>
      </c>
      <c r="J350" s="68">
        <v>-40</v>
      </c>
      <c r="K350" s="224">
        <v>125.1</v>
      </c>
      <c r="L350" s="68">
        <v>0</v>
      </c>
      <c r="M350" s="68" t="s">
        <v>113</v>
      </c>
      <c r="N350" s="68">
        <f t="shared" si="98"/>
        <v>5</v>
      </c>
      <c r="O350" s="68"/>
      <c r="P350" s="68"/>
      <c r="Q350" s="68"/>
      <c r="R350" s="79"/>
      <c r="S350" s="81" t="s">
        <v>352</v>
      </c>
      <c r="T350" s="81" t="s">
        <v>352</v>
      </c>
      <c r="U350" s="81" t="s">
        <v>352</v>
      </c>
      <c r="V350" s="67" t="s">
        <v>706</v>
      </c>
      <c r="W350" s="79"/>
      <c r="X350" s="79"/>
      <c r="Y350" s="80" t="s">
        <v>388</v>
      </c>
      <c r="Z350" s="79"/>
      <c r="AA350" s="79"/>
    </row>
    <row r="351" spans="1:27" ht="24.75" hidden="1" outlineLevel="1" x14ac:dyDescent="0.35">
      <c r="A351" s="79"/>
      <c r="B351" s="79"/>
      <c r="C351" s="67" t="s">
        <v>707</v>
      </c>
      <c r="D351" s="80" t="s">
        <v>389</v>
      </c>
      <c r="E351" s="66" t="str">
        <f t="shared" si="104"/>
        <v>13-14</v>
      </c>
      <c r="F351" s="68">
        <f t="shared" si="105"/>
        <v>96</v>
      </c>
      <c r="G351" s="68">
        <v>16</v>
      </c>
      <c r="H351" s="68">
        <v>0.1</v>
      </c>
      <c r="I351" s="68">
        <v>-40</v>
      </c>
      <c r="J351" s="68">
        <v>-40</v>
      </c>
      <c r="K351" s="224">
        <v>125.1</v>
      </c>
      <c r="L351" s="68">
        <v>0</v>
      </c>
      <c r="M351" s="68" t="s">
        <v>113</v>
      </c>
      <c r="N351" s="68">
        <f t="shared" si="98"/>
        <v>5</v>
      </c>
      <c r="O351" s="68"/>
      <c r="P351" s="68"/>
      <c r="Q351" s="68"/>
      <c r="R351" s="79"/>
      <c r="S351" s="81" t="s">
        <v>352</v>
      </c>
      <c r="T351" s="81" t="s">
        <v>352</v>
      </c>
      <c r="U351" s="81" t="s">
        <v>352</v>
      </c>
      <c r="V351" s="67" t="s">
        <v>707</v>
      </c>
      <c r="W351" s="79"/>
      <c r="X351" s="79"/>
      <c r="Y351" s="80" t="s">
        <v>389</v>
      </c>
      <c r="Z351" s="79"/>
      <c r="AA351" s="79"/>
    </row>
    <row r="352" spans="1:27" ht="26" hidden="1" customHeight="1" outlineLevel="1" collapsed="1" x14ac:dyDescent="0.35">
      <c r="A352" s="79"/>
      <c r="B352" s="79"/>
      <c r="C352" s="67" t="s">
        <v>708</v>
      </c>
      <c r="D352" s="80" t="s">
        <v>390</v>
      </c>
      <c r="E352" s="66" t="str">
        <f t="shared" si="104"/>
        <v>15-16</v>
      </c>
      <c r="F352" s="68">
        <f t="shared" si="105"/>
        <v>112</v>
      </c>
      <c r="G352" s="68">
        <v>16</v>
      </c>
      <c r="H352" s="68">
        <v>0.1</v>
      </c>
      <c r="I352" s="68">
        <v>-40</v>
      </c>
      <c r="J352" s="68">
        <v>-40</v>
      </c>
      <c r="K352" s="224">
        <v>125.1</v>
      </c>
      <c r="L352" s="68">
        <v>0</v>
      </c>
      <c r="M352" s="68" t="s">
        <v>113</v>
      </c>
      <c r="N352" s="68">
        <f t="shared" si="98"/>
        <v>5</v>
      </c>
      <c r="O352" s="68"/>
      <c r="P352" s="68"/>
      <c r="Q352" s="68"/>
      <c r="R352" s="79"/>
      <c r="S352" s="81" t="s">
        <v>352</v>
      </c>
      <c r="T352" s="81" t="s">
        <v>352</v>
      </c>
      <c r="U352" s="81" t="s">
        <v>352</v>
      </c>
      <c r="V352" s="67" t="s">
        <v>708</v>
      </c>
      <c r="W352" s="79"/>
      <c r="X352" s="79"/>
      <c r="Y352" s="80" t="s">
        <v>390</v>
      </c>
      <c r="Z352" s="79"/>
      <c r="AA352" s="79"/>
    </row>
    <row r="353" spans="1:27" ht="24.75" hidden="1" outlineLevel="1" x14ac:dyDescent="0.35">
      <c r="A353" s="79"/>
      <c r="B353" s="79"/>
      <c r="C353" s="67" t="s">
        <v>709</v>
      </c>
      <c r="D353" s="80" t="s">
        <v>391</v>
      </c>
      <c r="E353" s="66" t="str">
        <f t="shared" si="104"/>
        <v>17-18</v>
      </c>
      <c r="F353" s="68">
        <f t="shared" si="105"/>
        <v>128</v>
      </c>
      <c r="G353" s="68">
        <v>16</v>
      </c>
      <c r="H353" s="68">
        <v>0.1</v>
      </c>
      <c r="I353" s="68">
        <v>-40</v>
      </c>
      <c r="J353" s="68">
        <v>-40</v>
      </c>
      <c r="K353" s="224">
        <v>125.1</v>
      </c>
      <c r="L353" s="68">
        <v>0</v>
      </c>
      <c r="M353" s="68" t="s">
        <v>113</v>
      </c>
      <c r="N353" s="68">
        <f t="shared" si="98"/>
        <v>5</v>
      </c>
      <c r="O353" s="68"/>
      <c r="P353" s="68"/>
      <c r="Q353" s="68"/>
      <c r="R353" s="79"/>
      <c r="S353" s="81" t="s">
        <v>352</v>
      </c>
      <c r="T353" s="81" t="s">
        <v>352</v>
      </c>
      <c r="U353" s="81" t="s">
        <v>352</v>
      </c>
      <c r="V353" s="67" t="s">
        <v>709</v>
      </c>
      <c r="W353" s="79"/>
      <c r="X353" s="79"/>
      <c r="Y353" s="80" t="s">
        <v>391</v>
      </c>
      <c r="Z353" s="79"/>
      <c r="AA353" s="79"/>
    </row>
    <row r="354" spans="1:27" ht="24.75" hidden="1" outlineLevel="1" x14ac:dyDescent="0.35">
      <c r="A354" s="79"/>
      <c r="B354" s="79"/>
      <c r="C354" s="67" t="s">
        <v>710</v>
      </c>
      <c r="D354" s="80" t="s">
        <v>392</v>
      </c>
      <c r="E354" s="66" t="str">
        <f t="shared" si="104"/>
        <v>19-20</v>
      </c>
      <c r="F354" s="68">
        <f t="shared" si="105"/>
        <v>144</v>
      </c>
      <c r="G354" s="68">
        <v>16</v>
      </c>
      <c r="H354" s="68">
        <v>0.1</v>
      </c>
      <c r="I354" s="68">
        <v>-40</v>
      </c>
      <c r="J354" s="68">
        <v>-40</v>
      </c>
      <c r="K354" s="224">
        <v>125.1</v>
      </c>
      <c r="L354" s="68">
        <v>0</v>
      </c>
      <c r="M354" s="68" t="s">
        <v>113</v>
      </c>
      <c r="N354" s="68">
        <f t="shared" si="98"/>
        <v>5</v>
      </c>
      <c r="O354" s="68"/>
      <c r="P354" s="68"/>
      <c r="Q354" s="68"/>
      <c r="R354" s="79"/>
      <c r="S354" s="81" t="s">
        <v>352</v>
      </c>
      <c r="T354" s="81" t="s">
        <v>352</v>
      </c>
      <c r="U354" s="81" t="s">
        <v>352</v>
      </c>
      <c r="V354" s="67" t="s">
        <v>710</v>
      </c>
      <c r="W354" s="79"/>
      <c r="X354" s="79"/>
      <c r="Y354" s="80" t="s">
        <v>392</v>
      </c>
      <c r="Z354" s="79"/>
      <c r="AA354" s="79"/>
    </row>
    <row r="355" spans="1:27" ht="24.75" hidden="1" outlineLevel="1" x14ac:dyDescent="0.35">
      <c r="A355" s="79"/>
      <c r="B355" s="79"/>
      <c r="C355" s="67" t="s">
        <v>711</v>
      </c>
      <c r="D355" s="80" t="s">
        <v>393</v>
      </c>
      <c r="E355" s="66" t="str">
        <f t="shared" si="104"/>
        <v>21-22</v>
      </c>
      <c r="F355" s="68">
        <f t="shared" si="105"/>
        <v>160</v>
      </c>
      <c r="G355" s="68">
        <v>16</v>
      </c>
      <c r="H355" s="68">
        <v>0.1</v>
      </c>
      <c r="I355" s="68">
        <v>-40</v>
      </c>
      <c r="J355" s="68">
        <v>-40</v>
      </c>
      <c r="K355" s="224">
        <v>125.1</v>
      </c>
      <c r="L355" s="68">
        <v>0</v>
      </c>
      <c r="M355" s="68" t="s">
        <v>113</v>
      </c>
      <c r="N355" s="68">
        <f t="shared" si="98"/>
        <v>5</v>
      </c>
      <c r="O355" s="68"/>
      <c r="P355" s="68"/>
      <c r="Q355" s="68"/>
      <c r="R355" s="79"/>
      <c r="S355" s="81" t="s">
        <v>352</v>
      </c>
      <c r="T355" s="81" t="s">
        <v>352</v>
      </c>
      <c r="U355" s="81" t="s">
        <v>352</v>
      </c>
      <c r="V355" s="67" t="s">
        <v>711</v>
      </c>
      <c r="W355" s="79"/>
      <c r="X355" s="79"/>
      <c r="Y355" s="80" t="s">
        <v>393</v>
      </c>
      <c r="Z355" s="79"/>
      <c r="AA355" s="79"/>
    </row>
    <row r="356" spans="1:27" ht="24.75" hidden="1" outlineLevel="1" x14ac:dyDescent="0.35">
      <c r="A356" s="79"/>
      <c r="B356" s="79"/>
      <c r="C356" s="67" t="s">
        <v>712</v>
      </c>
      <c r="D356" s="80" t="s">
        <v>394</v>
      </c>
      <c r="E356" s="66" t="str">
        <f t="shared" si="104"/>
        <v>23-24</v>
      </c>
      <c r="F356" s="68">
        <f t="shared" si="105"/>
        <v>176</v>
      </c>
      <c r="G356" s="68">
        <v>16</v>
      </c>
      <c r="H356" s="68">
        <v>0.1</v>
      </c>
      <c r="I356" s="68">
        <v>-40</v>
      </c>
      <c r="J356" s="68">
        <v>-40</v>
      </c>
      <c r="K356" s="224">
        <v>125.1</v>
      </c>
      <c r="L356" s="68">
        <v>0</v>
      </c>
      <c r="M356" s="68" t="s">
        <v>113</v>
      </c>
      <c r="N356" s="68">
        <f t="shared" si="98"/>
        <v>5</v>
      </c>
      <c r="O356" s="68"/>
      <c r="P356" s="68"/>
      <c r="Q356" s="68"/>
      <c r="R356" s="79"/>
      <c r="S356" s="81" t="s">
        <v>352</v>
      </c>
      <c r="T356" s="81" t="s">
        <v>352</v>
      </c>
      <c r="U356" s="81" t="s">
        <v>352</v>
      </c>
      <c r="V356" s="67" t="s">
        <v>712</v>
      </c>
      <c r="W356" s="79"/>
      <c r="X356" s="79"/>
      <c r="Y356" s="80" t="s">
        <v>394</v>
      </c>
      <c r="Z356" s="79"/>
      <c r="AA356" s="79"/>
    </row>
    <row r="357" spans="1:27" ht="24.75" hidden="1" outlineLevel="1" x14ac:dyDescent="0.35">
      <c r="A357" s="79"/>
      <c r="B357" s="79"/>
      <c r="C357" s="67" t="s">
        <v>713</v>
      </c>
      <c r="D357" s="80" t="s">
        <v>395</v>
      </c>
      <c r="E357" s="66" t="str">
        <f t="shared" si="104"/>
        <v>25-26</v>
      </c>
      <c r="F357" s="68">
        <f t="shared" si="105"/>
        <v>192</v>
      </c>
      <c r="G357" s="68">
        <v>16</v>
      </c>
      <c r="H357" s="68">
        <v>0.1</v>
      </c>
      <c r="I357" s="68">
        <v>-40</v>
      </c>
      <c r="J357" s="68">
        <v>-40</v>
      </c>
      <c r="K357" s="224">
        <v>125.1</v>
      </c>
      <c r="L357" s="68">
        <v>0</v>
      </c>
      <c r="M357" s="68" t="s">
        <v>113</v>
      </c>
      <c r="N357" s="68">
        <f t="shared" si="98"/>
        <v>5</v>
      </c>
      <c r="O357" s="68"/>
      <c r="P357" s="68"/>
      <c r="Q357" s="68"/>
      <c r="R357" s="79"/>
      <c r="S357" s="81" t="s">
        <v>352</v>
      </c>
      <c r="T357" s="81" t="s">
        <v>352</v>
      </c>
      <c r="U357" s="81" t="s">
        <v>352</v>
      </c>
      <c r="V357" s="67" t="s">
        <v>713</v>
      </c>
      <c r="W357" s="79"/>
      <c r="X357" s="79"/>
      <c r="Y357" s="80" t="s">
        <v>395</v>
      </c>
      <c r="Z357" s="79"/>
      <c r="AA357" s="79"/>
    </row>
    <row r="358" spans="1:27" ht="24.75" hidden="1" outlineLevel="1" x14ac:dyDescent="0.35">
      <c r="A358" s="79"/>
      <c r="B358" s="79"/>
      <c r="C358" s="67" t="s">
        <v>714</v>
      </c>
      <c r="D358" s="80" t="s">
        <v>396</v>
      </c>
      <c r="E358" s="66" t="str">
        <f t="shared" si="104"/>
        <v>27-28</v>
      </c>
      <c r="F358" s="68">
        <f t="shared" si="105"/>
        <v>208</v>
      </c>
      <c r="G358" s="68">
        <v>16</v>
      </c>
      <c r="H358" s="68">
        <v>0.1</v>
      </c>
      <c r="I358" s="68">
        <v>-40</v>
      </c>
      <c r="J358" s="68">
        <v>-40</v>
      </c>
      <c r="K358" s="224">
        <v>125.1</v>
      </c>
      <c r="L358" s="68">
        <v>0</v>
      </c>
      <c r="M358" s="68" t="s">
        <v>113</v>
      </c>
      <c r="N358" s="68">
        <f t="shared" si="98"/>
        <v>5</v>
      </c>
      <c r="O358" s="68"/>
      <c r="P358" s="68"/>
      <c r="Q358" s="68"/>
      <c r="R358" s="79"/>
      <c r="S358" s="81" t="s">
        <v>352</v>
      </c>
      <c r="T358" s="81" t="s">
        <v>352</v>
      </c>
      <c r="U358" s="81" t="s">
        <v>352</v>
      </c>
      <c r="V358" s="67" t="s">
        <v>714</v>
      </c>
      <c r="W358" s="79"/>
      <c r="X358" s="79"/>
      <c r="Y358" s="80" t="s">
        <v>396</v>
      </c>
      <c r="Z358" s="79"/>
      <c r="AA358" s="79"/>
    </row>
    <row r="359" spans="1:27" ht="24.75" hidden="1" outlineLevel="1" x14ac:dyDescent="0.35">
      <c r="A359" s="79"/>
      <c r="B359" s="79"/>
      <c r="C359" s="67" t="s">
        <v>715</v>
      </c>
      <c r="D359" s="80" t="s">
        <v>397</v>
      </c>
      <c r="E359" s="66" t="str">
        <f t="shared" si="104"/>
        <v>29-30</v>
      </c>
      <c r="F359" s="68">
        <f t="shared" si="105"/>
        <v>224</v>
      </c>
      <c r="G359" s="68">
        <v>16</v>
      </c>
      <c r="H359" s="68">
        <v>0.1</v>
      </c>
      <c r="I359" s="68">
        <v>-40</v>
      </c>
      <c r="J359" s="68">
        <v>-40</v>
      </c>
      <c r="K359" s="224">
        <v>125.1</v>
      </c>
      <c r="L359" s="68">
        <v>0</v>
      </c>
      <c r="M359" s="68" t="s">
        <v>113</v>
      </c>
      <c r="N359" s="68">
        <f t="shared" si="98"/>
        <v>5</v>
      </c>
      <c r="O359" s="68"/>
      <c r="P359" s="68"/>
      <c r="Q359" s="68"/>
      <c r="R359" s="79"/>
      <c r="S359" s="81" t="s">
        <v>352</v>
      </c>
      <c r="T359" s="81" t="s">
        <v>352</v>
      </c>
      <c r="U359" s="81" t="s">
        <v>352</v>
      </c>
      <c r="V359" s="67" t="s">
        <v>715</v>
      </c>
      <c r="W359" s="79"/>
      <c r="X359" s="79"/>
      <c r="Y359" s="80" t="s">
        <v>397</v>
      </c>
      <c r="Z359" s="79"/>
      <c r="AA359" s="79"/>
    </row>
    <row r="360" spans="1:27" ht="24.75" hidden="1" outlineLevel="1" x14ac:dyDescent="0.35">
      <c r="A360" s="79"/>
      <c r="B360" s="79"/>
      <c r="C360" s="67" t="s">
        <v>716</v>
      </c>
      <c r="D360" s="80" t="s">
        <v>398</v>
      </c>
      <c r="E360" s="66" t="str">
        <f t="shared" si="104"/>
        <v>31-32</v>
      </c>
      <c r="F360" s="68">
        <f t="shared" si="105"/>
        <v>240</v>
      </c>
      <c r="G360" s="68">
        <v>16</v>
      </c>
      <c r="H360" s="68">
        <v>0.1</v>
      </c>
      <c r="I360" s="68">
        <v>-40</v>
      </c>
      <c r="J360" s="68">
        <v>-40</v>
      </c>
      <c r="K360" s="224">
        <v>125.1</v>
      </c>
      <c r="L360" s="68">
        <v>0</v>
      </c>
      <c r="M360" s="68" t="s">
        <v>113</v>
      </c>
      <c r="N360" s="68">
        <f t="shared" si="98"/>
        <v>5</v>
      </c>
      <c r="O360" s="68"/>
      <c r="P360" s="68"/>
      <c r="Q360" s="68"/>
      <c r="R360" s="79"/>
      <c r="S360" s="81" t="s">
        <v>352</v>
      </c>
      <c r="T360" s="81" t="s">
        <v>352</v>
      </c>
      <c r="U360" s="81" t="s">
        <v>352</v>
      </c>
      <c r="V360" s="67" t="s">
        <v>716</v>
      </c>
      <c r="W360" s="79"/>
      <c r="X360" s="79"/>
      <c r="Y360" s="80" t="s">
        <v>398</v>
      </c>
      <c r="Z360" s="79"/>
      <c r="AA360" s="79"/>
    </row>
    <row r="361" spans="1:27" ht="24.75" hidden="1" outlineLevel="1" x14ac:dyDescent="0.35">
      <c r="A361" s="79"/>
      <c r="B361" s="79"/>
      <c r="C361" s="67" t="s">
        <v>717</v>
      </c>
      <c r="D361" s="80" t="s">
        <v>399</v>
      </c>
      <c r="E361" s="66" t="str">
        <f t="shared" si="104"/>
        <v>33-34</v>
      </c>
      <c r="F361" s="68">
        <f t="shared" si="105"/>
        <v>256</v>
      </c>
      <c r="G361" s="68">
        <v>16</v>
      </c>
      <c r="H361" s="68">
        <v>0.1</v>
      </c>
      <c r="I361" s="68">
        <v>-40</v>
      </c>
      <c r="J361" s="68">
        <v>-40</v>
      </c>
      <c r="K361" s="224">
        <v>125.1</v>
      </c>
      <c r="L361" s="68">
        <v>0</v>
      </c>
      <c r="M361" s="68" t="s">
        <v>113</v>
      </c>
      <c r="N361" s="68">
        <f t="shared" si="98"/>
        <v>5</v>
      </c>
      <c r="O361" s="68"/>
      <c r="P361" s="68"/>
      <c r="Q361" s="68"/>
      <c r="R361" s="79"/>
      <c r="S361" s="81" t="s">
        <v>352</v>
      </c>
      <c r="T361" s="81" t="s">
        <v>352</v>
      </c>
      <c r="U361" s="81" t="s">
        <v>352</v>
      </c>
      <c r="V361" s="67" t="s">
        <v>717</v>
      </c>
      <c r="W361" s="79"/>
      <c r="X361" s="79"/>
      <c r="Y361" s="80" t="s">
        <v>399</v>
      </c>
      <c r="Z361" s="79"/>
      <c r="AA361" s="79"/>
    </row>
    <row r="362" spans="1:27" ht="24.75" hidden="1" outlineLevel="1" x14ac:dyDescent="0.35">
      <c r="A362" s="79"/>
      <c r="B362" s="79"/>
      <c r="C362" s="67" t="s">
        <v>435</v>
      </c>
      <c r="D362" s="80" t="s">
        <v>400</v>
      </c>
      <c r="E362" s="66" t="str">
        <f t="shared" si="104"/>
        <v>35-36</v>
      </c>
      <c r="F362" s="68">
        <f t="shared" si="105"/>
        <v>272</v>
      </c>
      <c r="G362" s="68">
        <v>16</v>
      </c>
      <c r="H362" s="68">
        <v>0.1</v>
      </c>
      <c r="I362" s="68">
        <v>-40</v>
      </c>
      <c r="J362" s="68">
        <v>-40</v>
      </c>
      <c r="K362" s="224">
        <v>125.1</v>
      </c>
      <c r="L362" s="68">
        <v>0</v>
      </c>
      <c r="M362" s="68" t="s">
        <v>113</v>
      </c>
      <c r="N362" s="68">
        <f t="shared" si="98"/>
        <v>5</v>
      </c>
      <c r="O362" s="68"/>
      <c r="P362" s="68"/>
      <c r="Q362" s="68"/>
      <c r="R362" s="79"/>
      <c r="S362" s="81" t="s">
        <v>352</v>
      </c>
      <c r="T362" s="81" t="s">
        <v>352</v>
      </c>
      <c r="U362" s="81" t="s">
        <v>352</v>
      </c>
      <c r="V362" s="67" t="s">
        <v>435</v>
      </c>
      <c r="W362" s="79"/>
      <c r="X362" s="79"/>
      <c r="Y362" s="80" t="s">
        <v>400</v>
      </c>
      <c r="Z362" s="79"/>
      <c r="AA362" s="79"/>
    </row>
    <row r="363" spans="1:27" ht="26" hidden="1" customHeight="1" outlineLevel="1" collapsed="1" x14ac:dyDescent="0.35">
      <c r="A363" s="79"/>
      <c r="B363" s="79"/>
      <c r="C363" s="67" t="s">
        <v>718</v>
      </c>
      <c r="D363" s="80" t="s">
        <v>401</v>
      </c>
      <c r="E363" s="66" t="str">
        <f t="shared" si="104"/>
        <v>37-38</v>
      </c>
      <c r="F363" s="68">
        <f t="shared" si="105"/>
        <v>288</v>
      </c>
      <c r="G363" s="68">
        <v>16</v>
      </c>
      <c r="H363" s="68">
        <v>0.1</v>
      </c>
      <c r="I363" s="68">
        <v>-40</v>
      </c>
      <c r="J363" s="68">
        <v>-40</v>
      </c>
      <c r="K363" s="224">
        <v>125.1</v>
      </c>
      <c r="L363" s="68">
        <v>0</v>
      </c>
      <c r="M363" s="68" t="s">
        <v>113</v>
      </c>
      <c r="N363" s="68">
        <f t="shared" si="98"/>
        <v>5</v>
      </c>
      <c r="O363" s="68"/>
      <c r="P363" s="68"/>
      <c r="Q363" s="68"/>
      <c r="R363" s="79"/>
      <c r="S363" s="81" t="s">
        <v>352</v>
      </c>
      <c r="T363" s="81" t="s">
        <v>352</v>
      </c>
      <c r="U363" s="81" t="s">
        <v>352</v>
      </c>
      <c r="V363" s="67" t="s">
        <v>718</v>
      </c>
      <c r="W363" s="79"/>
      <c r="X363" s="79"/>
      <c r="Y363" s="80" t="s">
        <v>401</v>
      </c>
      <c r="Z363" s="79"/>
      <c r="AA363" s="79"/>
    </row>
    <row r="364" spans="1:27" ht="24.75" hidden="1" outlineLevel="1" x14ac:dyDescent="0.35">
      <c r="A364" s="79"/>
      <c r="B364" s="79"/>
      <c r="C364" s="67" t="s">
        <v>719</v>
      </c>
      <c r="D364" s="80" t="s">
        <v>402</v>
      </c>
      <c r="E364" s="66" t="str">
        <f t="shared" si="104"/>
        <v>39-40</v>
      </c>
      <c r="F364" s="68">
        <f t="shared" si="105"/>
        <v>304</v>
      </c>
      <c r="G364" s="68">
        <v>16</v>
      </c>
      <c r="H364" s="68">
        <v>0.1</v>
      </c>
      <c r="I364" s="68">
        <v>-40</v>
      </c>
      <c r="J364" s="68">
        <v>-40</v>
      </c>
      <c r="K364" s="224">
        <v>125.1</v>
      </c>
      <c r="L364" s="68">
        <v>0</v>
      </c>
      <c r="M364" s="68" t="s">
        <v>113</v>
      </c>
      <c r="N364" s="68">
        <f t="shared" si="98"/>
        <v>5</v>
      </c>
      <c r="O364" s="68"/>
      <c r="P364" s="68"/>
      <c r="Q364" s="68"/>
      <c r="R364" s="79"/>
      <c r="S364" s="81" t="s">
        <v>352</v>
      </c>
      <c r="T364" s="81" t="s">
        <v>352</v>
      </c>
      <c r="U364" s="81" t="s">
        <v>352</v>
      </c>
      <c r="V364" s="67" t="s">
        <v>719</v>
      </c>
      <c r="W364" s="79"/>
      <c r="X364" s="79"/>
      <c r="Y364" s="80" t="s">
        <v>402</v>
      </c>
      <c r="Z364" s="79"/>
      <c r="AA364" s="79"/>
    </row>
    <row r="365" spans="1:27" ht="24.75" hidden="1" outlineLevel="1" x14ac:dyDescent="0.35">
      <c r="A365" s="79"/>
      <c r="B365" s="79"/>
      <c r="C365" s="67" t="s">
        <v>720</v>
      </c>
      <c r="D365" s="80" t="s">
        <v>403</v>
      </c>
      <c r="E365" s="66" t="str">
        <f t="shared" si="104"/>
        <v>41-42</v>
      </c>
      <c r="F365" s="68">
        <f t="shared" si="105"/>
        <v>320</v>
      </c>
      <c r="G365" s="68">
        <v>16</v>
      </c>
      <c r="H365" s="68">
        <v>0.1</v>
      </c>
      <c r="I365" s="68">
        <v>-40</v>
      </c>
      <c r="J365" s="68">
        <v>-40</v>
      </c>
      <c r="K365" s="224">
        <v>125.1</v>
      </c>
      <c r="L365" s="68">
        <v>0</v>
      </c>
      <c r="M365" s="68" t="s">
        <v>113</v>
      </c>
      <c r="N365" s="68">
        <f t="shared" si="98"/>
        <v>5</v>
      </c>
      <c r="O365" s="68"/>
      <c r="P365" s="68"/>
      <c r="Q365" s="68"/>
      <c r="R365" s="79"/>
      <c r="S365" s="81" t="s">
        <v>352</v>
      </c>
      <c r="T365" s="81" t="s">
        <v>352</v>
      </c>
      <c r="U365" s="81" t="s">
        <v>352</v>
      </c>
      <c r="V365" s="67" t="s">
        <v>720</v>
      </c>
      <c r="W365" s="79"/>
      <c r="X365" s="79"/>
      <c r="Y365" s="80" t="s">
        <v>403</v>
      </c>
      <c r="Z365" s="79"/>
      <c r="AA365" s="79"/>
    </row>
    <row r="366" spans="1:27" ht="24.75" hidden="1" outlineLevel="1" x14ac:dyDescent="0.35">
      <c r="A366" s="79"/>
      <c r="B366" s="79"/>
      <c r="C366" s="67" t="s">
        <v>721</v>
      </c>
      <c r="D366" s="80" t="s">
        <v>404</v>
      </c>
      <c r="E366" s="66" t="str">
        <f t="shared" si="104"/>
        <v>43-44</v>
      </c>
      <c r="F366" s="68">
        <f t="shared" si="105"/>
        <v>336</v>
      </c>
      <c r="G366" s="68">
        <v>16</v>
      </c>
      <c r="H366" s="68">
        <v>0.1</v>
      </c>
      <c r="I366" s="68">
        <v>-40</v>
      </c>
      <c r="J366" s="68">
        <v>-40</v>
      </c>
      <c r="K366" s="224">
        <v>125.1</v>
      </c>
      <c r="L366" s="68">
        <v>0</v>
      </c>
      <c r="M366" s="68" t="s">
        <v>113</v>
      </c>
      <c r="N366" s="68">
        <f t="shared" si="98"/>
        <v>5</v>
      </c>
      <c r="O366" s="68"/>
      <c r="P366" s="68"/>
      <c r="Q366" s="68"/>
      <c r="R366" s="79"/>
      <c r="S366" s="81" t="s">
        <v>352</v>
      </c>
      <c r="T366" s="81" t="s">
        <v>352</v>
      </c>
      <c r="U366" s="81" t="s">
        <v>352</v>
      </c>
      <c r="V366" s="67" t="s">
        <v>721</v>
      </c>
      <c r="W366" s="79"/>
      <c r="X366" s="79"/>
      <c r="Y366" s="80" t="s">
        <v>404</v>
      </c>
      <c r="Z366" s="79"/>
      <c r="AA366" s="79"/>
    </row>
    <row r="367" spans="1:27" ht="24.75" hidden="1" outlineLevel="1" x14ac:dyDescent="0.35">
      <c r="A367" s="79"/>
      <c r="B367" s="79"/>
      <c r="C367" s="67" t="s">
        <v>722</v>
      </c>
      <c r="D367" s="80" t="s">
        <v>405</v>
      </c>
      <c r="E367" s="66" t="str">
        <f t="shared" si="104"/>
        <v>45-46</v>
      </c>
      <c r="F367" s="68">
        <f t="shared" si="105"/>
        <v>352</v>
      </c>
      <c r="G367" s="68">
        <v>16</v>
      </c>
      <c r="H367" s="68">
        <v>0.1</v>
      </c>
      <c r="I367" s="68">
        <v>-40</v>
      </c>
      <c r="J367" s="68">
        <v>-40</v>
      </c>
      <c r="K367" s="224">
        <v>125.1</v>
      </c>
      <c r="L367" s="68">
        <v>0</v>
      </c>
      <c r="M367" s="68" t="s">
        <v>113</v>
      </c>
      <c r="N367" s="68">
        <f t="shared" si="98"/>
        <v>5</v>
      </c>
      <c r="O367" s="68"/>
      <c r="P367" s="68"/>
      <c r="Q367" s="68"/>
      <c r="R367" s="79"/>
      <c r="S367" s="81" t="s">
        <v>352</v>
      </c>
      <c r="T367" s="81" t="s">
        <v>352</v>
      </c>
      <c r="U367" s="81" t="s">
        <v>352</v>
      </c>
      <c r="V367" s="67" t="s">
        <v>722</v>
      </c>
      <c r="W367" s="79"/>
      <c r="X367" s="79"/>
      <c r="Y367" s="80" t="s">
        <v>405</v>
      </c>
      <c r="Z367" s="79"/>
      <c r="AA367" s="79"/>
    </row>
    <row r="368" spans="1:27" ht="24.75" hidden="1" outlineLevel="1" x14ac:dyDescent="0.35">
      <c r="A368" s="79"/>
      <c r="B368" s="79"/>
      <c r="C368" s="67" t="s">
        <v>723</v>
      </c>
      <c r="D368" s="80" t="s">
        <v>406</v>
      </c>
      <c r="E368" s="66" t="str">
        <f t="shared" si="104"/>
        <v>47-48</v>
      </c>
      <c r="F368" s="68">
        <f t="shared" si="105"/>
        <v>368</v>
      </c>
      <c r="G368" s="68">
        <v>16</v>
      </c>
      <c r="H368" s="68">
        <v>0.1</v>
      </c>
      <c r="I368" s="68">
        <v>-40</v>
      </c>
      <c r="J368" s="68">
        <v>-40</v>
      </c>
      <c r="K368" s="224">
        <v>125.1</v>
      </c>
      <c r="L368" s="68">
        <v>0</v>
      </c>
      <c r="M368" s="68" t="s">
        <v>113</v>
      </c>
      <c r="N368" s="68">
        <f t="shared" si="98"/>
        <v>5</v>
      </c>
      <c r="O368" s="68"/>
      <c r="P368" s="68"/>
      <c r="Q368" s="68"/>
      <c r="R368" s="79"/>
      <c r="S368" s="81" t="s">
        <v>352</v>
      </c>
      <c r="T368" s="81" t="s">
        <v>352</v>
      </c>
      <c r="U368" s="81" t="s">
        <v>352</v>
      </c>
      <c r="V368" s="67" t="s">
        <v>723</v>
      </c>
      <c r="W368" s="79"/>
      <c r="X368" s="79"/>
      <c r="Y368" s="80" t="s">
        <v>406</v>
      </c>
      <c r="Z368" s="79"/>
      <c r="AA368" s="79"/>
    </row>
    <row r="369" spans="1:27" ht="24.75" hidden="1" outlineLevel="1" x14ac:dyDescent="0.35">
      <c r="A369" s="79"/>
      <c r="B369" s="79"/>
      <c r="C369" s="67" t="s">
        <v>724</v>
      </c>
      <c r="D369" s="80" t="s">
        <v>407</v>
      </c>
      <c r="E369" s="66" t="str">
        <f t="shared" si="104"/>
        <v>49-50</v>
      </c>
      <c r="F369" s="68">
        <f t="shared" si="105"/>
        <v>384</v>
      </c>
      <c r="G369" s="68">
        <v>16</v>
      </c>
      <c r="H369" s="68">
        <v>0.1</v>
      </c>
      <c r="I369" s="68">
        <v>-40</v>
      </c>
      <c r="J369" s="68">
        <v>-40</v>
      </c>
      <c r="K369" s="224">
        <v>125.1</v>
      </c>
      <c r="L369" s="68">
        <v>0</v>
      </c>
      <c r="M369" s="68" t="s">
        <v>113</v>
      </c>
      <c r="N369" s="68">
        <f t="shared" si="98"/>
        <v>5</v>
      </c>
      <c r="O369" s="68"/>
      <c r="P369" s="68"/>
      <c r="Q369" s="68"/>
      <c r="R369" s="79"/>
      <c r="S369" s="81" t="s">
        <v>352</v>
      </c>
      <c r="T369" s="81" t="s">
        <v>352</v>
      </c>
      <c r="U369" s="81" t="s">
        <v>352</v>
      </c>
      <c r="V369" s="67" t="s">
        <v>724</v>
      </c>
      <c r="W369" s="79"/>
      <c r="X369" s="79"/>
      <c r="Y369" s="80" t="s">
        <v>407</v>
      </c>
      <c r="Z369" s="79"/>
      <c r="AA369" s="79"/>
    </row>
    <row r="370" spans="1:27" ht="24.75" hidden="1" outlineLevel="1" x14ac:dyDescent="0.35">
      <c r="A370" s="79"/>
      <c r="B370" s="79"/>
      <c r="C370" s="67" t="s">
        <v>725</v>
      </c>
      <c r="D370" s="80" t="s">
        <v>408</v>
      </c>
      <c r="E370" s="66" t="str">
        <f t="shared" si="104"/>
        <v>51-52</v>
      </c>
      <c r="F370" s="68">
        <f t="shared" si="105"/>
        <v>400</v>
      </c>
      <c r="G370" s="68">
        <v>16</v>
      </c>
      <c r="H370" s="68">
        <v>0.1</v>
      </c>
      <c r="I370" s="68">
        <v>-40</v>
      </c>
      <c r="J370" s="68">
        <v>-40</v>
      </c>
      <c r="K370" s="224">
        <v>125.1</v>
      </c>
      <c r="L370" s="68">
        <v>0</v>
      </c>
      <c r="M370" s="68" t="s">
        <v>113</v>
      </c>
      <c r="N370" s="68">
        <f t="shared" si="98"/>
        <v>5</v>
      </c>
      <c r="O370" s="68"/>
      <c r="P370" s="68"/>
      <c r="Q370" s="68"/>
      <c r="R370" s="79"/>
      <c r="S370" s="81" t="s">
        <v>352</v>
      </c>
      <c r="T370" s="81" t="s">
        <v>352</v>
      </c>
      <c r="U370" s="81" t="s">
        <v>352</v>
      </c>
      <c r="V370" s="67" t="s">
        <v>725</v>
      </c>
      <c r="W370" s="79"/>
      <c r="X370" s="79"/>
      <c r="Y370" s="80" t="s">
        <v>408</v>
      </c>
      <c r="Z370" s="79"/>
      <c r="AA370" s="79"/>
    </row>
    <row r="371" spans="1:27" ht="24.75" hidden="1" outlineLevel="1" x14ac:dyDescent="0.35">
      <c r="A371" s="79"/>
      <c r="B371" s="79"/>
      <c r="C371" s="67" t="s">
        <v>726</v>
      </c>
      <c r="D371" s="80" t="s">
        <v>409</v>
      </c>
      <c r="E371" s="66" t="str">
        <f t="shared" si="104"/>
        <v>53-54</v>
      </c>
      <c r="F371" s="68">
        <f t="shared" si="105"/>
        <v>416</v>
      </c>
      <c r="G371" s="68">
        <v>16</v>
      </c>
      <c r="H371" s="68">
        <v>0.1</v>
      </c>
      <c r="I371" s="68">
        <v>-40</v>
      </c>
      <c r="J371" s="68">
        <v>-40</v>
      </c>
      <c r="K371" s="224">
        <v>125.1</v>
      </c>
      <c r="L371" s="68">
        <v>0</v>
      </c>
      <c r="M371" s="68" t="s">
        <v>113</v>
      </c>
      <c r="N371" s="68">
        <f t="shared" si="98"/>
        <v>5</v>
      </c>
      <c r="O371" s="68"/>
      <c r="P371" s="68"/>
      <c r="Q371" s="68"/>
      <c r="R371" s="79"/>
      <c r="S371" s="81" t="s">
        <v>352</v>
      </c>
      <c r="T371" s="81" t="s">
        <v>352</v>
      </c>
      <c r="U371" s="81" t="s">
        <v>352</v>
      </c>
      <c r="V371" s="67" t="s">
        <v>726</v>
      </c>
      <c r="W371" s="79"/>
      <c r="X371" s="79"/>
      <c r="Y371" s="80" t="s">
        <v>409</v>
      </c>
      <c r="Z371" s="79"/>
      <c r="AA371" s="79"/>
    </row>
    <row r="372" spans="1:27" ht="24.75" hidden="1" outlineLevel="1" x14ac:dyDescent="0.35">
      <c r="A372" s="79"/>
      <c r="B372" s="79"/>
      <c r="C372" s="67" t="s">
        <v>727</v>
      </c>
      <c r="D372" s="80" t="s">
        <v>410</v>
      </c>
      <c r="E372" s="66" t="str">
        <f t="shared" si="104"/>
        <v>55-56</v>
      </c>
      <c r="F372" s="68">
        <f t="shared" si="105"/>
        <v>432</v>
      </c>
      <c r="G372" s="68">
        <v>16</v>
      </c>
      <c r="H372" s="68">
        <v>0.1</v>
      </c>
      <c r="I372" s="68">
        <v>-40</v>
      </c>
      <c r="J372" s="68">
        <v>-40</v>
      </c>
      <c r="K372" s="224">
        <v>125.1</v>
      </c>
      <c r="L372" s="68">
        <v>0</v>
      </c>
      <c r="M372" s="68" t="s">
        <v>113</v>
      </c>
      <c r="N372" s="68">
        <f t="shared" si="98"/>
        <v>5</v>
      </c>
      <c r="O372" s="68"/>
      <c r="P372" s="68"/>
      <c r="Q372" s="68"/>
      <c r="R372" s="79"/>
      <c r="S372" s="81" t="s">
        <v>352</v>
      </c>
      <c r="T372" s="81" t="s">
        <v>352</v>
      </c>
      <c r="U372" s="81" t="s">
        <v>352</v>
      </c>
      <c r="V372" s="67" t="s">
        <v>727</v>
      </c>
      <c r="W372" s="79"/>
      <c r="X372" s="79"/>
      <c r="Y372" s="80" t="s">
        <v>410</v>
      </c>
      <c r="Z372" s="79"/>
      <c r="AA372" s="79"/>
    </row>
    <row r="373" spans="1:27" s="352" customFormat="1" ht="15" customHeight="1" collapsed="1" x14ac:dyDescent="0.35">
      <c r="A373" s="284" t="s">
        <v>349</v>
      </c>
      <c r="B373" s="284" t="s">
        <v>1075</v>
      </c>
      <c r="C373" s="91"/>
      <c r="D373" s="94"/>
      <c r="E373" s="92">
        <v>36</v>
      </c>
      <c r="F373" s="61"/>
      <c r="G373" s="61"/>
      <c r="H373" s="61"/>
      <c r="I373" s="61"/>
      <c r="J373" s="61"/>
      <c r="K373" s="61"/>
      <c r="L373" s="61"/>
      <c r="M373" s="61"/>
      <c r="N373" s="93">
        <f>SUM(N374:N386)</f>
        <v>30</v>
      </c>
      <c r="O373" s="93"/>
      <c r="P373" s="93"/>
      <c r="Q373" s="93"/>
      <c r="R373" s="91"/>
      <c r="S373" s="95"/>
      <c r="T373" s="95"/>
      <c r="U373" s="95"/>
      <c r="V373" s="95"/>
      <c r="W373" s="91"/>
      <c r="X373" s="91"/>
      <c r="Y373" s="94"/>
      <c r="Z373" s="91"/>
      <c r="AA373" s="91"/>
    </row>
    <row r="374" spans="1:27" ht="24.75" hidden="1" outlineLevel="1" x14ac:dyDescent="0.35">
      <c r="A374" s="79"/>
      <c r="B374" s="79"/>
      <c r="C374" s="80" t="s">
        <v>728</v>
      </c>
      <c r="D374" s="80" t="s">
        <v>358</v>
      </c>
      <c r="E374" s="66" t="str">
        <f t="shared" ref="E374:E386" si="106">IF(INT((F374 + G374-1) / 8) + 1 = INT(F374 / 8) + 1, INT(F374 / 8) + 1, INT(F374 / 8) + 1 &amp; "-" &amp; INT((F374 + G374 - 1) / 8) + 1)</f>
        <v>1-4</v>
      </c>
      <c r="F374" s="66">
        <v>0</v>
      </c>
      <c r="G374" s="66">
        <v>32</v>
      </c>
      <c r="H374" s="66">
        <v>1.953125E-3</v>
      </c>
      <c r="I374" s="66">
        <v>0</v>
      </c>
      <c r="J374" s="66">
        <v>0</v>
      </c>
      <c r="K374" s="218">
        <v>100</v>
      </c>
      <c r="L374" s="66">
        <v>0</v>
      </c>
      <c r="M374" s="66" t="s">
        <v>132</v>
      </c>
      <c r="N374" s="68">
        <f t="shared" si="98"/>
        <v>3</v>
      </c>
      <c r="O374" s="68"/>
      <c r="P374" s="68"/>
      <c r="Q374" s="68"/>
      <c r="R374" s="79"/>
      <c r="S374" s="81" t="s">
        <v>352</v>
      </c>
      <c r="T374" s="81" t="s">
        <v>352</v>
      </c>
      <c r="U374" s="81" t="s">
        <v>352</v>
      </c>
      <c r="V374" s="67" t="s">
        <v>728</v>
      </c>
      <c r="W374" s="79"/>
      <c r="X374" s="79"/>
      <c r="Y374" s="80" t="s">
        <v>358</v>
      </c>
      <c r="Z374" s="79"/>
      <c r="AA374" s="79"/>
    </row>
    <row r="375" spans="1:27" ht="24.75" hidden="1" outlineLevel="1" x14ac:dyDescent="0.35">
      <c r="A375" s="79"/>
      <c r="B375" s="79"/>
      <c r="C375" s="80" t="s">
        <v>729</v>
      </c>
      <c r="D375" s="80" t="s">
        <v>359</v>
      </c>
      <c r="E375" s="66" t="str">
        <f t="shared" si="106"/>
        <v>5-8</v>
      </c>
      <c r="F375" s="66">
        <f t="shared" ref="F375:F386" si="107">F374+G374</f>
        <v>32</v>
      </c>
      <c r="G375" s="66">
        <v>32</v>
      </c>
      <c r="H375" s="66">
        <v>1.953125E-3</v>
      </c>
      <c r="I375" s="66">
        <v>0</v>
      </c>
      <c r="J375" s="66">
        <v>0</v>
      </c>
      <c r="K375" s="218">
        <v>100</v>
      </c>
      <c r="L375" s="66">
        <v>0</v>
      </c>
      <c r="M375" s="66" t="s">
        <v>132</v>
      </c>
      <c r="N375" s="68">
        <f t="shared" si="98"/>
        <v>3</v>
      </c>
      <c r="O375" s="68"/>
      <c r="P375" s="68"/>
      <c r="Q375" s="68"/>
      <c r="R375" s="79"/>
      <c r="S375" s="81" t="s">
        <v>352</v>
      </c>
      <c r="T375" s="81" t="s">
        <v>352</v>
      </c>
      <c r="U375" s="81" t="s">
        <v>352</v>
      </c>
      <c r="V375" s="67" t="s">
        <v>729</v>
      </c>
      <c r="W375" s="79"/>
      <c r="X375" s="79"/>
      <c r="Y375" s="80" t="s">
        <v>359</v>
      </c>
      <c r="Z375" s="79"/>
      <c r="AA375" s="79"/>
    </row>
    <row r="376" spans="1:27" s="231" customFormat="1" ht="24.75" hidden="1" outlineLevel="1" x14ac:dyDescent="0.35">
      <c r="A376" s="219"/>
      <c r="B376" s="219"/>
      <c r="C376" s="222" t="s">
        <v>948</v>
      </c>
      <c r="D376" s="222" t="s">
        <v>1267</v>
      </c>
      <c r="E376" s="221" t="str">
        <f t="shared" si="106"/>
        <v>9-10</v>
      </c>
      <c r="F376" s="221">
        <f t="shared" si="107"/>
        <v>64</v>
      </c>
      <c r="G376" s="221">
        <v>16</v>
      </c>
      <c r="H376" s="221">
        <v>1</v>
      </c>
      <c r="I376" s="221">
        <v>0</v>
      </c>
      <c r="J376" s="221">
        <v>0</v>
      </c>
      <c r="K376" s="426">
        <f>(POWER(2,G376)-1)*H376+I376</f>
        <v>65535</v>
      </c>
      <c r="L376" s="221">
        <v>0</v>
      </c>
      <c r="M376" s="221" t="s">
        <v>632</v>
      </c>
      <c r="N376" s="224">
        <v>0</v>
      </c>
      <c r="O376" s="224"/>
      <c r="P376" s="224"/>
      <c r="Q376" s="224"/>
      <c r="R376" s="219"/>
      <c r="S376" s="226" t="s">
        <v>352</v>
      </c>
      <c r="T376" s="226" t="s">
        <v>352</v>
      </c>
      <c r="U376" s="226" t="s">
        <v>352</v>
      </c>
      <c r="V376" s="380" t="s">
        <v>632</v>
      </c>
      <c r="W376" s="219"/>
      <c r="X376" s="219"/>
      <c r="Y376" s="222" t="s">
        <v>1267</v>
      </c>
      <c r="Z376" s="219"/>
      <c r="AA376" s="219"/>
    </row>
    <row r="377" spans="1:27" s="231" customFormat="1" ht="24.75" hidden="1" outlineLevel="1" x14ac:dyDescent="0.35">
      <c r="A377" s="219"/>
      <c r="B377" s="219"/>
      <c r="C377" s="222" t="s">
        <v>1193</v>
      </c>
      <c r="D377" s="222" t="s">
        <v>1425</v>
      </c>
      <c r="E377" s="221" t="str">
        <f t="shared" si="106"/>
        <v>11-12</v>
      </c>
      <c r="F377" s="221">
        <f t="shared" si="107"/>
        <v>80</v>
      </c>
      <c r="G377" s="221">
        <v>16</v>
      </c>
      <c r="H377" s="221">
        <v>1</v>
      </c>
      <c r="I377" s="221">
        <v>0</v>
      </c>
      <c r="J377" s="221">
        <v>0</v>
      </c>
      <c r="K377" s="426">
        <f>(POWER(2,G377)-1)*H377+I377</f>
        <v>65535</v>
      </c>
      <c r="L377" s="221">
        <v>0</v>
      </c>
      <c r="M377" s="221" t="s">
        <v>632</v>
      </c>
      <c r="N377" s="224">
        <v>0</v>
      </c>
      <c r="O377" s="224"/>
      <c r="P377" s="224"/>
      <c r="Q377" s="224"/>
      <c r="R377" s="219"/>
      <c r="S377" s="226" t="s">
        <v>352</v>
      </c>
      <c r="T377" s="226" t="s">
        <v>352</v>
      </c>
      <c r="U377" s="226" t="s">
        <v>352</v>
      </c>
      <c r="V377" s="226" t="s">
        <v>352</v>
      </c>
      <c r="W377" s="219"/>
      <c r="X377" s="219"/>
      <c r="Y377" s="222" t="s">
        <v>1425</v>
      </c>
      <c r="Z377" s="219"/>
      <c r="AA377" s="219"/>
    </row>
    <row r="378" spans="1:27" ht="24.75" hidden="1" outlineLevel="1" x14ac:dyDescent="0.35">
      <c r="A378" s="79"/>
      <c r="B378" s="79"/>
      <c r="C378" s="80" t="s">
        <v>2186</v>
      </c>
      <c r="D378" s="80" t="s">
        <v>360</v>
      </c>
      <c r="E378" s="66" t="str">
        <f t="shared" si="106"/>
        <v>13-14</v>
      </c>
      <c r="F378" s="66">
        <f t="shared" si="107"/>
        <v>96</v>
      </c>
      <c r="G378" s="66">
        <v>16</v>
      </c>
      <c r="H378" s="66">
        <v>7.8125E-3</v>
      </c>
      <c r="I378" s="66">
        <v>0</v>
      </c>
      <c r="J378" s="66">
        <v>0</v>
      </c>
      <c r="K378" s="218">
        <v>100</v>
      </c>
      <c r="L378" s="66">
        <v>0</v>
      </c>
      <c r="M378" s="66" t="s">
        <v>132</v>
      </c>
      <c r="N378" s="68">
        <f t="shared" ref="N378:N471" si="108">LEN(K378)</f>
        <v>3</v>
      </c>
      <c r="O378" s="68"/>
      <c r="P378" s="68"/>
      <c r="Q378" s="68"/>
      <c r="R378" s="79"/>
      <c r="S378" s="81" t="s">
        <v>352</v>
      </c>
      <c r="T378" s="81" t="s">
        <v>352</v>
      </c>
      <c r="U378" s="81" t="s">
        <v>352</v>
      </c>
      <c r="V378" s="67" t="s">
        <v>732</v>
      </c>
      <c r="W378" s="79"/>
      <c r="X378" s="79"/>
      <c r="Y378" s="80" t="s">
        <v>360</v>
      </c>
      <c r="Z378" s="79"/>
      <c r="AA378" s="79"/>
    </row>
    <row r="379" spans="1:27" ht="24.75" hidden="1" outlineLevel="1" x14ac:dyDescent="0.35">
      <c r="A379" s="79"/>
      <c r="B379" s="79"/>
      <c r="C379" s="80" t="s">
        <v>730</v>
      </c>
      <c r="D379" s="80" t="s">
        <v>361</v>
      </c>
      <c r="E379" s="66" t="str">
        <f t="shared" si="106"/>
        <v>15-18</v>
      </c>
      <c r="F379" s="66">
        <f t="shared" si="107"/>
        <v>112</v>
      </c>
      <c r="G379" s="66">
        <v>32</v>
      </c>
      <c r="H379" s="66">
        <v>1.953125E-3</v>
      </c>
      <c r="I379" s="66">
        <v>0</v>
      </c>
      <c r="J379" s="66">
        <v>0</v>
      </c>
      <c r="K379" s="218">
        <v>50</v>
      </c>
      <c r="L379" s="66">
        <v>0</v>
      </c>
      <c r="M379" s="66" t="s">
        <v>132</v>
      </c>
      <c r="N379" s="68">
        <f t="shared" si="108"/>
        <v>2</v>
      </c>
      <c r="O379" s="68"/>
      <c r="P379" s="68"/>
      <c r="Q379" s="68"/>
      <c r="R379" s="79"/>
      <c r="S379" s="81" t="s">
        <v>352</v>
      </c>
      <c r="T379" s="81" t="s">
        <v>352</v>
      </c>
      <c r="U379" s="81" t="s">
        <v>352</v>
      </c>
      <c r="V379" s="67" t="s">
        <v>730</v>
      </c>
      <c r="W379" s="79"/>
      <c r="X379" s="79"/>
      <c r="Y379" s="80" t="s">
        <v>361</v>
      </c>
      <c r="Z379" s="79"/>
      <c r="AA379" s="79"/>
    </row>
    <row r="380" spans="1:27" ht="24.75" hidden="1" outlineLevel="1" x14ac:dyDescent="0.35">
      <c r="A380" s="79"/>
      <c r="B380" s="79"/>
      <c r="C380" s="80" t="s">
        <v>731</v>
      </c>
      <c r="D380" s="80" t="s">
        <v>362</v>
      </c>
      <c r="E380" s="66" t="str">
        <f t="shared" si="106"/>
        <v>19-22</v>
      </c>
      <c r="F380" s="66">
        <f t="shared" si="107"/>
        <v>144</v>
      </c>
      <c r="G380" s="66">
        <v>32</v>
      </c>
      <c r="H380" s="66">
        <v>1.953125E-3</v>
      </c>
      <c r="I380" s="66">
        <v>0</v>
      </c>
      <c r="J380" s="66">
        <v>0</v>
      </c>
      <c r="K380" s="218">
        <v>50</v>
      </c>
      <c r="L380" s="66">
        <v>0</v>
      </c>
      <c r="M380" s="66" t="s">
        <v>132</v>
      </c>
      <c r="N380" s="68">
        <f t="shared" si="108"/>
        <v>2</v>
      </c>
      <c r="O380" s="68"/>
      <c r="P380" s="68"/>
      <c r="Q380" s="68"/>
      <c r="R380" s="79"/>
      <c r="S380" s="81" t="s">
        <v>352</v>
      </c>
      <c r="T380" s="81" t="s">
        <v>352</v>
      </c>
      <c r="U380" s="81" t="s">
        <v>352</v>
      </c>
      <c r="V380" s="67" t="s">
        <v>731</v>
      </c>
      <c r="W380" s="79"/>
      <c r="X380" s="79"/>
      <c r="Y380" s="80" t="s">
        <v>362</v>
      </c>
      <c r="Z380" s="79"/>
      <c r="AA380" s="79"/>
    </row>
    <row r="381" spans="1:27" ht="24.75" hidden="1" outlineLevel="1" x14ac:dyDescent="0.35">
      <c r="A381" s="79"/>
      <c r="B381" s="79"/>
      <c r="C381" s="80" t="s">
        <v>733</v>
      </c>
      <c r="D381" s="80" t="s">
        <v>363</v>
      </c>
      <c r="E381" s="66" t="str">
        <f t="shared" si="106"/>
        <v>23-24</v>
      </c>
      <c r="F381" s="66">
        <f t="shared" si="107"/>
        <v>176</v>
      </c>
      <c r="G381" s="66">
        <v>16</v>
      </c>
      <c r="H381" s="66">
        <v>1.953125E-3</v>
      </c>
      <c r="I381" s="66">
        <v>0</v>
      </c>
      <c r="J381" s="66">
        <v>0</v>
      </c>
      <c r="K381" s="218">
        <v>100</v>
      </c>
      <c r="L381" s="66">
        <v>0</v>
      </c>
      <c r="M381" s="66" t="s">
        <v>132</v>
      </c>
      <c r="N381" s="68">
        <f t="shared" si="108"/>
        <v>3</v>
      </c>
      <c r="O381" s="68"/>
      <c r="P381" s="68"/>
      <c r="Q381" s="68"/>
      <c r="R381" s="79"/>
      <c r="S381" s="81" t="s">
        <v>352</v>
      </c>
      <c r="T381" s="81" t="s">
        <v>352</v>
      </c>
      <c r="U381" s="81" t="s">
        <v>352</v>
      </c>
      <c r="V381" s="67" t="s">
        <v>733</v>
      </c>
      <c r="W381" s="79"/>
      <c r="X381" s="79"/>
      <c r="Y381" s="80" t="s">
        <v>363</v>
      </c>
      <c r="Z381" s="79"/>
      <c r="AA381" s="79"/>
    </row>
    <row r="382" spans="1:27" ht="24.75" hidden="1" outlineLevel="1" x14ac:dyDescent="0.35">
      <c r="A382" s="79"/>
      <c r="B382" s="79"/>
      <c r="C382" s="80" t="s">
        <v>2187</v>
      </c>
      <c r="D382" s="80" t="s">
        <v>364</v>
      </c>
      <c r="E382" s="66" t="str">
        <f t="shared" si="106"/>
        <v>25-26</v>
      </c>
      <c r="F382" s="66">
        <f t="shared" si="107"/>
        <v>192</v>
      </c>
      <c r="G382" s="66">
        <v>16</v>
      </c>
      <c r="H382" s="66">
        <v>1.953125E-3</v>
      </c>
      <c r="I382" s="66">
        <v>0</v>
      </c>
      <c r="J382" s="66">
        <v>0</v>
      </c>
      <c r="K382" s="218">
        <v>100</v>
      </c>
      <c r="L382" s="66">
        <v>0</v>
      </c>
      <c r="M382" s="66" t="s">
        <v>132</v>
      </c>
      <c r="N382" s="68">
        <f t="shared" si="108"/>
        <v>3</v>
      </c>
      <c r="O382" s="68"/>
      <c r="P382" s="68"/>
      <c r="Q382" s="68"/>
      <c r="R382" s="79"/>
      <c r="S382" s="81" t="s">
        <v>352</v>
      </c>
      <c r="T382" s="81" t="s">
        <v>352</v>
      </c>
      <c r="U382" s="81" t="s">
        <v>352</v>
      </c>
      <c r="V382" s="67" t="s">
        <v>734</v>
      </c>
      <c r="W382" s="79"/>
      <c r="X382" s="79"/>
      <c r="Y382" s="80" t="s">
        <v>364</v>
      </c>
      <c r="Z382" s="79"/>
      <c r="AA382" s="79"/>
    </row>
    <row r="383" spans="1:27" ht="24.75" hidden="1" outlineLevel="1" x14ac:dyDescent="0.35">
      <c r="A383" s="79"/>
      <c r="B383" s="79"/>
      <c r="C383" s="80" t="s">
        <v>2185</v>
      </c>
      <c r="D383" s="80" t="s">
        <v>365</v>
      </c>
      <c r="E383" s="66" t="str">
        <f t="shared" si="106"/>
        <v>27-28</v>
      </c>
      <c r="F383" s="66">
        <f t="shared" si="107"/>
        <v>208</v>
      </c>
      <c r="G383" s="66">
        <v>16</v>
      </c>
      <c r="H383" s="66">
        <v>1.953125E-3</v>
      </c>
      <c r="I383" s="66">
        <v>0</v>
      </c>
      <c r="J383" s="66">
        <v>0</v>
      </c>
      <c r="K383" s="218">
        <v>100</v>
      </c>
      <c r="L383" s="66">
        <v>0</v>
      </c>
      <c r="M383" s="66" t="s">
        <v>132</v>
      </c>
      <c r="N383" s="68">
        <f t="shared" si="108"/>
        <v>3</v>
      </c>
      <c r="O383" s="68"/>
      <c r="P383" s="68"/>
      <c r="Q383" s="68"/>
      <c r="R383" s="79"/>
      <c r="S383" s="81" t="s">
        <v>352</v>
      </c>
      <c r="T383" s="81" t="s">
        <v>352</v>
      </c>
      <c r="U383" s="81" t="s">
        <v>352</v>
      </c>
      <c r="V383" s="67" t="s">
        <v>2185</v>
      </c>
      <c r="W383" s="79"/>
      <c r="X383" s="79"/>
      <c r="Y383" s="80" t="s">
        <v>365</v>
      </c>
      <c r="Z383" s="79"/>
      <c r="AA383" s="79"/>
    </row>
    <row r="384" spans="1:27" ht="24.75" hidden="1" outlineLevel="1" x14ac:dyDescent="0.35">
      <c r="A384" s="79"/>
      <c r="B384" s="79"/>
      <c r="C384" s="80" t="s">
        <v>2188</v>
      </c>
      <c r="D384" s="80" t="s">
        <v>366</v>
      </c>
      <c r="E384" s="66" t="str">
        <f t="shared" si="106"/>
        <v>29-30</v>
      </c>
      <c r="F384" s="66">
        <f t="shared" si="107"/>
        <v>224</v>
      </c>
      <c r="G384" s="66">
        <v>16</v>
      </c>
      <c r="H384" s="66">
        <v>1.953125E-3</v>
      </c>
      <c r="I384" s="66">
        <v>0</v>
      </c>
      <c r="J384" s="66">
        <v>0</v>
      </c>
      <c r="K384" s="218">
        <v>100</v>
      </c>
      <c r="L384" s="66">
        <v>0</v>
      </c>
      <c r="M384" s="66" t="s">
        <v>132</v>
      </c>
      <c r="N384" s="68">
        <f t="shared" si="108"/>
        <v>3</v>
      </c>
      <c r="O384" s="68"/>
      <c r="P384" s="68"/>
      <c r="Q384" s="68"/>
      <c r="R384" s="79"/>
      <c r="S384" s="81" t="s">
        <v>352</v>
      </c>
      <c r="T384" s="81" t="s">
        <v>352</v>
      </c>
      <c r="U384" s="81" t="s">
        <v>352</v>
      </c>
      <c r="V384" s="67" t="s">
        <v>735</v>
      </c>
      <c r="W384" s="79"/>
      <c r="X384" s="79"/>
      <c r="Y384" s="80" t="s">
        <v>366</v>
      </c>
      <c r="Z384" s="79"/>
      <c r="AA384" s="79"/>
    </row>
    <row r="385" spans="1:27" ht="24.75" hidden="1" outlineLevel="1" x14ac:dyDescent="0.35">
      <c r="A385" s="79"/>
      <c r="B385" s="79"/>
      <c r="C385" s="80" t="s">
        <v>2189</v>
      </c>
      <c r="D385" s="80" t="s">
        <v>367</v>
      </c>
      <c r="E385" s="66" t="str">
        <f t="shared" si="106"/>
        <v>31-32</v>
      </c>
      <c r="F385" s="66">
        <f t="shared" si="107"/>
        <v>240</v>
      </c>
      <c r="G385" s="66">
        <v>16</v>
      </c>
      <c r="H385" s="66">
        <v>1.953125E-3</v>
      </c>
      <c r="I385" s="66">
        <v>0</v>
      </c>
      <c r="J385" s="66">
        <v>0</v>
      </c>
      <c r="K385" s="218">
        <v>100</v>
      </c>
      <c r="L385" s="66">
        <v>0</v>
      </c>
      <c r="M385" s="66" t="s">
        <v>132</v>
      </c>
      <c r="N385" s="68">
        <f t="shared" si="108"/>
        <v>3</v>
      </c>
      <c r="O385" s="68"/>
      <c r="P385" s="68"/>
      <c r="Q385" s="68"/>
      <c r="R385" s="79"/>
      <c r="S385" s="81" t="s">
        <v>352</v>
      </c>
      <c r="T385" s="81" t="s">
        <v>352</v>
      </c>
      <c r="U385" s="81" t="s">
        <v>352</v>
      </c>
      <c r="V385" s="67" t="s">
        <v>736</v>
      </c>
      <c r="W385" s="79"/>
      <c r="X385" s="79"/>
      <c r="Y385" s="80" t="s">
        <v>367</v>
      </c>
      <c r="Z385" s="79"/>
      <c r="AA385" s="79"/>
    </row>
    <row r="386" spans="1:27" ht="24.75" hidden="1" outlineLevel="1" x14ac:dyDescent="0.35">
      <c r="A386" s="79"/>
      <c r="B386" s="79"/>
      <c r="C386" s="80" t="s">
        <v>1135</v>
      </c>
      <c r="D386" s="80" t="s">
        <v>368</v>
      </c>
      <c r="E386" s="66" t="str">
        <f t="shared" si="106"/>
        <v>33-36</v>
      </c>
      <c r="F386" s="66">
        <f t="shared" si="107"/>
        <v>256</v>
      </c>
      <c r="G386" s="66">
        <v>32</v>
      </c>
      <c r="H386" s="66">
        <v>1.953125E-3</v>
      </c>
      <c r="I386" s="66">
        <v>0</v>
      </c>
      <c r="J386" s="66">
        <v>0</v>
      </c>
      <c r="K386" s="218">
        <v>30</v>
      </c>
      <c r="L386" s="66">
        <v>0</v>
      </c>
      <c r="M386" s="66" t="s">
        <v>132</v>
      </c>
      <c r="N386" s="68">
        <f t="shared" si="108"/>
        <v>2</v>
      </c>
      <c r="O386" s="68"/>
      <c r="P386" s="79"/>
      <c r="Q386" s="79"/>
      <c r="R386" s="79"/>
      <c r="S386" s="81" t="s">
        <v>352</v>
      </c>
      <c r="T386" s="81" t="s">
        <v>352</v>
      </c>
      <c r="U386" s="81" t="s">
        <v>352</v>
      </c>
      <c r="V386" s="67" t="s">
        <v>1135</v>
      </c>
      <c r="W386" s="79"/>
      <c r="X386" s="79"/>
      <c r="Y386" s="80" t="s">
        <v>368</v>
      </c>
      <c r="Z386" s="79"/>
      <c r="AA386" s="79"/>
    </row>
    <row r="387" spans="1:27" s="352" customFormat="1" ht="15" customHeight="1" collapsed="1" x14ac:dyDescent="0.35">
      <c r="A387" s="284" t="s">
        <v>350</v>
      </c>
      <c r="B387" s="284" t="s">
        <v>1076</v>
      </c>
      <c r="C387" s="91"/>
      <c r="D387" s="94"/>
      <c r="E387" s="92">
        <v>2</v>
      </c>
      <c r="F387" s="61"/>
      <c r="G387" s="61"/>
      <c r="H387" s="61"/>
      <c r="I387" s="61"/>
      <c r="J387" s="61"/>
      <c r="K387" s="61"/>
      <c r="L387" s="61"/>
      <c r="M387" s="61"/>
      <c r="N387" s="93">
        <f>SUM(N388)</f>
        <v>1</v>
      </c>
      <c r="O387" s="93"/>
      <c r="P387" s="93"/>
      <c r="Q387" s="93"/>
      <c r="R387" s="91"/>
      <c r="S387" s="95"/>
      <c r="T387" s="95"/>
      <c r="U387" s="95"/>
      <c r="V387" s="95"/>
      <c r="W387" s="91"/>
      <c r="X387" s="91"/>
      <c r="Y387" s="94"/>
      <c r="Z387" s="91"/>
      <c r="AA387" s="91"/>
    </row>
    <row r="388" spans="1:27" ht="24.75" hidden="1" outlineLevel="1" x14ac:dyDescent="0.35">
      <c r="A388" s="79"/>
      <c r="B388" s="79"/>
      <c r="C388" s="80" t="s">
        <v>969</v>
      </c>
      <c r="D388" s="80" t="s">
        <v>357</v>
      </c>
      <c r="E388" s="66" t="str">
        <f t="shared" ref="E388" si="109">IF(INT((F388 + G388-1) / 8) + 1 = INT(F388 / 8) + 1, INT(F388 / 8) + 1, INT(F388 / 8) + 1 &amp; "-" &amp; INT((F388 + G388 - 1) / 8) + 1)</f>
        <v>1-2</v>
      </c>
      <c r="F388" s="66">
        <v>0</v>
      </c>
      <c r="G388" s="66">
        <v>16</v>
      </c>
      <c r="H388" s="66">
        <v>1</v>
      </c>
      <c r="I388" s="66">
        <v>0</v>
      </c>
      <c r="J388" s="66">
        <v>0</v>
      </c>
      <c r="K388" s="218">
        <v>1</v>
      </c>
      <c r="L388" s="66">
        <v>0</v>
      </c>
      <c r="M388" s="66" t="s">
        <v>938</v>
      </c>
      <c r="N388" s="68">
        <f t="shared" si="108"/>
        <v>1</v>
      </c>
      <c r="O388" s="68"/>
      <c r="P388" s="68"/>
      <c r="Q388" s="68"/>
      <c r="R388" s="79"/>
      <c r="S388" s="81" t="s">
        <v>352</v>
      </c>
      <c r="T388" s="81" t="s">
        <v>352</v>
      </c>
      <c r="U388" s="81" t="s">
        <v>352</v>
      </c>
      <c r="V388" s="67" t="s">
        <v>969</v>
      </c>
      <c r="W388" s="79"/>
      <c r="X388" s="79"/>
      <c r="Y388" s="80" t="s">
        <v>357</v>
      </c>
      <c r="Z388" s="79"/>
      <c r="AA388" s="79"/>
    </row>
    <row r="389" spans="1:27" s="352" customFormat="1" ht="15" customHeight="1" collapsed="1" x14ac:dyDescent="0.35">
      <c r="A389" s="284" t="s">
        <v>351</v>
      </c>
      <c r="B389" s="284" t="s">
        <v>1077</v>
      </c>
      <c r="C389" s="91"/>
      <c r="D389" s="94"/>
      <c r="E389" s="93">
        <v>78</v>
      </c>
      <c r="F389" s="61"/>
      <c r="G389" s="61"/>
      <c r="H389" s="61"/>
      <c r="I389" s="61"/>
      <c r="J389" s="61"/>
      <c r="K389" s="61"/>
      <c r="L389" s="61"/>
      <c r="M389" s="61"/>
      <c r="N389" s="93">
        <f>SUM(N390:N397)</f>
        <v>48</v>
      </c>
      <c r="O389" s="93"/>
      <c r="P389" s="93"/>
      <c r="Q389" s="93"/>
      <c r="R389" s="91"/>
      <c r="S389" s="95"/>
      <c r="T389" s="95"/>
      <c r="U389" s="95"/>
      <c r="V389" s="95"/>
      <c r="W389" s="91"/>
      <c r="X389" s="91"/>
      <c r="Y389" s="94"/>
      <c r="Z389" s="91"/>
      <c r="AA389" s="91"/>
    </row>
    <row r="390" spans="1:27" ht="30" hidden="1" customHeight="1" outlineLevel="1" x14ac:dyDescent="0.35">
      <c r="A390" s="79"/>
      <c r="B390" s="79"/>
      <c r="C390" s="80" t="s">
        <v>2386</v>
      </c>
      <c r="D390" s="80" t="s">
        <v>2433</v>
      </c>
      <c r="E390" s="66" t="str">
        <f>IF(INT((F390 + G390-1) / 8) + 1 = INT(F390 / 8) + 1, INT(F390 / 8) + 1, INT(F390 / 8) + 1 &amp; "-" &amp; INT((F390 + G390 - 1) / 8) + 1)</f>
        <v>1-2</v>
      </c>
      <c r="F390" s="427">
        <v>0</v>
      </c>
      <c r="G390" s="66">
        <v>16</v>
      </c>
      <c r="H390" s="66">
        <v>0.1</v>
      </c>
      <c r="I390" s="66">
        <v>-40</v>
      </c>
      <c r="J390" s="66">
        <v>-40</v>
      </c>
      <c r="K390" s="66">
        <f>(POWER(2,G390)-1)*H390+I390</f>
        <v>6513.5</v>
      </c>
      <c r="L390" s="66">
        <v>0</v>
      </c>
      <c r="M390" s="66" t="s">
        <v>742</v>
      </c>
      <c r="N390" s="66">
        <f t="shared" si="108"/>
        <v>6</v>
      </c>
      <c r="O390" s="79"/>
      <c r="P390" s="428"/>
      <c r="Q390" s="428"/>
      <c r="R390" s="79"/>
      <c r="S390" s="246" t="s">
        <v>352</v>
      </c>
      <c r="T390" s="81" t="s">
        <v>352</v>
      </c>
      <c r="U390" s="80" t="s">
        <v>2386</v>
      </c>
      <c r="V390" s="80" t="s">
        <v>2386</v>
      </c>
      <c r="W390" s="79"/>
      <c r="X390" s="79"/>
      <c r="Y390" s="80" t="s">
        <v>2433</v>
      </c>
      <c r="Z390" s="79"/>
      <c r="AA390" s="79"/>
    </row>
    <row r="391" spans="1:27" ht="30" hidden="1" customHeight="1" outlineLevel="1" x14ac:dyDescent="0.35">
      <c r="A391" s="79"/>
      <c r="B391" s="79"/>
      <c r="C391" s="80" t="s">
        <v>2387</v>
      </c>
      <c r="D391" s="80" t="s">
        <v>2440</v>
      </c>
      <c r="E391" s="66" t="str">
        <f t="shared" ref="E391:E428" si="110">IF(INT((F391 + G391-1) / 8) + 1 = INT(F391 / 8) + 1, INT(F391 / 8) + 1, INT(F391 / 8) + 1 &amp; "-" &amp; INT((F391 + G391 - 1) / 8) + 1)</f>
        <v>3-4</v>
      </c>
      <c r="F391" s="66">
        <f>F390+G390</f>
        <v>16</v>
      </c>
      <c r="G391" s="66">
        <v>16</v>
      </c>
      <c r="H391" s="66">
        <v>0.1</v>
      </c>
      <c r="I391" s="66">
        <v>-40</v>
      </c>
      <c r="J391" s="66">
        <v>-40</v>
      </c>
      <c r="K391" s="66">
        <f t="shared" ref="K391:K397" si="111">(POWER(2,G391)-1)*H391+I391</f>
        <v>6513.5</v>
      </c>
      <c r="L391" s="66">
        <v>0</v>
      </c>
      <c r="M391" s="66" t="s">
        <v>113</v>
      </c>
      <c r="N391" s="66">
        <f t="shared" si="108"/>
        <v>6</v>
      </c>
      <c r="O391" s="79"/>
      <c r="P391" s="428"/>
      <c r="Q391" s="428"/>
      <c r="R391" s="79"/>
      <c r="S391" s="246" t="s">
        <v>352</v>
      </c>
      <c r="T391" s="81" t="s">
        <v>352</v>
      </c>
      <c r="U391" s="80" t="s">
        <v>2387</v>
      </c>
      <c r="V391" s="80" t="s">
        <v>2387</v>
      </c>
      <c r="W391" s="79"/>
      <c r="X391" s="79"/>
      <c r="Y391" s="80" t="s">
        <v>2440</v>
      </c>
      <c r="Z391" s="79"/>
      <c r="AA391" s="79"/>
    </row>
    <row r="392" spans="1:27" ht="30" hidden="1" customHeight="1" outlineLevel="1" x14ac:dyDescent="0.35">
      <c r="A392" s="79"/>
      <c r="B392" s="79"/>
      <c r="C392" s="80" t="s">
        <v>2388</v>
      </c>
      <c r="D392" s="80" t="s">
        <v>2441</v>
      </c>
      <c r="E392" s="66" t="str">
        <f t="shared" si="110"/>
        <v>5-6</v>
      </c>
      <c r="F392" s="66">
        <f t="shared" ref="F392:F428" si="112">F391+G391</f>
        <v>32</v>
      </c>
      <c r="G392" s="66">
        <v>16</v>
      </c>
      <c r="H392" s="66">
        <v>0.1</v>
      </c>
      <c r="I392" s="66">
        <v>-40</v>
      </c>
      <c r="J392" s="66">
        <v>-40</v>
      </c>
      <c r="K392" s="66">
        <f t="shared" si="111"/>
        <v>6513.5</v>
      </c>
      <c r="L392" s="66">
        <v>0</v>
      </c>
      <c r="M392" s="66" t="s">
        <v>113</v>
      </c>
      <c r="N392" s="66">
        <f t="shared" si="108"/>
        <v>6</v>
      </c>
      <c r="O392" s="79"/>
      <c r="P392" s="428"/>
      <c r="Q392" s="428"/>
      <c r="R392" s="79"/>
      <c r="S392" s="246" t="s">
        <v>352</v>
      </c>
      <c r="T392" s="81" t="s">
        <v>352</v>
      </c>
      <c r="U392" s="80" t="s">
        <v>2388</v>
      </c>
      <c r="V392" s="80" t="s">
        <v>2388</v>
      </c>
      <c r="W392" s="79"/>
      <c r="X392" s="79"/>
      <c r="Y392" s="80" t="s">
        <v>2441</v>
      </c>
      <c r="Z392" s="79"/>
      <c r="AA392" s="79"/>
    </row>
    <row r="393" spans="1:27" ht="30" hidden="1" customHeight="1" outlineLevel="1" x14ac:dyDescent="0.35">
      <c r="A393" s="79"/>
      <c r="B393" s="79"/>
      <c r="C393" s="80" t="s">
        <v>2389</v>
      </c>
      <c r="D393" s="80" t="s">
        <v>2442</v>
      </c>
      <c r="E393" s="66" t="str">
        <f t="shared" si="110"/>
        <v>7-8</v>
      </c>
      <c r="F393" s="66">
        <f t="shared" si="112"/>
        <v>48</v>
      </c>
      <c r="G393" s="66">
        <v>16</v>
      </c>
      <c r="H393" s="66">
        <v>0.1</v>
      </c>
      <c r="I393" s="66">
        <v>-40</v>
      </c>
      <c r="J393" s="66">
        <v>-40</v>
      </c>
      <c r="K393" s="66">
        <f t="shared" si="111"/>
        <v>6513.5</v>
      </c>
      <c r="L393" s="66">
        <v>0</v>
      </c>
      <c r="M393" s="66" t="s">
        <v>113</v>
      </c>
      <c r="N393" s="66">
        <f t="shared" si="108"/>
        <v>6</v>
      </c>
      <c r="O393" s="79"/>
      <c r="P393" s="428"/>
      <c r="Q393" s="428"/>
      <c r="R393" s="79"/>
      <c r="S393" s="246" t="s">
        <v>352</v>
      </c>
      <c r="T393" s="81" t="s">
        <v>352</v>
      </c>
      <c r="U393" s="80" t="s">
        <v>2389</v>
      </c>
      <c r="V393" s="80" t="s">
        <v>2389</v>
      </c>
      <c r="W393" s="79"/>
      <c r="X393" s="79"/>
      <c r="Y393" s="80" t="s">
        <v>2442</v>
      </c>
      <c r="Z393" s="79"/>
      <c r="AA393" s="79"/>
    </row>
    <row r="394" spans="1:27" ht="30" hidden="1" customHeight="1" outlineLevel="1" x14ac:dyDescent="0.35">
      <c r="A394" s="79"/>
      <c r="B394" s="79"/>
      <c r="C394" s="80" t="s">
        <v>2390</v>
      </c>
      <c r="D394" s="80" t="s">
        <v>2434</v>
      </c>
      <c r="E394" s="66" t="str">
        <f t="shared" si="110"/>
        <v>9-10</v>
      </c>
      <c r="F394" s="66">
        <f t="shared" si="112"/>
        <v>64</v>
      </c>
      <c r="G394" s="66">
        <v>16</v>
      </c>
      <c r="H394" s="66">
        <v>0.1</v>
      </c>
      <c r="I394" s="66">
        <v>-40</v>
      </c>
      <c r="J394" s="66">
        <v>-40</v>
      </c>
      <c r="K394" s="66">
        <f t="shared" si="111"/>
        <v>6513.5</v>
      </c>
      <c r="L394" s="66">
        <v>0</v>
      </c>
      <c r="M394" s="66" t="s">
        <v>113</v>
      </c>
      <c r="N394" s="66">
        <f t="shared" si="108"/>
        <v>6</v>
      </c>
      <c r="O394" s="79"/>
      <c r="P394" s="428"/>
      <c r="Q394" s="428"/>
      <c r="R394" s="79"/>
      <c r="S394" s="246" t="s">
        <v>352</v>
      </c>
      <c r="T394" s="81" t="s">
        <v>352</v>
      </c>
      <c r="U394" s="80" t="s">
        <v>2390</v>
      </c>
      <c r="V394" s="80" t="s">
        <v>2390</v>
      </c>
      <c r="W394" s="79"/>
      <c r="X394" s="79"/>
      <c r="Y394" s="80" t="s">
        <v>2434</v>
      </c>
      <c r="Z394" s="79"/>
      <c r="AA394" s="79"/>
    </row>
    <row r="395" spans="1:27" ht="30" hidden="1" customHeight="1" outlineLevel="1" x14ac:dyDescent="0.35">
      <c r="A395" s="79"/>
      <c r="B395" s="79"/>
      <c r="C395" s="80" t="s">
        <v>2391</v>
      </c>
      <c r="D395" s="80" t="s">
        <v>2435</v>
      </c>
      <c r="E395" s="66" t="str">
        <f t="shared" si="110"/>
        <v>11-12</v>
      </c>
      <c r="F395" s="66">
        <f t="shared" si="112"/>
        <v>80</v>
      </c>
      <c r="G395" s="66">
        <v>16</v>
      </c>
      <c r="H395" s="66">
        <v>0.1</v>
      </c>
      <c r="I395" s="66">
        <v>-40</v>
      </c>
      <c r="J395" s="66">
        <v>-40</v>
      </c>
      <c r="K395" s="66">
        <f t="shared" si="111"/>
        <v>6513.5</v>
      </c>
      <c r="L395" s="66">
        <v>0</v>
      </c>
      <c r="M395" s="66" t="s">
        <v>113</v>
      </c>
      <c r="N395" s="66">
        <f t="shared" si="108"/>
        <v>6</v>
      </c>
      <c r="O395" s="79"/>
      <c r="P395" s="428"/>
      <c r="Q395" s="428"/>
      <c r="R395" s="79"/>
      <c r="S395" s="246" t="s">
        <v>352</v>
      </c>
      <c r="T395" s="81" t="s">
        <v>352</v>
      </c>
      <c r="U395" s="80" t="s">
        <v>2391</v>
      </c>
      <c r="V395" s="80" t="s">
        <v>2391</v>
      </c>
      <c r="W395" s="79"/>
      <c r="X395" s="79"/>
      <c r="Y395" s="80" t="s">
        <v>2435</v>
      </c>
      <c r="Z395" s="79"/>
      <c r="AA395" s="79"/>
    </row>
    <row r="396" spans="1:27" ht="30" hidden="1" customHeight="1" outlineLevel="1" x14ac:dyDescent="0.35">
      <c r="A396" s="79"/>
      <c r="B396" s="79"/>
      <c r="C396" s="80" t="s">
        <v>2392</v>
      </c>
      <c r="D396" s="80" t="s">
        <v>2425</v>
      </c>
      <c r="E396" s="66" t="str">
        <f t="shared" si="110"/>
        <v>13-14</v>
      </c>
      <c r="F396" s="66">
        <f t="shared" si="112"/>
        <v>96</v>
      </c>
      <c r="G396" s="66">
        <v>16</v>
      </c>
      <c r="H396" s="66">
        <v>0.1</v>
      </c>
      <c r="I396" s="66">
        <v>-40</v>
      </c>
      <c r="J396" s="66">
        <v>-40</v>
      </c>
      <c r="K396" s="66">
        <f t="shared" si="111"/>
        <v>6513.5</v>
      </c>
      <c r="L396" s="66">
        <v>0</v>
      </c>
      <c r="M396" s="66" t="s">
        <v>113</v>
      </c>
      <c r="N396" s="66">
        <f t="shared" si="108"/>
        <v>6</v>
      </c>
      <c r="O396" s="79"/>
      <c r="P396" s="428"/>
      <c r="Q396" s="428"/>
      <c r="R396" s="79"/>
      <c r="S396" s="246" t="s">
        <v>352</v>
      </c>
      <c r="T396" s="81" t="s">
        <v>352</v>
      </c>
      <c r="U396" s="80" t="s">
        <v>2392</v>
      </c>
      <c r="V396" s="80" t="s">
        <v>2392</v>
      </c>
      <c r="W396" s="79"/>
      <c r="X396" s="79"/>
      <c r="Y396" s="80" t="s">
        <v>2425</v>
      </c>
      <c r="Z396" s="79"/>
      <c r="AA396" s="79"/>
    </row>
    <row r="397" spans="1:27" ht="30" hidden="1" customHeight="1" outlineLevel="1" x14ac:dyDescent="0.35">
      <c r="A397" s="79"/>
      <c r="B397" s="79"/>
      <c r="C397" s="80" t="s">
        <v>2393</v>
      </c>
      <c r="D397" s="80" t="s">
        <v>2436</v>
      </c>
      <c r="E397" s="66" t="str">
        <f t="shared" si="110"/>
        <v>15-16</v>
      </c>
      <c r="F397" s="66">
        <f t="shared" si="112"/>
        <v>112</v>
      </c>
      <c r="G397" s="66">
        <v>16</v>
      </c>
      <c r="H397" s="66">
        <v>0.1</v>
      </c>
      <c r="I397" s="66">
        <v>-40</v>
      </c>
      <c r="J397" s="66">
        <v>-40</v>
      </c>
      <c r="K397" s="66">
        <f t="shared" si="111"/>
        <v>6513.5</v>
      </c>
      <c r="L397" s="66">
        <v>0</v>
      </c>
      <c r="M397" s="66" t="s">
        <v>113</v>
      </c>
      <c r="N397" s="66">
        <f t="shared" si="108"/>
        <v>6</v>
      </c>
      <c r="O397" s="79"/>
      <c r="P397" s="428"/>
      <c r="Q397" s="428"/>
      <c r="R397" s="79"/>
      <c r="S397" s="246" t="s">
        <v>352</v>
      </c>
      <c r="T397" s="81" t="s">
        <v>352</v>
      </c>
      <c r="U397" s="80" t="s">
        <v>2393</v>
      </c>
      <c r="V397" s="80" t="s">
        <v>2393</v>
      </c>
      <c r="W397" s="79"/>
      <c r="X397" s="79"/>
      <c r="Y397" s="80" t="s">
        <v>2436</v>
      </c>
      <c r="Z397" s="79"/>
      <c r="AA397" s="79"/>
    </row>
    <row r="398" spans="1:27" ht="30" hidden="1" customHeight="1" outlineLevel="1" x14ac:dyDescent="0.35">
      <c r="A398" s="79"/>
      <c r="B398" s="79"/>
      <c r="C398" s="80" t="s">
        <v>2394</v>
      </c>
      <c r="D398" s="80" t="s">
        <v>2443</v>
      </c>
      <c r="E398" s="66" t="str">
        <f t="shared" si="110"/>
        <v>17-18</v>
      </c>
      <c r="F398" s="66">
        <f t="shared" si="112"/>
        <v>128</v>
      </c>
      <c r="G398" s="66">
        <v>16</v>
      </c>
      <c r="H398" s="66">
        <v>0.1</v>
      </c>
      <c r="I398" s="66">
        <v>-40</v>
      </c>
      <c r="J398" s="66">
        <v>-40</v>
      </c>
      <c r="K398" s="66">
        <f>(POWER(2,G398)-1)*H398+I398</f>
        <v>6513.5</v>
      </c>
      <c r="L398" s="66">
        <v>0</v>
      </c>
      <c r="M398" s="66" t="s">
        <v>742</v>
      </c>
      <c r="N398" s="66">
        <f t="shared" ref="N398:N405" si="113">LEN(K398)</f>
        <v>6</v>
      </c>
      <c r="O398" s="79"/>
      <c r="P398" s="428"/>
      <c r="Q398" s="428"/>
      <c r="R398" s="79"/>
      <c r="S398" s="246" t="s">
        <v>352</v>
      </c>
      <c r="T398" s="81" t="s">
        <v>352</v>
      </c>
      <c r="U398" s="80" t="s">
        <v>2394</v>
      </c>
      <c r="V398" s="80" t="s">
        <v>2394</v>
      </c>
      <c r="W398" s="79"/>
      <c r="X398" s="79"/>
      <c r="Y398" s="80" t="s">
        <v>2443</v>
      </c>
      <c r="Z398" s="79"/>
      <c r="AA398" s="79"/>
    </row>
    <row r="399" spans="1:27" ht="30" hidden="1" customHeight="1" outlineLevel="1" x14ac:dyDescent="0.35">
      <c r="A399" s="79"/>
      <c r="B399" s="79"/>
      <c r="C399" s="80" t="s">
        <v>2395</v>
      </c>
      <c r="D399" s="80" t="s">
        <v>2444</v>
      </c>
      <c r="E399" s="66" t="str">
        <f t="shared" si="110"/>
        <v>19-20</v>
      </c>
      <c r="F399" s="66">
        <f t="shared" si="112"/>
        <v>144</v>
      </c>
      <c r="G399" s="66">
        <v>16</v>
      </c>
      <c r="H399" s="66">
        <v>0.1</v>
      </c>
      <c r="I399" s="66">
        <v>-40</v>
      </c>
      <c r="J399" s="66">
        <v>-40</v>
      </c>
      <c r="K399" s="66">
        <f t="shared" ref="K399:K405" si="114">(POWER(2,G399)-1)*H399+I399</f>
        <v>6513.5</v>
      </c>
      <c r="L399" s="66">
        <v>0</v>
      </c>
      <c r="M399" s="66" t="s">
        <v>113</v>
      </c>
      <c r="N399" s="66">
        <f t="shared" si="113"/>
        <v>6</v>
      </c>
      <c r="O399" s="79"/>
      <c r="P399" s="428"/>
      <c r="Q399" s="428"/>
      <c r="R399" s="79"/>
      <c r="S399" s="246" t="s">
        <v>352</v>
      </c>
      <c r="T399" s="81" t="s">
        <v>352</v>
      </c>
      <c r="U399" s="80" t="s">
        <v>2395</v>
      </c>
      <c r="V399" s="80" t="s">
        <v>2395</v>
      </c>
      <c r="W399" s="79"/>
      <c r="X399" s="79"/>
      <c r="Y399" s="80" t="s">
        <v>2444</v>
      </c>
      <c r="Z399" s="79"/>
      <c r="AA399" s="79"/>
    </row>
    <row r="400" spans="1:27" ht="30" hidden="1" customHeight="1" outlineLevel="1" x14ac:dyDescent="0.35">
      <c r="A400" s="79"/>
      <c r="B400" s="79"/>
      <c r="C400" s="80" t="s">
        <v>2396</v>
      </c>
      <c r="D400" s="80" t="s">
        <v>2445</v>
      </c>
      <c r="E400" s="66" t="str">
        <f t="shared" si="110"/>
        <v>21-22</v>
      </c>
      <c r="F400" s="66">
        <f t="shared" si="112"/>
        <v>160</v>
      </c>
      <c r="G400" s="66">
        <v>16</v>
      </c>
      <c r="H400" s="66">
        <v>0.1</v>
      </c>
      <c r="I400" s="66">
        <v>-40</v>
      </c>
      <c r="J400" s="66">
        <v>-40</v>
      </c>
      <c r="K400" s="66">
        <f t="shared" si="114"/>
        <v>6513.5</v>
      </c>
      <c r="L400" s="66">
        <v>0</v>
      </c>
      <c r="M400" s="66" t="s">
        <v>113</v>
      </c>
      <c r="N400" s="66">
        <f t="shared" si="113"/>
        <v>6</v>
      </c>
      <c r="O400" s="79"/>
      <c r="P400" s="428"/>
      <c r="Q400" s="428"/>
      <c r="R400" s="79"/>
      <c r="S400" s="246" t="s">
        <v>352</v>
      </c>
      <c r="T400" s="81" t="s">
        <v>352</v>
      </c>
      <c r="U400" s="80" t="s">
        <v>2396</v>
      </c>
      <c r="V400" s="80" t="s">
        <v>2396</v>
      </c>
      <c r="W400" s="79"/>
      <c r="X400" s="79"/>
      <c r="Y400" s="80" t="s">
        <v>2445</v>
      </c>
      <c r="Z400" s="79"/>
      <c r="AA400" s="79"/>
    </row>
    <row r="401" spans="1:27" ht="30" hidden="1" customHeight="1" outlineLevel="1" x14ac:dyDescent="0.35">
      <c r="A401" s="79"/>
      <c r="B401" s="79"/>
      <c r="C401" s="80" t="s">
        <v>2397</v>
      </c>
      <c r="D401" s="80" t="s">
        <v>2437</v>
      </c>
      <c r="E401" s="66" t="str">
        <f t="shared" si="110"/>
        <v>23-24</v>
      </c>
      <c r="F401" s="66">
        <f t="shared" si="112"/>
        <v>176</v>
      </c>
      <c r="G401" s="66">
        <v>16</v>
      </c>
      <c r="H401" s="66">
        <v>0.1</v>
      </c>
      <c r="I401" s="66">
        <v>-40</v>
      </c>
      <c r="J401" s="66">
        <v>-40</v>
      </c>
      <c r="K401" s="66">
        <f t="shared" si="114"/>
        <v>6513.5</v>
      </c>
      <c r="L401" s="66">
        <v>0</v>
      </c>
      <c r="M401" s="66" t="s">
        <v>113</v>
      </c>
      <c r="N401" s="66">
        <f t="shared" si="113"/>
        <v>6</v>
      </c>
      <c r="O401" s="79"/>
      <c r="P401" s="428"/>
      <c r="Q401" s="428"/>
      <c r="R401" s="79"/>
      <c r="S401" s="246" t="s">
        <v>352</v>
      </c>
      <c r="T401" s="81" t="s">
        <v>352</v>
      </c>
      <c r="U401" s="80" t="s">
        <v>2397</v>
      </c>
      <c r="V401" s="80" t="s">
        <v>2397</v>
      </c>
      <c r="W401" s="79"/>
      <c r="X401" s="79"/>
      <c r="Y401" s="80" t="s">
        <v>2437</v>
      </c>
      <c r="Z401" s="79"/>
      <c r="AA401" s="79"/>
    </row>
    <row r="402" spans="1:27" ht="30" hidden="1" customHeight="1" outlineLevel="1" x14ac:dyDescent="0.35">
      <c r="A402" s="79"/>
      <c r="B402" s="79"/>
      <c r="C402" s="80" t="s">
        <v>2398</v>
      </c>
      <c r="D402" s="80" t="s">
        <v>2438</v>
      </c>
      <c r="E402" s="66" t="str">
        <f t="shared" si="110"/>
        <v>25-26</v>
      </c>
      <c r="F402" s="66">
        <f t="shared" si="112"/>
        <v>192</v>
      </c>
      <c r="G402" s="66">
        <v>16</v>
      </c>
      <c r="H402" s="66">
        <v>0.1</v>
      </c>
      <c r="I402" s="66">
        <v>-40</v>
      </c>
      <c r="J402" s="66">
        <v>-40</v>
      </c>
      <c r="K402" s="66">
        <f t="shared" si="114"/>
        <v>6513.5</v>
      </c>
      <c r="L402" s="66">
        <v>0</v>
      </c>
      <c r="M402" s="66" t="s">
        <v>113</v>
      </c>
      <c r="N402" s="66">
        <f t="shared" si="113"/>
        <v>6</v>
      </c>
      <c r="O402" s="79"/>
      <c r="P402" s="428"/>
      <c r="Q402" s="428"/>
      <c r="R402" s="79"/>
      <c r="S402" s="246" t="s">
        <v>352</v>
      </c>
      <c r="T402" s="81" t="s">
        <v>352</v>
      </c>
      <c r="U402" s="80" t="s">
        <v>2398</v>
      </c>
      <c r="V402" s="80" t="s">
        <v>2398</v>
      </c>
      <c r="W402" s="79"/>
      <c r="X402" s="79"/>
      <c r="Y402" s="80" t="s">
        <v>2438</v>
      </c>
      <c r="Z402" s="79"/>
      <c r="AA402" s="79"/>
    </row>
    <row r="403" spans="1:27" ht="30" hidden="1" customHeight="1" outlineLevel="1" x14ac:dyDescent="0.35">
      <c r="A403" s="79"/>
      <c r="B403" s="79"/>
      <c r="C403" s="80" t="s">
        <v>2399</v>
      </c>
      <c r="D403" s="80" t="s">
        <v>2426</v>
      </c>
      <c r="E403" s="66" t="str">
        <f t="shared" si="110"/>
        <v>27-28</v>
      </c>
      <c r="F403" s="66">
        <f t="shared" si="112"/>
        <v>208</v>
      </c>
      <c r="G403" s="66">
        <v>16</v>
      </c>
      <c r="H403" s="66">
        <v>0.1</v>
      </c>
      <c r="I403" s="66">
        <v>-40</v>
      </c>
      <c r="J403" s="66">
        <v>-40</v>
      </c>
      <c r="K403" s="66">
        <f t="shared" si="114"/>
        <v>6513.5</v>
      </c>
      <c r="L403" s="66">
        <v>0</v>
      </c>
      <c r="M403" s="66" t="s">
        <v>113</v>
      </c>
      <c r="N403" s="66">
        <f t="shared" si="113"/>
        <v>6</v>
      </c>
      <c r="O403" s="79"/>
      <c r="P403" s="428"/>
      <c r="Q403" s="428"/>
      <c r="R403" s="79"/>
      <c r="S403" s="246" t="s">
        <v>352</v>
      </c>
      <c r="T403" s="81" t="s">
        <v>352</v>
      </c>
      <c r="U403" s="80" t="s">
        <v>2399</v>
      </c>
      <c r="V403" s="80" t="s">
        <v>2399</v>
      </c>
      <c r="W403" s="79"/>
      <c r="X403" s="79"/>
      <c r="Y403" s="80" t="s">
        <v>2426</v>
      </c>
      <c r="Z403" s="79"/>
      <c r="AA403" s="79"/>
    </row>
    <row r="404" spans="1:27" ht="30" hidden="1" customHeight="1" outlineLevel="1" x14ac:dyDescent="0.35">
      <c r="A404" s="79"/>
      <c r="B404" s="79"/>
      <c r="C404" s="80" t="s">
        <v>2400</v>
      </c>
      <c r="D404" s="80" t="s">
        <v>2439</v>
      </c>
      <c r="E404" s="66" t="str">
        <f t="shared" si="110"/>
        <v>29-30</v>
      </c>
      <c r="F404" s="66">
        <f t="shared" si="112"/>
        <v>224</v>
      </c>
      <c r="G404" s="66">
        <v>16</v>
      </c>
      <c r="H404" s="66">
        <v>0.1</v>
      </c>
      <c r="I404" s="66">
        <v>-40</v>
      </c>
      <c r="J404" s="66">
        <v>-40</v>
      </c>
      <c r="K404" s="66">
        <f t="shared" si="114"/>
        <v>6513.5</v>
      </c>
      <c r="L404" s="66">
        <v>0</v>
      </c>
      <c r="M404" s="66" t="s">
        <v>113</v>
      </c>
      <c r="N404" s="66">
        <f t="shared" si="113"/>
        <v>6</v>
      </c>
      <c r="O404" s="79"/>
      <c r="P404" s="428"/>
      <c r="Q404" s="428"/>
      <c r="R404" s="79"/>
      <c r="S404" s="246" t="s">
        <v>352</v>
      </c>
      <c r="T404" s="81" t="s">
        <v>352</v>
      </c>
      <c r="U404" s="80" t="s">
        <v>2400</v>
      </c>
      <c r="V404" s="80" t="s">
        <v>2400</v>
      </c>
      <c r="W404" s="79"/>
      <c r="X404" s="79"/>
      <c r="Y404" s="80" t="s">
        <v>2439</v>
      </c>
      <c r="Z404" s="79"/>
      <c r="AA404" s="79"/>
    </row>
    <row r="405" spans="1:27" ht="30" hidden="1" customHeight="1" outlineLevel="1" x14ac:dyDescent="0.35">
      <c r="A405" s="79"/>
      <c r="B405" s="79"/>
      <c r="C405" s="80" t="s">
        <v>2401</v>
      </c>
      <c r="D405" s="80" t="s">
        <v>2446</v>
      </c>
      <c r="E405" s="66" t="str">
        <f t="shared" si="110"/>
        <v>31-32</v>
      </c>
      <c r="F405" s="66">
        <f t="shared" si="112"/>
        <v>240</v>
      </c>
      <c r="G405" s="66">
        <v>16</v>
      </c>
      <c r="H405" s="66">
        <v>0.1</v>
      </c>
      <c r="I405" s="66">
        <v>-40</v>
      </c>
      <c r="J405" s="66">
        <v>-40</v>
      </c>
      <c r="K405" s="66">
        <f t="shared" si="114"/>
        <v>6513.5</v>
      </c>
      <c r="L405" s="66">
        <v>0</v>
      </c>
      <c r="M405" s="66" t="s">
        <v>113</v>
      </c>
      <c r="N405" s="66">
        <f t="shared" si="113"/>
        <v>6</v>
      </c>
      <c r="O405" s="79"/>
      <c r="P405" s="428"/>
      <c r="Q405" s="428"/>
      <c r="R405" s="79"/>
      <c r="S405" s="246" t="s">
        <v>352</v>
      </c>
      <c r="T405" s="81" t="s">
        <v>352</v>
      </c>
      <c r="U405" s="80" t="s">
        <v>2401</v>
      </c>
      <c r="V405" s="80" t="s">
        <v>2401</v>
      </c>
      <c r="W405" s="79"/>
      <c r="X405" s="79"/>
      <c r="Y405" s="80" t="s">
        <v>2446</v>
      </c>
      <c r="Z405" s="79"/>
      <c r="AA405" s="79"/>
    </row>
    <row r="406" spans="1:27" ht="30" hidden="1" customHeight="1" outlineLevel="1" x14ac:dyDescent="0.35">
      <c r="A406" s="79"/>
      <c r="B406" s="79"/>
      <c r="C406" s="80" t="s">
        <v>2402</v>
      </c>
      <c r="D406" s="80" t="s">
        <v>2447</v>
      </c>
      <c r="E406" s="66" t="str">
        <f t="shared" si="110"/>
        <v>33-34</v>
      </c>
      <c r="F406" s="66">
        <f t="shared" si="112"/>
        <v>256</v>
      </c>
      <c r="G406" s="66">
        <v>16</v>
      </c>
      <c r="H406" s="66">
        <v>0.1</v>
      </c>
      <c r="I406" s="66">
        <v>-40</v>
      </c>
      <c r="J406" s="66">
        <v>-40</v>
      </c>
      <c r="K406" s="66">
        <f>(POWER(2,G406)-1)*H406+I406</f>
        <v>6513.5</v>
      </c>
      <c r="L406" s="66">
        <v>0</v>
      </c>
      <c r="M406" s="66" t="s">
        <v>742</v>
      </c>
      <c r="N406" s="66">
        <f t="shared" ref="N406:N413" si="115">LEN(K406)</f>
        <v>6</v>
      </c>
      <c r="O406" s="79"/>
      <c r="P406" s="428"/>
      <c r="Q406" s="428"/>
      <c r="R406" s="79"/>
      <c r="S406" s="246" t="s">
        <v>352</v>
      </c>
      <c r="T406" s="81" t="s">
        <v>352</v>
      </c>
      <c r="U406" s="80" t="s">
        <v>2402</v>
      </c>
      <c r="V406" s="80" t="s">
        <v>2402</v>
      </c>
      <c r="W406" s="79"/>
      <c r="X406" s="79"/>
      <c r="Y406" s="80" t="s">
        <v>2447</v>
      </c>
      <c r="Z406" s="79"/>
      <c r="AA406" s="79"/>
    </row>
    <row r="407" spans="1:27" ht="30" hidden="1" customHeight="1" outlineLevel="1" x14ac:dyDescent="0.35">
      <c r="A407" s="79"/>
      <c r="B407" s="79"/>
      <c r="C407" s="80" t="s">
        <v>2403</v>
      </c>
      <c r="D407" s="80" t="s">
        <v>2448</v>
      </c>
      <c r="E407" s="66" t="str">
        <f t="shared" si="110"/>
        <v>35-36</v>
      </c>
      <c r="F407" s="66">
        <f t="shared" si="112"/>
        <v>272</v>
      </c>
      <c r="G407" s="66">
        <v>16</v>
      </c>
      <c r="H407" s="66">
        <v>0.1</v>
      </c>
      <c r="I407" s="66">
        <v>-40</v>
      </c>
      <c r="J407" s="66">
        <v>-40</v>
      </c>
      <c r="K407" s="66">
        <f t="shared" ref="K407:K413" si="116">(POWER(2,G407)-1)*H407+I407</f>
        <v>6513.5</v>
      </c>
      <c r="L407" s="66">
        <v>0</v>
      </c>
      <c r="M407" s="66" t="s">
        <v>113</v>
      </c>
      <c r="N407" s="66">
        <f t="shared" si="115"/>
        <v>6</v>
      </c>
      <c r="O407" s="79"/>
      <c r="P407" s="428"/>
      <c r="Q407" s="428"/>
      <c r="R407" s="79"/>
      <c r="S407" s="246" t="s">
        <v>352</v>
      </c>
      <c r="T407" s="81" t="s">
        <v>352</v>
      </c>
      <c r="U407" s="80" t="s">
        <v>2403</v>
      </c>
      <c r="V407" s="80" t="s">
        <v>2403</v>
      </c>
      <c r="W407" s="79"/>
      <c r="X407" s="79"/>
      <c r="Y407" s="80" t="s">
        <v>2448</v>
      </c>
      <c r="Z407" s="79"/>
      <c r="AA407" s="79"/>
    </row>
    <row r="408" spans="1:27" ht="30" hidden="1" customHeight="1" outlineLevel="1" x14ac:dyDescent="0.35">
      <c r="A408" s="79"/>
      <c r="B408" s="79"/>
      <c r="C408" s="80" t="s">
        <v>2404</v>
      </c>
      <c r="D408" s="80" t="s">
        <v>2449</v>
      </c>
      <c r="E408" s="66" t="str">
        <f t="shared" si="110"/>
        <v>37-38</v>
      </c>
      <c r="F408" s="66">
        <f t="shared" si="112"/>
        <v>288</v>
      </c>
      <c r="G408" s="66">
        <v>16</v>
      </c>
      <c r="H408" s="66">
        <v>0.1</v>
      </c>
      <c r="I408" s="66">
        <v>-40</v>
      </c>
      <c r="J408" s="66">
        <v>-40</v>
      </c>
      <c r="K408" s="66">
        <f t="shared" si="116"/>
        <v>6513.5</v>
      </c>
      <c r="L408" s="66">
        <v>0</v>
      </c>
      <c r="M408" s="66" t="s">
        <v>113</v>
      </c>
      <c r="N408" s="66">
        <f t="shared" si="115"/>
        <v>6</v>
      </c>
      <c r="O408" s="79"/>
      <c r="P408" s="428"/>
      <c r="Q408" s="428"/>
      <c r="R408" s="79"/>
      <c r="S408" s="246" t="s">
        <v>352</v>
      </c>
      <c r="T408" s="81" t="s">
        <v>352</v>
      </c>
      <c r="U408" s="80" t="s">
        <v>2404</v>
      </c>
      <c r="V408" s="80" t="s">
        <v>2404</v>
      </c>
      <c r="W408" s="79"/>
      <c r="X408" s="79"/>
      <c r="Y408" s="80" t="s">
        <v>2449</v>
      </c>
      <c r="Z408" s="79"/>
      <c r="AA408" s="79"/>
    </row>
    <row r="409" spans="1:27" ht="30" hidden="1" customHeight="1" outlineLevel="1" x14ac:dyDescent="0.35">
      <c r="A409" s="79"/>
      <c r="B409" s="79"/>
      <c r="C409" s="80" t="s">
        <v>2405</v>
      </c>
      <c r="D409" s="80" t="s">
        <v>2450</v>
      </c>
      <c r="E409" s="66" t="str">
        <f t="shared" si="110"/>
        <v>39-40</v>
      </c>
      <c r="F409" s="66">
        <f t="shared" si="112"/>
        <v>304</v>
      </c>
      <c r="G409" s="66">
        <v>16</v>
      </c>
      <c r="H409" s="66">
        <v>0.1</v>
      </c>
      <c r="I409" s="66">
        <v>-40</v>
      </c>
      <c r="J409" s="66">
        <v>-40</v>
      </c>
      <c r="K409" s="66">
        <f t="shared" si="116"/>
        <v>6513.5</v>
      </c>
      <c r="L409" s="66">
        <v>0</v>
      </c>
      <c r="M409" s="66" t="s">
        <v>113</v>
      </c>
      <c r="N409" s="66">
        <f t="shared" si="115"/>
        <v>6</v>
      </c>
      <c r="O409" s="79"/>
      <c r="P409" s="428"/>
      <c r="Q409" s="428"/>
      <c r="R409" s="79"/>
      <c r="S409" s="246" t="s">
        <v>352</v>
      </c>
      <c r="T409" s="81" t="s">
        <v>352</v>
      </c>
      <c r="U409" s="80" t="s">
        <v>2405</v>
      </c>
      <c r="V409" s="80" t="s">
        <v>2405</v>
      </c>
      <c r="W409" s="79"/>
      <c r="X409" s="79"/>
      <c r="Y409" s="80" t="s">
        <v>2450</v>
      </c>
      <c r="Z409" s="79"/>
      <c r="AA409" s="79"/>
    </row>
    <row r="410" spans="1:27" ht="30" hidden="1" customHeight="1" outlineLevel="1" x14ac:dyDescent="0.35">
      <c r="A410" s="79"/>
      <c r="B410" s="79"/>
      <c r="C410" s="80" t="s">
        <v>2406</v>
      </c>
      <c r="D410" s="80" t="s">
        <v>2427</v>
      </c>
      <c r="E410" s="66" t="str">
        <f t="shared" si="110"/>
        <v>41-42</v>
      </c>
      <c r="F410" s="66">
        <f t="shared" si="112"/>
        <v>320</v>
      </c>
      <c r="G410" s="66">
        <v>16</v>
      </c>
      <c r="H410" s="66">
        <v>0.1</v>
      </c>
      <c r="I410" s="66">
        <v>-40</v>
      </c>
      <c r="J410" s="66">
        <v>-40</v>
      </c>
      <c r="K410" s="66">
        <f t="shared" si="116"/>
        <v>6513.5</v>
      </c>
      <c r="L410" s="66">
        <v>0</v>
      </c>
      <c r="M410" s="66" t="s">
        <v>113</v>
      </c>
      <c r="N410" s="66">
        <f t="shared" si="115"/>
        <v>6</v>
      </c>
      <c r="O410" s="79"/>
      <c r="P410" s="428"/>
      <c r="Q410" s="428"/>
      <c r="R410" s="79"/>
      <c r="S410" s="246" t="s">
        <v>352</v>
      </c>
      <c r="T410" s="81" t="s">
        <v>352</v>
      </c>
      <c r="U410" s="80" t="s">
        <v>2406</v>
      </c>
      <c r="V410" s="80" t="s">
        <v>2406</v>
      </c>
      <c r="W410" s="79"/>
      <c r="X410" s="79"/>
      <c r="Y410" s="80" t="s">
        <v>2427</v>
      </c>
      <c r="Z410" s="79"/>
      <c r="AA410" s="79"/>
    </row>
    <row r="411" spans="1:27" ht="30" hidden="1" customHeight="1" outlineLevel="1" x14ac:dyDescent="0.35">
      <c r="A411" s="79"/>
      <c r="B411" s="79"/>
      <c r="C411" s="80" t="s">
        <v>2407</v>
      </c>
      <c r="D411" s="80" t="s">
        <v>2451</v>
      </c>
      <c r="E411" s="66" t="str">
        <f t="shared" si="110"/>
        <v>43-44</v>
      </c>
      <c r="F411" s="66">
        <f t="shared" si="112"/>
        <v>336</v>
      </c>
      <c r="G411" s="66">
        <v>16</v>
      </c>
      <c r="H411" s="66">
        <v>0.1</v>
      </c>
      <c r="I411" s="66">
        <v>-40</v>
      </c>
      <c r="J411" s="66">
        <v>-40</v>
      </c>
      <c r="K411" s="66">
        <f t="shared" si="116"/>
        <v>6513.5</v>
      </c>
      <c r="L411" s="66">
        <v>0</v>
      </c>
      <c r="M411" s="66" t="s">
        <v>113</v>
      </c>
      <c r="N411" s="66">
        <f t="shared" si="115"/>
        <v>6</v>
      </c>
      <c r="O411" s="79"/>
      <c r="P411" s="428"/>
      <c r="Q411" s="428"/>
      <c r="R411" s="79"/>
      <c r="S411" s="246" t="s">
        <v>352</v>
      </c>
      <c r="T411" s="81" t="s">
        <v>352</v>
      </c>
      <c r="U411" s="80" t="s">
        <v>2407</v>
      </c>
      <c r="V411" s="80" t="s">
        <v>2407</v>
      </c>
      <c r="W411" s="79"/>
      <c r="X411" s="79"/>
      <c r="Y411" s="80" t="s">
        <v>2451</v>
      </c>
      <c r="Z411" s="79"/>
      <c r="AA411" s="79"/>
    </row>
    <row r="412" spans="1:27" ht="30" hidden="1" customHeight="1" outlineLevel="1" x14ac:dyDescent="0.35">
      <c r="A412" s="79"/>
      <c r="B412" s="79"/>
      <c r="C412" s="80" t="s">
        <v>2408</v>
      </c>
      <c r="D412" s="80" t="s">
        <v>2452</v>
      </c>
      <c r="E412" s="66" t="str">
        <f t="shared" si="110"/>
        <v>45-46</v>
      </c>
      <c r="F412" s="66">
        <f t="shared" si="112"/>
        <v>352</v>
      </c>
      <c r="G412" s="66">
        <v>16</v>
      </c>
      <c r="H412" s="66">
        <v>0.1</v>
      </c>
      <c r="I412" s="66">
        <v>-40</v>
      </c>
      <c r="J412" s="66">
        <v>-40</v>
      </c>
      <c r="K412" s="66">
        <f t="shared" si="116"/>
        <v>6513.5</v>
      </c>
      <c r="L412" s="66">
        <v>0</v>
      </c>
      <c r="M412" s="66" t="s">
        <v>113</v>
      </c>
      <c r="N412" s="66">
        <f t="shared" si="115"/>
        <v>6</v>
      </c>
      <c r="O412" s="79"/>
      <c r="P412" s="428"/>
      <c r="Q412" s="428"/>
      <c r="R412" s="79"/>
      <c r="S412" s="246" t="s">
        <v>352</v>
      </c>
      <c r="T412" s="81" t="s">
        <v>352</v>
      </c>
      <c r="U412" s="80" t="s">
        <v>2408</v>
      </c>
      <c r="V412" s="80" t="s">
        <v>2408</v>
      </c>
      <c r="W412" s="79"/>
      <c r="X412" s="79"/>
      <c r="Y412" s="80" t="s">
        <v>2452</v>
      </c>
      <c r="Z412" s="79"/>
      <c r="AA412" s="79"/>
    </row>
    <row r="413" spans="1:27" ht="30" hidden="1" customHeight="1" outlineLevel="1" x14ac:dyDescent="0.35">
      <c r="A413" s="79"/>
      <c r="B413" s="79"/>
      <c r="C413" s="80" t="s">
        <v>2409</v>
      </c>
      <c r="D413" s="80" t="s">
        <v>2453</v>
      </c>
      <c r="E413" s="66" t="str">
        <f t="shared" si="110"/>
        <v>47-48</v>
      </c>
      <c r="F413" s="66">
        <f t="shared" si="112"/>
        <v>368</v>
      </c>
      <c r="G413" s="66">
        <v>16</v>
      </c>
      <c r="H413" s="66">
        <v>0.1</v>
      </c>
      <c r="I413" s="66">
        <v>-40</v>
      </c>
      <c r="J413" s="66">
        <v>-40</v>
      </c>
      <c r="K413" s="66">
        <f t="shared" si="116"/>
        <v>6513.5</v>
      </c>
      <c r="L413" s="66">
        <v>0</v>
      </c>
      <c r="M413" s="66" t="s">
        <v>113</v>
      </c>
      <c r="N413" s="66">
        <f t="shared" si="115"/>
        <v>6</v>
      </c>
      <c r="O413" s="79"/>
      <c r="P413" s="428"/>
      <c r="Q413" s="428"/>
      <c r="R413" s="79"/>
      <c r="S413" s="246" t="s">
        <v>352</v>
      </c>
      <c r="T413" s="81" t="s">
        <v>352</v>
      </c>
      <c r="U413" s="80" t="s">
        <v>2409</v>
      </c>
      <c r="V413" s="80" t="s">
        <v>2409</v>
      </c>
      <c r="W413" s="79"/>
      <c r="X413" s="79"/>
      <c r="Y413" s="80" t="s">
        <v>2453</v>
      </c>
      <c r="Z413" s="79"/>
      <c r="AA413" s="79"/>
    </row>
    <row r="414" spans="1:27" ht="30" hidden="1" customHeight="1" outlineLevel="1" x14ac:dyDescent="0.35">
      <c r="A414" s="79"/>
      <c r="B414" s="79"/>
      <c r="C414" s="80" t="s">
        <v>2410</v>
      </c>
      <c r="D414" s="80" t="s">
        <v>2454</v>
      </c>
      <c r="E414" s="66" t="str">
        <f t="shared" si="110"/>
        <v>49-50</v>
      </c>
      <c r="F414" s="66">
        <f t="shared" si="112"/>
        <v>384</v>
      </c>
      <c r="G414" s="66">
        <v>16</v>
      </c>
      <c r="H414" s="66">
        <v>0.1</v>
      </c>
      <c r="I414" s="66">
        <v>-40</v>
      </c>
      <c r="J414" s="66">
        <v>-40</v>
      </c>
      <c r="K414" s="66">
        <f t="shared" ref="K414:K419" si="117">(POWER(2,G414)-1)*H414+I414</f>
        <v>6513.5</v>
      </c>
      <c r="L414" s="66">
        <v>0</v>
      </c>
      <c r="M414" s="66" t="s">
        <v>113</v>
      </c>
      <c r="N414" s="66">
        <f t="shared" ref="N414:N419" si="118">LEN(K414)</f>
        <v>6</v>
      </c>
      <c r="O414" s="79"/>
      <c r="P414" s="428"/>
      <c r="Q414" s="428"/>
      <c r="R414" s="79"/>
      <c r="S414" s="246" t="s">
        <v>352</v>
      </c>
      <c r="T414" s="81" t="s">
        <v>352</v>
      </c>
      <c r="U414" s="80" t="s">
        <v>2410</v>
      </c>
      <c r="V414" s="80" t="s">
        <v>2410</v>
      </c>
      <c r="W414" s="79"/>
      <c r="X414" s="79"/>
      <c r="Y414" s="80" t="s">
        <v>2454</v>
      </c>
      <c r="Z414" s="79"/>
      <c r="AA414" s="79"/>
    </row>
    <row r="415" spans="1:27" ht="30" hidden="1" customHeight="1" outlineLevel="1" x14ac:dyDescent="0.35">
      <c r="A415" s="79"/>
      <c r="B415" s="79"/>
      <c r="C415" s="80" t="s">
        <v>2411</v>
      </c>
      <c r="D415" s="80" t="s">
        <v>2428</v>
      </c>
      <c r="E415" s="66" t="str">
        <f t="shared" si="110"/>
        <v>51-52</v>
      </c>
      <c r="F415" s="66">
        <f t="shared" si="112"/>
        <v>400</v>
      </c>
      <c r="G415" s="66">
        <v>16</v>
      </c>
      <c r="H415" s="66">
        <v>0.1</v>
      </c>
      <c r="I415" s="66">
        <v>-40</v>
      </c>
      <c r="J415" s="66">
        <v>-40</v>
      </c>
      <c r="K415" s="66">
        <f t="shared" si="117"/>
        <v>6513.5</v>
      </c>
      <c r="L415" s="66">
        <v>0</v>
      </c>
      <c r="M415" s="66" t="s">
        <v>113</v>
      </c>
      <c r="N415" s="66">
        <f t="shared" si="118"/>
        <v>6</v>
      </c>
      <c r="O415" s="79"/>
      <c r="P415" s="428"/>
      <c r="Q415" s="428"/>
      <c r="R415" s="79"/>
      <c r="S415" s="246" t="s">
        <v>352</v>
      </c>
      <c r="T415" s="81" t="s">
        <v>352</v>
      </c>
      <c r="U415" s="80" t="s">
        <v>2411</v>
      </c>
      <c r="V415" s="80" t="s">
        <v>2411</v>
      </c>
      <c r="W415" s="79"/>
      <c r="X415" s="79"/>
      <c r="Y415" s="80" t="s">
        <v>2428</v>
      </c>
      <c r="Z415" s="79"/>
      <c r="AA415" s="79"/>
    </row>
    <row r="416" spans="1:27" ht="30" hidden="1" customHeight="1" outlineLevel="1" x14ac:dyDescent="0.35">
      <c r="A416" s="79"/>
      <c r="B416" s="79"/>
      <c r="C416" s="80" t="s">
        <v>2412</v>
      </c>
      <c r="D416" s="80" t="s">
        <v>2455</v>
      </c>
      <c r="E416" s="66" t="str">
        <f t="shared" si="110"/>
        <v>53-54</v>
      </c>
      <c r="F416" s="66">
        <f t="shared" si="112"/>
        <v>416</v>
      </c>
      <c r="G416" s="66">
        <v>16</v>
      </c>
      <c r="H416" s="66">
        <v>0.1</v>
      </c>
      <c r="I416" s="66">
        <v>-40</v>
      </c>
      <c r="J416" s="66">
        <v>-40</v>
      </c>
      <c r="K416" s="66">
        <f t="shared" si="117"/>
        <v>6513.5</v>
      </c>
      <c r="L416" s="66">
        <v>0</v>
      </c>
      <c r="M416" s="66" t="s">
        <v>113</v>
      </c>
      <c r="N416" s="66">
        <f t="shared" si="118"/>
        <v>6</v>
      </c>
      <c r="O416" s="79"/>
      <c r="P416" s="428"/>
      <c r="Q416" s="428"/>
      <c r="R416" s="79"/>
      <c r="S416" s="246" t="s">
        <v>352</v>
      </c>
      <c r="T416" s="81" t="s">
        <v>352</v>
      </c>
      <c r="U416" s="80" t="s">
        <v>2412</v>
      </c>
      <c r="V416" s="80" t="s">
        <v>2412</v>
      </c>
      <c r="W416" s="79"/>
      <c r="X416" s="79"/>
      <c r="Y416" s="80" t="s">
        <v>2455</v>
      </c>
      <c r="Z416" s="79"/>
      <c r="AA416" s="79"/>
    </row>
    <row r="417" spans="1:27" ht="30" hidden="1" customHeight="1" outlineLevel="1" x14ac:dyDescent="0.35">
      <c r="A417" s="79"/>
      <c r="B417" s="79"/>
      <c r="C417" s="80" t="s">
        <v>2413</v>
      </c>
      <c r="D417" s="80" t="s">
        <v>2456</v>
      </c>
      <c r="E417" s="66" t="str">
        <f t="shared" si="110"/>
        <v>55-56</v>
      </c>
      <c r="F417" s="66">
        <f t="shared" si="112"/>
        <v>432</v>
      </c>
      <c r="G417" s="66">
        <v>16</v>
      </c>
      <c r="H417" s="66">
        <v>0.1</v>
      </c>
      <c r="I417" s="66">
        <v>-40</v>
      </c>
      <c r="J417" s="66">
        <v>-40</v>
      </c>
      <c r="K417" s="66">
        <f t="shared" si="117"/>
        <v>6513.5</v>
      </c>
      <c r="L417" s="66">
        <v>0</v>
      </c>
      <c r="M417" s="66" t="s">
        <v>113</v>
      </c>
      <c r="N417" s="66">
        <f t="shared" si="118"/>
        <v>6</v>
      </c>
      <c r="O417" s="79"/>
      <c r="P417" s="428"/>
      <c r="Q417" s="428"/>
      <c r="R417" s="79"/>
      <c r="S417" s="246" t="s">
        <v>352</v>
      </c>
      <c r="T417" s="81" t="s">
        <v>352</v>
      </c>
      <c r="U417" s="80" t="s">
        <v>2413</v>
      </c>
      <c r="V417" s="80" t="s">
        <v>2413</v>
      </c>
      <c r="W417" s="79"/>
      <c r="X417" s="79"/>
      <c r="Y417" s="80" t="s">
        <v>2456</v>
      </c>
      <c r="Z417" s="79"/>
      <c r="AA417" s="79"/>
    </row>
    <row r="418" spans="1:27" ht="30" hidden="1" customHeight="1" outlineLevel="1" x14ac:dyDescent="0.35">
      <c r="A418" s="79"/>
      <c r="B418" s="79"/>
      <c r="C418" s="80" t="s">
        <v>2414</v>
      </c>
      <c r="D418" s="80" t="s">
        <v>2457</v>
      </c>
      <c r="E418" s="66" t="str">
        <f t="shared" si="110"/>
        <v>57-58</v>
      </c>
      <c r="F418" s="66">
        <f t="shared" si="112"/>
        <v>448</v>
      </c>
      <c r="G418" s="66">
        <v>16</v>
      </c>
      <c r="H418" s="66">
        <v>0.1</v>
      </c>
      <c r="I418" s="66">
        <v>-40</v>
      </c>
      <c r="J418" s="66">
        <v>-40</v>
      </c>
      <c r="K418" s="66">
        <f t="shared" si="117"/>
        <v>6513.5</v>
      </c>
      <c r="L418" s="66">
        <v>0</v>
      </c>
      <c r="M418" s="66" t="s">
        <v>113</v>
      </c>
      <c r="N418" s="66">
        <f t="shared" si="118"/>
        <v>6</v>
      </c>
      <c r="O418" s="79"/>
      <c r="P418" s="428"/>
      <c r="Q418" s="428"/>
      <c r="R418" s="79"/>
      <c r="S418" s="246" t="s">
        <v>352</v>
      </c>
      <c r="T418" s="81" t="s">
        <v>352</v>
      </c>
      <c r="U418" s="80" t="s">
        <v>2414</v>
      </c>
      <c r="V418" s="80" t="s">
        <v>2414</v>
      </c>
      <c r="W418" s="79"/>
      <c r="X418" s="79"/>
      <c r="Y418" s="80" t="s">
        <v>2457</v>
      </c>
      <c r="Z418" s="79"/>
      <c r="AA418" s="79"/>
    </row>
    <row r="419" spans="1:27" ht="30" hidden="1" customHeight="1" outlineLevel="1" x14ac:dyDescent="0.35">
      <c r="A419" s="79"/>
      <c r="B419" s="79"/>
      <c r="C419" s="80" t="s">
        <v>2415</v>
      </c>
      <c r="D419" s="80" t="s">
        <v>2458</v>
      </c>
      <c r="E419" s="66" t="str">
        <f t="shared" si="110"/>
        <v>59-60</v>
      </c>
      <c r="F419" s="66">
        <f t="shared" si="112"/>
        <v>464</v>
      </c>
      <c r="G419" s="66">
        <v>16</v>
      </c>
      <c r="H419" s="66">
        <v>0.1</v>
      </c>
      <c r="I419" s="66">
        <v>-40</v>
      </c>
      <c r="J419" s="66">
        <v>-40</v>
      </c>
      <c r="K419" s="66">
        <f t="shared" si="117"/>
        <v>6513.5</v>
      </c>
      <c r="L419" s="66">
        <v>0</v>
      </c>
      <c r="M419" s="66" t="s">
        <v>113</v>
      </c>
      <c r="N419" s="66">
        <f t="shared" si="118"/>
        <v>6</v>
      </c>
      <c r="O419" s="79"/>
      <c r="P419" s="428"/>
      <c r="Q419" s="428"/>
      <c r="R419" s="79"/>
      <c r="S419" s="246" t="s">
        <v>352</v>
      </c>
      <c r="T419" s="81" t="s">
        <v>352</v>
      </c>
      <c r="U419" s="80" t="s">
        <v>2415</v>
      </c>
      <c r="V419" s="80" t="s">
        <v>2415</v>
      </c>
      <c r="W419" s="79"/>
      <c r="X419" s="79"/>
      <c r="Y419" s="80" t="s">
        <v>2458</v>
      </c>
      <c r="Z419" s="79"/>
      <c r="AA419" s="79"/>
    </row>
    <row r="420" spans="1:27" ht="30" hidden="1" customHeight="1" outlineLevel="1" x14ac:dyDescent="0.35">
      <c r="A420" s="79"/>
      <c r="B420" s="79"/>
      <c r="C420" s="80" t="s">
        <v>2416</v>
      </c>
      <c r="D420" s="80" t="s">
        <v>2468</v>
      </c>
      <c r="E420" s="66" t="str">
        <f t="shared" si="110"/>
        <v>61-62</v>
      </c>
      <c r="F420" s="66">
        <f t="shared" si="112"/>
        <v>480</v>
      </c>
      <c r="G420" s="66">
        <v>16</v>
      </c>
      <c r="H420" s="66">
        <v>0.1</v>
      </c>
      <c r="I420" s="66">
        <v>-40</v>
      </c>
      <c r="J420" s="66">
        <v>-40</v>
      </c>
      <c r="K420" s="66">
        <f t="shared" ref="K420:K425" si="119">(POWER(2,G420)-1)*H420+I420</f>
        <v>6513.5</v>
      </c>
      <c r="L420" s="66">
        <v>0</v>
      </c>
      <c r="M420" s="66" t="s">
        <v>113</v>
      </c>
      <c r="N420" s="66">
        <f t="shared" ref="N420:N425" si="120">LEN(K420)</f>
        <v>6</v>
      </c>
      <c r="O420" s="79"/>
      <c r="P420" s="428"/>
      <c r="Q420" s="428"/>
      <c r="R420" s="79"/>
      <c r="S420" s="246" t="s">
        <v>352</v>
      </c>
      <c r="T420" s="81" t="s">
        <v>352</v>
      </c>
      <c r="U420" s="80" t="s">
        <v>2416</v>
      </c>
      <c r="V420" s="80" t="s">
        <v>2416</v>
      </c>
      <c r="W420" s="79"/>
      <c r="X420" s="79"/>
      <c r="Y420" s="80" t="s">
        <v>2429</v>
      </c>
      <c r="Z420" s="79"/>
      <c r="AA420" s="79"/>
    </row>
    <row r="421" spans="1:27" ht="30" hidden="1" customHeight="1" outlineLevel="1" x14ac:dyDescent="0.35">
      <c r="A421" s="79"/>
      <c r="B421" s="79"/>
      <c r="C421" s="80" t="s">
        <v>2417</v>
      </c>
      <c r="D421" s="80" t="s">
        <v>2459</v>
      </c>
      <c r="E421" s="66" t="str">
        <f t="shared" si="110"/>
        <v>63-64</v>
      </c>
      <c r="F421" s="66">
        <f t="shared" si="112"/>
        <v>496</v>
      </c>
      <c r="G421" s="66">
        <v>16</v>
      </c>
      <c r="H421" s="66">
        <v>0.1</v>
      </c>
      <c r="I421" s="66">
        <v>-40</v>
      </c>
      <c r="J421" s="66">
        <v>-40</v>
      </c>
      <c r="K421" s="66">
        <f t="shared" si="119"/>
        <v>6513.5</v>
      </c>
      <c r="L421" s="66">
        <v>0</v>
      </c>
      <c r="M421" s="66" t="s">
        <v>113</v>
      </c>
      <c r="N421" s="66">
        <f t="shared" si="120"/>
        <v>6</v>
      </c>
      <c r="O421" s="79"/>
      <c r="P421" s="428"/>
      <c r="Q421" s="428"/>
      <c r="R421" s="79"/>
      <c r="S421" s="246" t="s">
        <v>352</v>
      </c>
      <c r="T421" s="81" t="s">
        <v>352</v>
      </c>
      <c r="U421" s="80" t="s">
        <v>2417</v>
      </c>
      <c r="V421" s="80" t="s">
        <v>2417</v>
      </c>
      <c r="W421" s="79"/>
      <c r="X421" s="79"/>
      <c r="Y421" s="80" t="s">
        <v>2459</v>
      </c>
      <c r="Z421" s="79"/>
      <c r="AA421" s="79"/>
    </row>
    <row r="422" spans="1:27" ht="30" hidden="1" customHeight="1" outlineLevel="1" x14ac:dyDescent="0.35">
      <c r="A422" s="79"/>
      <c r="B422" s="79"/>
      <c r="C422" s="80" t="s">
        <v>2418</v>
      </c>
      <c r="D422" s="80" t="s">
        <v>2460</v>
      </c>
      <c r="E422" s="66" t="str">
        <f t="shared" si="110"/>
        <v>65-66</v>
      </c>
      <c r="F422" s="66">
        <f t="shared" si="112"/>
        <v>512</v>
      </c>
      <c r="G422" s="66">
        <v>16</v>
      </c>
      <c r="H422" s="66">
        <v>0.1</v>
      </c>
      <c r="I422" s="66">
        <v>-40</v>
      </c>
      <c r="J422" s="66">
        <v>-40</v>
      </c>
      <c r="K422" s="66">
        <f t="shared" si="119"/>
        <v>6513.5</v>
      </c>
      <c r="L422" s="66">
        <v>0</v>
      </c>
      <c r="M422" s="66" t="s">
        <v>113</v>
      </c>
      <c r="N422" s="66">
        <f t="shared" si="120"/>
        <v>6</v>
      </c>
      <c r="O422" s="79"/>
      <c r="P422" s="428"/>
      <c r="Q422" s="428"/>
      <c r="R422" s="79"/>
      <c r="S422" s="246" t="s">
        <v>352</v>
      </c>
      <c r="T422" s="81" t="s">
        <v>352</v>
      </c>
      <c r="U422" s="80" t="s">
        <v>2418</v>
      </c>
      <c r="V422" s="80" t="s">
        <v>2418</v>
      </c>
      <c r="W422" s="79"/>
      <c r="X422" s="79"/>
      <c r="Y422" s="80" t="s">
        <v>2460</v>
      </c>
      <c r="Z422" s="79"/>
      <c r="AA422" s="79"/>
    </row>
    <row r="423" spans="1:27" ht="30" hidden="1" customHeight="1" outlineLevel="1" x14ac:dyDescent="0.35">
      <c r="A423" s="79"/>
      <c r="B423" s="79"/>
      <c r="C423" s="80" t="s">
        <v>2419</v>
      </c>
      <c r="D423" s="80" t="s">
        <v>2461</v>
      </c>
      <c r="E423" s="66" t="str">
        <f t="shared" si="110"/>
        <v>67-68</v>
      </c>
      <c r="F423" s="66">
        <f t="shared" si="112"/>
        <v>528</v>
      </c>
      <c r="G423" s="66">
        <v>16</v>
      </c>
      <c r="H423" s="66">
        <v>0.1</v>
      </c>
      <c r="I423" s="66">
        <v>-40</v>
      </c>
      <c r="J423" s="66">
        <v>-40</v>
      </c>
      <c r="K423" s="66">
        <f t="shared" si="119"/>
        <v>6513.5</v>
      </c>
      <c r="L423" s="66">
        <v>0</v>
      </c>
      <c r="M423" s="66" t="s">
        <v>113</v>
      </c>
      <c r="N423" s="66">
        <f t="shared" si="120"/>
        <v>6</v>
      </c>
      <c r="O423" s="79"/>
      <c r="P423" s="428"/>
      <c r="Q423" s="428"/>
      <c r="R423" s="79"/>
      <c r="S423" s="246" t="s">
        <v>352</v>
      </c>
      <c r="T423" s="81" t="s">
        <v>352</v>
      </c>
      <c r="U423" s="80" t="s">
        <v>2419</v>
      </c>
      <c r="V423" s="80" t="s">
        <v>2419</v>
      </c>
      <c r="W423" s="79"/>
      <c r="X423" s="79"/>
      <c r="Y423" s="80" t="s">
        <v>2461</v>
      </c>
      <c r="Z423" s="79"/>
      <c r="AA423" s="79"/>
    </row>
    <row r="424" spans="1:27" ht="30" hidden="1" customHeight="1" outlineLevel="1" x14ac:dyDescent="0.35">
      <c r="A424" s="79"/>
      <c r="B424" s="79"/>
      <c r="C424" s="80" t="s">
        <v>2420</v>
      </c>
      <c r="D424" s="80" t="s">
        <v>2462</v>
      </c>
      <c r="E424" s="66" t="str">
        <f t="shared" si="110"/>
        <v>69-70</v>
      </c>
      <c r="F424" s="66">
        <f t="shared" si="112"/>
        <v>544</v>
      </c>
      <c r="G424" s="66">
        <v>16</v>
      </c>
      <c r="H424" s="66">
        <v>0.1</v>
      </c>
      <c r="I424" s="66">
        <v>-40</v>
      </c>
      <c r="J424" s="66">
        <v>-40</v>
      </c>
      <c r="K424" s="66">
        <f t="shared" si="119"/>
        <v>6513.5</v>
      </c>
      <c r="L424" s="66">
        <v>0</v>
      </c>
      <c r="M424" s="66" t="s">
        <v>113</v>
      </c>
      <c r="N424" s="66">
        <f t="shared" si="120"/>
        <v>6</v>
      </c>
      <c r="O424" s="79"/>
      <c r="P424" s="428"/>
      <c r="Q424" s="428"/>
      <c r="R424" s="79"/>
      <c r="S424" s="246" t="s">
        <v>352</v>
      </c>
      <c r="T424" s="81" t="s">
        <v>352</v>
      </c>
      <c r="U424" s="80" t="s">
        <v>2420</v>
      </c>
      <c r="V424" s="80" t="s">
        <v>2420</v>
      </c>
      <c r="W424" s="79"/>
      <c r="X424" s="79"/>
      <c r="Y424" s="80" t="s">
        <v>2462</v>
      </c>
      <c r="Z424" s="79"/>
      <c r="AA424" s="79"/>
    </row>
    <row r="425" spans="1:27" ht="30" hidden="1" customHeight="1" outlineLevel="1" x14ac:dyDescent="0.35">
      <c r="A425" s="79"/>
      <c r="B425" s="79"/>
      <c r="C425" s="80" t="s">
        <v>2421</v>
      </c>
      <c r="D425" s="80" t="s">
        <v>2432</v>
      </c>
      <c r="E425" s="66" t="str">
        <f t="shared" si="110"/>
        <v>71-72</v>
      </c>
      <c r="F425" s="66">
        <f t="shared" si="112"/>
        <v>560</v>
      </c>
      <c r="G425" s="66">
        <v>16</v>
      </c>
      <c r="H425" s="66">
        <v>0.1</v>
      </c>
      <c r="I425" s="66">
        <v>-40</v>
      </c>
      <c r="J425" s="66">
        <v>-40</v>
      </c>
      <c r="K425" s="66">
        <f t="shared" si="119"/>
        <v>6513.5</v>
      </c>
      <c r="L425" s="66">
        <v>0</v>
      </c>
      <c r="M425" s="66" t="s">
        <v>113</v>
      </c>
      <c r="N425" s="66">
        <f t="shared" si="120"/>
        <v>6</v>
      </c>
      <c r="O425" s="79"/>
      <c r="P425" s="428"/>
      <c r="Q425" s="428"/>
      <c r="R425" s="79"/>
      <c r="S425" s="246" t="s">
        <v>352</v>
      </c>
      <c r="T425" s="81" t="s">
        <v>352</v>
      </c>
      <c r="U425" s="80" t="s">
        <v>2421</v>
      </c>
      <c r="V425" s="80" t="s">
        <v>2421</v>
      </c>
      <c r="W425" s="79"/>
      <c r="X425" s="79"/>
      <c r="Y425" s="80" t="s">
        <v>2432</v>
      </c>
      <c r="Z425" s="79"/>
      <c r="AA425" s="79"/>
    </row>
    <row r="426" spans="1:27" ht="30" hidden="1" customHeight="1" outlineLevel="1" x14ac:dyDescent="0.35">
      <c r="A426" s="79"/>
      <c r="B426" s="79"/>
      <c r="C426" s="80" t="s">
        <v>2422</v>
      </c>
      <c r="D426" s="80" t="s">
        <v>2463</v>
      </c>
      <c r="E426" s="66" t="str">
        <f t="shared" si="110"/>
        <v>73-74</v>
      </c>
      <c r="F426" s="66">
        <f t="shared" si="112"/>
        <v>576</v>
      </c>
      <c r="G426" s="66">
        <v>16</v>
      </c>
      <c r="H426" s="66">
        <v>0.1</v>
      </c>
      <c r="I426" s="66">
        <v>-40</v>
      </c>
      <c r="J426" s="66">
        <v>-40</v>
      </c>
      <c r="K426" s="66">
        <f t="shared" ref="K426:K428" si="121">(POWER(2,G426)-1)*H426+I426</f>
        <v>6513.5</v>
      </c>
      <c r="L426" s="66">
        <v>0</v>
      </c>
      <c r="M426" s="66" t="s">
        <v>113</v>
      </c>
      <c r="N426" s="66">
        <f t="shared" ref="N426:N428" si="122">LEN(K426)</f>
        <v>6</v>
      </c>
      <c r="O426" s="79"/>
      <c r="P426" s="428"/>
      <c r="Q426" s="428"/>
      <c r="R426" s="79"/>
      <c r="S426" s="246" t="s">
        <v>352</v>
      </c>
      <c r="T426" s="81" t="s">
        <v>352</v>
      </c>
      <c r="U426" s="80" t="s">
        <v>2422</v>
      </c>
      <c r="V426" s="80" t="s">
        <v>2422</v>
      </c>
      <c r="W426" s="79"/>
      <c r="X426" s="79"/>
      <c r="Y426" s="80" t="s">
        <v>2463</v>
      </c>
      <c r="Z426" s="79"/>
      <c r="AA426" s="79"/>
    </row>
    <row r="427" spans="1:27" ht="30" hidden="1" customHeight="1" outlineLevel="1" x14ac:dyDescent="0.35">
      <c r="A427" s="79"/>
      <c r="B427" s="79"/>
      <c r="C427" s="80" t="s">
        <v>2423</v>
      </c>
      <c r="D427" s="80" t="s">
        <v>2431</v>
      </c>
      <c r="E427" s="66" t="str">
        <f t="shared" si="110"/>
        <v>75-76</v>
      </c>
      <c r="F427" s="66">
        <f t="shared" si="112"/>
        <v>592</v>
      </c>
      <c r="G427" s="66">
        <v>16</v>
      </c>
      <c r="H427" s="66">
        <v>0.1</v>
      </c>
      <c r="I427" s="66">
        <v>-40</v>
      </c>
      <c r="J427" s="66">
        <v>-40</v>
      </c>
      <c r="K427" s="66">
        <f t="shared" si="121"/>
        <v>6513.5</v>
      </c>
      <c r="L427" s="66">
        <v>0</v>
      </c>
      <c r="M427" s="66" t="s">
        <v>113</v>
      </c>
      <c r="N427" s="66">
        <f t="shared" si="122"/>
        <v>6</v>
      </c>
      <c r="O427" s="79"/>
      <c r="P427" s="428"/>
      <c r="Q427" s="428"/>
      <c r="R427" s="79"/>
      <c r="S427" s="246" t="s">
        <v>352</v>
      </c>
      <c r="T427" s="81" t="s">
        <v>352</v>
      </c>
      <c r="U427" s="80" t="s">
        <v>2423</v>
      </c>
      <c r="V427" s="80" t="s">
        <v>2423</v>
      </c>
      <c r="W427" s="79"/>
      <c r="X427" s="79"/>
      <c r="Y427" s="80" t="s">
        <v>2431</v>
      </c>
      <c r="Z427" s="79"/>
      <c r="AA427" s="79"/>
    </row>
    <row r="428" spans="1:27" ht="30" hidden="1" customHeight="1" outlineLevel="1" x14ac:dyDescent="0.35">
      <c r="A428" s="79"/>
      <c r="B428" s="79"/>
      <c r="C428" s="80" t="s">
        <v>2424</v>
      </c>
      <c r="D428" s="80" t="s">
        <v>2430</v>
      </c>
      <c r="E428" s="66" t="str">
        <f t="shared" si="110"/>
        <v>77-78</v>
      </c>
      <c r="F428" s="66">
        <f t="shared" si="112"/>
        <v>608</v>
      </c>
      <c r="G428" s="66">
        <v>16</v>
      </c>
      <c r="H428" s="66">
        <v>0.1</v>
      </c>
      <c r="I428" s="66">
        <v>-40</v>
      </c>
      <c r="J428" s="66">
        <v>-40</v>
      </c>
      <c r="K428" s="66">
        <f t="shared" si="121"/>
        <v>6513.5</v>
      </c>
      <c r="L428" s="66">
        <v>0</v>
      </c>
      <c r="M428" s="66" t="s">
        <v>113</v>
      </c>
      <c r="N428" s="66">
        <f t="shared" si="122"/>
        <v>6</v>
      </c>
      <c r="O428" s="79"/>
      <c r="P428" s="428"/>
      <c r="Q428" s="428"/>
      <c r="R428" s="79"/>
      <c r="S428" s="246" t="s">
        <v>352</v>
      </c>
      <c r="T428" s="81" t="s">
        <v>352</v>
      </c>
      <c r="U428" s="80" t="s">
        <v>2424</v>
      </c>
      <c r="V428" s="80" t="s">
        <v>2424</v>
      </c>
      <c r="W428" s="79"/>
      <c r="X428" s="79"/>
      <c r="Y428" s="80" t="s">
        <v>2430</v>
      </c>
      <c r="Z428" s="79"/>
      <c r="AA428" s="79"/>
    </row>
    <row r="429" spans="1:27" s="352" customFormat="1" collapsed="1" x14ac:dyDescent="0.35">
      <c r="A429" s="284" t="s">
        <v>780</v>
      </c>
      <c r="B429" s="284" t="s">
        <v>1078</v>
      </c>
      <c r="C429" s="91"/>
      <c r="D429" s="94"/>
      <c r="E429" s="92">
        <v>2</v>
      </c>
      <c r="F429" s="61"/>
      <c r="G429" s="61"/>
      <c r="H429" s="61"/>
      <c r="I429" s="61"/>
      <c r="J429" s="61"/>
      <c r="K429" s="61"/>
      <c r="L429" s="61"/>
      <c r="M429" s="61"/>
      <c r="N429" s="93">
        <f>SUM(N430:N441)</f>
        <v>12</v>
      </c>
      <c r="O429" s="93"/>
      <c r="P429" s="93"/>
      <c r="Q429" s="93"/>
      <c r="R429" s="91"/>
      <c r="S429" s="95"/>
      <c r="T429" s="95"/>
      <c r="U429" s="95"/>
      <c r="V429" s="95"/>
      <c r="W429" s="91"/>
      <c r="X429" s="91"/>
      <c r="Y429" s="94"/>
      <c r="Z429" s="91"/>
      <c r="AA429" s="91"/>
    </row>
    <row r="430" spans="1:27" ht="24.75" hidden="1" outlineLevel="1" x14ac:dyDescent="0.35">
      <c r="A430" s="79"/>
      <c r="B430" s="79"/>
      <c r="C430" s="80" t="s">
        <v>794</v>
      </c>
      <c r="D430" s="80" t="s">
        <v>1329</v>
      </c>
      <c r="E430" s="66">
        <f>IF(INT((F430 + G430-1) / 8) + 1 = INT(F430 / 8) + 1, INT(F430 / 8) + 1, INT(F430 / 8) + 1 &amp; "-" &amp; INT((F430 + G430 - 1) / 8) + 1)</f>
        <v>1</v>
      </c>
      <c r="F430" s="66">
        <v>0</v>
      </c>
      <c r="G430" s="66">
        <v>1</v>
      </c>
      <c r="H430" s="66">
        <v>1</v>
      </c>
      <c r="I430" s="66">
        <v>0</v>
      </c>
      <c r="J430" s="66">
        <v>0</v>
      </c>
      <c r="K430" s="66">
        <f>(POWER(2,G430)-1)*H430+I430</f>
        <v>1</v>
      </c>
      <c r="L430" s="66">
        <v>0</v>
      </c>
      <c r="M430" s="66" t="s">
        <v>194</v>
      </c>
      <c r="N430" s="66">
        <f t="shared" si="108"/>
        <v>1</v>
      </c>
      <c r="O430" s="80" t="s">
        <v>817</v>
      </c>
      <c r="P430" s="68"/>
      <c r="Q430" s="68"/>
      <c r="R430" s="79"/>
      <c r="S430" s="81" t="s">
        <v>352</v>
      </c>
      <c r="T430" s="81" t="s">
        <v>352</v>
      </c>
      <c r="U430" s="81" t="s">
        <v>352</v>
      </c>
      <c r="V430" s="80" t="s">
        <v>794</v>
      </c>
      <c r="W430" s="79"/>
      <c r="X430" s="79"/>
      <c r="Y430" s="80" t="s">
        <v>1329</v>
      </c>
      <c r="Z430" s="79"/>
      <c r="AA430" s="79"/>
    </row>
    <row r="431" spans="1:27" ht="24.75" hidden="1" outlineLevel="1" x14ac:dyDescent="0.35">
      <c r="A431" s="79"/>
      <c r="B431" s="79"/>
      <c r="C431" s="80" t="s">
        <v>795</v>
      </c>
      <c r="D431" s="80" t="s">
        <v>1328</v>
      </c>
      <c r="E431" s="66">
        <f t="shared" ref="E431:E441" si="123">IF(INT((F431 + G431-1) / 8) + 1 = INT(F431 / 8) + 1, INT(F431 / 8) + 1, INT(F431 / 8) + 1 &amp; "-" &amp; INT((F431 + G431 - 1) / 8) + 1)</f>
        <v>1</v>
      </c>
      <c r="F431" s="66">
        <f>F430+G430</f>
        <v>1</v>
      </c>
      <c r="G431" s="66">
        <v>1</v>
      </c>
      <c r="H431" s="66">
        <v>1</v>
      </c>
      <c r="I431" s="66">
        <v>0</v>
      </c>
      <c r="J431" s="66">
        <v>0</v>
      </c>
      <c r="K431" s="66">
        <f t="shared" ref="K431:K440" si="124">(POWER(2,G431)-1)*H431+I431</f>
        <v>1</v>
      </c>
      <c r="L431" s="66">
        <v>0</v>
      </c>
      <c r="M431" s="66" t="s">
        <v>194</v>
      </c>
      <c r="N431" s="66">
        <f t="shared" si="108"/>
        <v>1</v>
      </c>
      <c r="O431" s="80" t="s">
        <v>817</v>
      </c>
      <c r="P431" s="68"/>
      <c r="Q431" s="68"/>
      <c r="R431" s="79"/>
      <c r="S431" s="81" t="s">
        <v>352</v>
      </c>
      <c r="T431" s="81" t="s">
        <v>352</v>
      </c>
      <c r="U431" s="81" t="s">
        <v>352</v>
      </c>
      <c r="V431" s="80" t="s">
        <v>795</v>
      </c>
      <c r="W431" s="79"/>
      <c r="X431" s="79"/>
      <c r="Y431" s="80" t="s">
        <v>1328</v>
      </c>
      <c r="Z431" s="79"/>
      <c r="AA431" s="79"/>
    </row>
    <row r="432" spans="1:27" ht="24.75" hidden="1" outlineLevel="1" x14ac:dyDescent="0.35">
      <c r="A432" s="79"/>
      <c r="B432" s="79"/>
      <c r="C432" s="80" t="s">
        <v>796</v>
      </c>
      <c r="D432" s="80" t="s">
        <v>1327</v>
      </c>
      <c r="E432" s="66">
        <f t="shared" si="123"/>
        <v>1</v>
      </c>
      <c r="F432" s="66">
        <f t="shared" ref="F432:F441" si="125">F431+G431</f>
        <v>2</v>
      </c>
      <c r="G432" s="66">
        <v>1</v>
      </c>
      <c r="H432" s="66">
        <v>1</v>
      </c>
      <c r="I432" s="66">
        <v>0</v>
      </c>
      <c r="J432" s="66">
        <v>0</v>
      </c>
      <c r="K432" s="66">
        <f t="shared" si="124"/>
        <v>1</v>
      </c>
      <c r="L432" s="66">
        <v>0</v>
      </c>
      <c r="M432" s="66" t="s">
        <v>194</v>
      </c>
      <c r="N432" s="66">
        <f t="shared" si="108"/>
        <v>1</v>
      </c>
      <c r="O432" s="80" t="s">
        <v>817</v>
      </c>
      <c r="P432" s="68"/>
      <c r="Q432" s="68"/>
      <c r="R432" s="79"/>
      <c r="S432" s="81" t="s">
        <v>352</v>
      </c>
      <c r="T432" s="81" t="s">
        <v>352</v>
      </c>
      <c r="U432" s="81" t="s">
        <v>352</v>
      </c>
      <c r="V432" s="80" t="s">
        <v>796</v>
      </c>
      <c r="W432" s="79"/>
      <c r="X432" s="79"/>
      <c r="Y432" s="80" t="s">
        <v>1327</v>
      </c>
      <c r="Z432" s="79"/>
      <c r="AA432" s="79"/>
    </row>
    <row r="433" spans="1:27" ht="24.75" hidden="1" outlineLevel="1" x14ac:dyDescent="0.35">
      <c r="A433" s="79"/>
      <c r="B433" s="79"/>
      <c r="C433" s="80" t="s">
        <v>797</v>
      </c>
      <c r="D433" s="80" t="s">
        <v>1330</v>
      </c>
      <c r="E433" s="66">
        <f t="shared" si="123"/>
        <v>1</v>
      </c>
      <c r="F433" s="66">
        <f t="shared" si="125"/>
        <v>3</v>
      </c>
      <c r="G433" s="66">
        <v>1</v>
      </c>
      <c r="H433" s="66">
        <v>1</v>
      </c>
      <c r="I433" s="66">
        <v>0</v>
      </c>
      <c r="J433" s="66">
        <v>0</v>
      </c>
      <c r="K433" s="66">
        <f t="shared" si="124"/>
        <v>1</v>
      </c>
      <c r="L433" s="66">
        <v>0</v>
      </c>
      <c r="M433" s="66" t="s">
        <v>194</v>
      </c>
      <c r="N433" s="66">
        <f t="shared" si="108"/>
        <v>1</v>
      </c>
      <c r="O433" s="80" t="s">
        <v>817</v>
      </c>
      <c r="P433" s="68"/>
      <c r="Q433" s="68"/>
      <c r="R433" s="79"/>
      <c r="S433" s="81" t="s">
        <v>352</v>
      </c>
      <c r="T433" s="81" t="s">
        <v>352</v>
      </c>
      <c r="U433" s="81" t="s">
        <v>352</v>
      </c>
      <c r="V433" s="80" t="s">
        <v>797</v>
      </c>
      <c r="W433" s="79"/>
      <c r="X433" s="79"/>
      <c r="Y433" s="80" t="s">
        <v>1330</v>
      </c>
      <c r="Z433" s="79"/>
      <c r="AA433" s="79"/>
    </row>
    <row r="434" spans="1:27" ht="24.75" hidden="1" outlineLevel="1" x14ac:dyDescent="0.35">
      <c r="A434" s="79"/>
      <c r="B434" s="79"/>
      <c r="C434" s="80" t="s">
        <v>798</v>
      </c>
      <c r="D434" s="80" t="s">
        <v>1331</v>
      </c>
      <c r="E434" s="66">
        <f t="shared" si="123"/>
        <v>1</v>
      </c>
      <c r="F434" s="66">
        <f t="shared" si="125"/>
        <v>4</v>
      </c>
      <c r="G434" s="66">
        <v>1</v>
      </c>
      <c r="H434" s="66">
        <v>1</v>
      </c>
      <c r="I434" s="66">
        <v>0</v>
      </c>
      <c r="J434" s="66">
        <v>0</v>
      </c>
      <c r="K434" s="66">
        <f t="shared" si="124"/>
        <v>1</v>
      </c>
      <c r="L434" s="66">
        <v>0</v>
      </c>
      <c r="M434" s="66" t="s">
        <v>194</v>
      </c>
      <c r="N434" s="66">
        <f t="shared" si="108"/>
        <v>1</v>
      </c>
      <c r="O434" s="80" t="s">
        <v>817</v>
      </c>
      <c r="P434" s="68"/>
      <c r="Q434" s="68"/>
      <c r="R434" s="79"/>
      <c r="S434" s="81" t="s">
        <v>352</v>
      </c>
      <c r="T434" s="81" t="s">
        <v>352</v>
      </c>
      <c r="U434" s="81" t="s">
        <v>352</v>
      </c>
      <c r="V434" s="80" t="s">
        <v>798</v>
      </c>
      <c r="W434" s="79"/>
      <c r="X434" s="79"/>
      <c r="Y434" s="80" t="s">
        <v>1331</v>
      </c>
      <c r="Z434" s="79"/>
      <c r="AA434" s="79"/>
    </row>
    <row r="435" spans="1:27" ht="24.75" hidden="1" outlineLevel="1" x14ac:dyDescent="0.35">
      <c r="A435" s="79"/>
      <c r="B435" s="79"/>
      <c r="C435" s="80" t="s">
        <v>799</v>
      </c>
      <c r="D435" s="80" t="s">
        <v>1332</v>
      </c>
      <c r="E435" s="66">
        <f t="shared" si="123"/>
        <v>1</v>
      </c>
      <c r="F435" s="66">
        <f t="shared" si="125"/>
        <v>5</v>
      </c>
      <c r="G435" s="66">
        <v>1</v>
      </c>
      <c r="H435" s="66">
        <v>1</v>
      </c>
      <c r="I435" s="66">
        <v>0</v>
      </c>
      <c r="J435" s="66">
        <v>0</v>
      </c>
      <c r="K435" s="66">
        <f t="shared" si="124"/>
        <v>1</v>
      </c>
      <c r="L435" s="66">
        <v>0</v>
      </c>
      <c r="M435" s="66" t="s">
        <v>194</v>
      </c>
      <c r="N435" s="66">
        <f t="shared" si="108"/>
        <v>1</v>
      </c>
      <c r="O435" s="80" t="s">
        <v>817</v>
      </c>
      <c r="P435" s="68"/>
      <c r="Q435" s="68"/>
      <c r="R435" s="79"/>
      <c r="S435" s="81" t="s">
        <v>352</v>
      </c>
      <c r="T435" s="81" t="s">
        <v>352</v>
      </c>
      <c r="U435" s="81" t="s">
        <v>352</v>
      </c>
      <c r="V435" s="80" t="s">
        <v>799</v>
      </c>
      <c r="W435" s="79"/>
      <c r="X435" s="79"/>
      <c r="Y435" s="80" t="s">
        <v>1332</v>
      </c>
      <c r="Z435" s="79"/>
      <c r="AA435" s="79"/>
    </row>
    <row r="436" spans="1:27" ht="24.75" hidden="1" outlineLevel="1" x14ac:dyDescent="0.35">
      <c r="A436" s="79"/>
      <c r="B436" s="79"/>
      <c r="C436" s="80" t="s">
        <v>800</v>
      </c>
      <c r="D436" s="80" t="s">
        <v>1333</v>
      </c>
      <c r="E436" s="66">
        <f t="shared" si="123"/>
        <v>1</v>
      </c>
      <c r="F436" s="66">
        <f t="shared" si="125"/>
        <v>6</v>
      </c>
      <c r="G436" s="66">
        <v>1</v>
      </c>
      <c r="H436" s="66">
        <v>1</v>
      </c>
      <c r="I436" s="66">
        <v>0</v>
      </c>
      <c r="J436" s="66">
        <v>0</v>
      </c>
      <c r="K436" s="66">
        <f t="shared" si="124"/>
        <v>1</v>
      </c>
      <c r="L436" s="66">
        <v>0</v>
      </c>
      <c r="M436" s="66" t="s">
        <v>194</v>
      </c>
      <c r="N436" s="66">
        <f t="shared" si="108"/>
        <v>1</v>
      </c>
      <c r="O436" s="80" t="s">
        <v>817</v>
      </c>
      <c r="P436" s="68"/>
      <c r="Q436" s="68"/>
      <c r="R436" s="79"/>
      <c r="S436" s="81" t="s">
        <v>352</v>
      </c>
      <c r="T436" s="81" t="s">
        <v>352</v>
      </c>
      <c r="U436" s="81" t="s">
        <v>352</v>
      </c>
      <c r="V436" s="80" t="s">
        <v>800</v>
      </c>
      <c r="W436" s="79"/>
      <c r="X436" s="79"/>
      <c r="Y436" s="80" t="s">
        <v>1333</v>
      </c>
      <c r="Z436" s="79"/>
      <c r="AA436" s="79"/>
    </row>
    <row r="437" spans="1:27" ht="24.75" hidden="1" outlineLevel="1" x14ac:dyDescent="0.35">
      <c r="A437" s="79"/>
      <c r="B437" s="79"/>
      <c r="C437" s="80" t="s">
        <v>801</v>
      </c>
      <c r="D437" s="80" t="s">
        <v>1334</v>
      </c>
      <c r="E437" s="66">
        <f t="shared" si="123"/>
        <v>1</v>
      </c>
      <c r="F437" s="66">
        <f t="shared" si="125"/>
        <v>7</v>
      </c>
      <c r="G437" s="66">
        <v>1</v>
      </c>
      <c r="H437" s="66">
        <v>1</v>
      </c>
      <c r="I437" s="66">
        <v>0</v>
      </c>
      <c r="J437" s="66">
        <v>0</v>
      </c>
      <c r="K437" s="66">
        <f t="shared" si="124"/>
        <v>1</v>
      </c>
      <c r="L437" s="66">
        <v>0</v>
      </c>
      <c r="M437" s="66" t="s">
        <v>194</v>
      </c>
      <c r="N437" s="66">
        <f t="shared" si="108"/>
        <v>1</v>
      </c>
      <c r="O437" s="80" t="s">
        <v>817</v>
      </c>
      <c r="P437" s="68"/>
      <c r="Q437" s="68"/>
      <c r="R437" s="79"/>
      <c r="S437" s="81" t="s">
        <v>352</v>
      </c>
      <c r="T437" s="81" t="s">
        <v>352</v>
      </c>
      <c r="U437" s="81" t="s">
        <v>352</v>
      </c>
      <c r="V437" s="80" t="s">
        <v>801</v>
      </c>
      <c r="W437" s="79"/>
      <c r="X437" s="79"/>
      <c r="Y437" s="80" t="s">
        <v>1334</v>
      </c>
      <c r="Z437" s="79"/>
      <c r="AA437" s="79"/>
    </row>
    <row r="438" spans="1:27" ht="24.75" hidden="1" outlineLevel="1" x14ac:dyDescent="0.35">
      <c r="A438" s="79"/>
      <c r="B438" s="79"/>
      <c r="C438" s="80" t="s">
        <v>802</v>
      </c>
      <c r="D438" s="80" t="s">
        <v>1335</v>
      </c>
      <c r="E438" s="66">
        <f t="shared" si="123"/>
        <v>2</v>
      </c>
      <c r="F438" s="66">
        <f t="shared" si="125"/>
        <v>8</v>
      </c>
      <c r="G438" s="66">
        <v>1</v>
      </c>
      <c r="H438" s="66">
        <v>1</v>
      </c>
      <c r="I438" s="66">
        <v>0</v>
      </c>
      <c r="J438" s="66">
        <v>0</v>
      </c>
      <c r="K438" s="66">
        <f t="shared" si="124"/>
        <v>1</v>
      </c>
      <c r="L438" s="66">
        <v>0</v>
      </c>
      <c r="M438" s="66" t="s">
        <v>194</v>
      </c>
      <c r="N438" s="66">
        <f t="shared" si="108"/>
        <v>1</v>
      </c>
      <c r="O438" s="80" t="s">
        <v>817</v>
      </c>
      <c r="P438" s="68"/>
      <c r="Q438" s="68"/>
      <c r="R438" s="79"/>
      <c r="S438" s="81" t="s">
        <v>352</v>
      </c>
      <c r="T438" s="81" t="s">
        <v>352</v>
      </c>
      <c r="U438" s="81" t="s">
        <v>352</v>
      </c>
      <c r="V438" s="80" t="s">
        <v>802</v>
      </c>
      <c r="W438" s="79"/>
      <c r="X438" s="79"/>
      <c r="Y438" s="80" t="s">
        <v>1335</v>
      </c>
      <c r="Z438" s="79"/>
      <c r="AA438" s="79"/>
    </row>
    <row r="439" spans="1:27" ht="24.75" hidden="1" outlineLevel="1" x14ac:dyDescent="0.35">
      <c r="A439" s="79"/>
      <c r="B439" s="79"/>
      <c r="C439" s="80" t="s">
        <v>803</v>
      </c>
      <c r="D439" s="80" t="s">
        <v>1336</v>
      </c>
      <c r="E439" s="66">
        <f t="shared" si="123"/>
        <v>2</v>
      </c>
      <c r="F439" s="66">
        <f t="shared" si="125"/>
        <v>9</v>
      </c>
      <c r="G439" s="66">
        <v>1</v>
      </c>
      <c r="H439" s="66">
        <v>1</v>
      </c>
      <c r="I439" s="66">
        <v>0</v>
      </c>
      <c r="J439" s="66">
        <v>0</v>
      </c>
      <c r="K439" s="66">
        <f t="shared" si="124"/>
        <v>1</v>
      </c>
      <c r="L439" s="66">
        <v>0</v>
      </c>
      <c r="M439" s="66" t="s">
        <v>194</v>
      </c>
      <c r="N439" s="66">
        <f t="shared" si="108"/>
        <v>1</v>
      </c>
      <c r="O439" s="80" t="s">
        <v>817</v>
      </c>
      <c r="P439" s="68"/>
      <c r="Q439" s="68"/>
      <c r="R439" s="79"/>
      <c r="S439" s="81" t="s">
        <v>352</v>
      </c>
      <c r="T439" s="81" t="s">
        <v>352</v>
      </c>
      <c r="U439" s="81" t="s">
        <v>352</v>
      </c>
      <c r="V439" s="80" t="s">
        <v>803</v>
      </c>
      <c r="W439" s="79"/>
      <c r="X439" s="79"/>
      <c r="Y439" s="80" t="s">
        <v>1336</v>
      </c>
      <c r="Z439" s="79"/>
      <c r="AA439" s="79"/>
    </row>
    <row r="440" spans="1:27" ht="24.75" hidden="1" outlineLevel="1" x14ac:dyDescent="0.35">
      <c r="A440" s="79"/>
      <c r="B440" s="79"/>
      <c r="C440" s="80" t="s">
        <v>815</v>
      </c>
      <c r="D440" s="80" t="s">
        <v>1337</v>
      </c>
      <c r="E440" s="66">
        <f t="shared" si="123"/>
        <v>2</v>
      </c>
      <c r="F440" s="66">
        <f t="shared" si="125"/>
        <v>10</v>
      </c>
      <c r="G440" s="66">
        <v>1</v>
      </c>
      <c r="H440" s="66">
        <v>1</v>
      </c>
      <c r="I440" s="66">
        <v>0</v>
      </c>
      <c r="J440" s="66">
        <v>0</v>
      </c>
      <c r="K440" s="66">
        <f t="shared" si="124"/>
        <v>1</v>
      </c>
      <c r="L440" s="66">
        <v>0</v>
      </c>
      <c r="M440" s="66" t="s">
        <v>194</v>
      </c>
      <c r="N440" s="66">
        <f t="shared" si="108"/>
        <v>1</v>
      </c>
      <c r="O440" s="80" t="s">
        <v>817</v>
      </c>
      <c r="P440" s="68"/>
      <c r="Q440" s="68"/>
      <c r="R440" s="79"/>
      <c r="S440" s="81" t="s">
        <v>352</v>
      </c>
      <c r="T440" s="81" t="s">
        <v>352</v>
      </c>
      <c r="U440" s="81" t="s">
        <v>352</v>
      </c>
      <c r="V440" s="80" t="s">
        <v>815</v>
      </c>
      <c r="W440" s="79"/>
      <c r="X440" s="79"/>
      <c r="Y440" s="80" t="s">
        <v>1337</v>
      </c>
      <c r="Z440" s="79"/>
      <c r="AA440" s="79"/>
    </row>
    <row r="441" spans="1:27" ht="24.75" hidden="1" outlineLevel="1" x14ac:dyDescent="0.35">
      <c r="A441" s="79"/>
      <c r="B441" s="79"/>
      <c r="C441" s="80" t="s">
        <v>816</v>
      </c>
      <c r="D441" s="80" t="s">
        <v>1338</v>
      </c>
      <c r="E441" s="66">
        <f t="shared" si="123"/>
        <v>2</v>
      </c>
      <c r="F441" s="66">
        <f t="shared" si="125"/>
        <v>11</v>
      </c>
      <c r="G441" s="66">
        <v>1</v>
      </c>
      <c r="H441" s="66">
        <v>1</v>
      </c>
      <c r="I441" s="66">
        <v>0</v>
      </c>
      <c r="J441" s="66">
        <v>0</v>
      </c>
      <c r="K441" s="66">
        <f>(POWER(2,G441)-1)*H441+I441</f>
        <v>1</v>
      </c>
      <c r="L441" s="66">
        <v>0</v>
      </c>
      <c r="M441" s="66" t="s">
        <v>194</v>
      </c>
      <c r="N441" s="66">
        <f t="shared" si="108"/>
        <v>1</v>
      </c>
      <c r="O441" s="80" t="s">
        <v>817</v>
      </c>
      <c r="P441" s="68"/>
      <c r="Q441" s="68"/>
      <c r="R441" s="79"/>
      <c r="S441" s="81" t="s">
        <v>352</v>
      </c>
      <c r="T441" s="81" t="s">
        <v>352</v>
      </c>
      <c r="U441" s="81" t="s">
        <v>352</v>
      </c>
      <c r="V441" s="80" t="s">
        <v>816</v>
      </c>
      <c r="W441" s="79"/>
      <c r="X441" s="79"/>
      <c r="Y441" s="80" t="s">
        <v>1338</v>
      </c>
      <c r="Z441" s="79"/>
      <c r="AA441" s="79"/>
    </row>
    <row r="442" spans="1:27" s="352" customFormat="1" collapsed="1" x14ac:dyDescent="0.35">
      <c r="A442" s="284" t="s">
        <v>787</v>
      </c>
      <c r="B442" s="284" t="s">
        <v>1079</v>
      </c>
      <c r="C442" s="91"/>
      <c r="D442" s="94"/>
      <c r="E442" s="92">
        <v>2</v>
      </c>
      <c r="F442" s="61"/>
      <c r="G442" s="61"/>
      <c r="H442" s="61"/>
      <c r="I442" s="61"/>
      <c r="J442" s="61"/>
      <c r="K442" s="61"/>
      <c r="L442" s="61"/>
      <c r="M442" s="61"/>
      <c r="N442" s="93">
        <f>SUM(N443:N454)</f>
        <v>12</v>
      </c>
      <c r="O442" s="93"/>
      <c r="P442" s="93"/>
      <c r="Q442" s="93"/>
      <c r="R442" s="91"/>
      <c r="S442" s="95"/>
      <c r="T442" s="95"/>
      <c r="U442" s="95"/>
      <c r="V442" s="95"/>
      <c r="W442" s="91"/>
      <c r="X442" s="91"/>
      <c r="Y442" s="94"/>
      <c r="Z442" s="91"/>
      <c r="AA442" s="91"/>
    </row>
    <row r="443" spans="1:27" ht="24.75" hidden="1" outlineLevel="1" x14ac:dyDescent="0.35">
      <c r="A443" s="79"/>
      <c r="B443" s="79"/>
      <c r="C443" s="80" t="s">
        <v>804</v>
      </c>
      <c r="D443" s="80" t="s">
        <v>1339</v>
      </c>
      <c r="E443" s="66">
        <f>IF(INT((F443 + G443-1) / 8) + 1 = INT(F443 / 8) + 1, INT(F443 / 8) + 1, INT(F443 / 8) + 1 &amp; "-" &amp; INT((F443 + G443 - 1) / 8) + 1)</f>
        <v>1</v>
      </c>
      <c r="F443" s="66">
        <v>0</v>
      </c>
      <c r="G443" s="66">
        <v>1</v>
      </c>
      <c r="H443" s="66">
        <v>1</v>
      </c>
      <c r="I443" s="66">
        <v>0</v>
      </c>
      <c r="J443" s="66">
        <v>0</v>
      </c>
      <c r="K443" s="66">
        <f>(POWER(2,G443)-1)*H443+I443</f>
        <v>1</v>
      </c>
      <c r="L443" s="66">
        <v>0</v>
      </c>
      <c r="M443" s="66" t="s">
        <v>938</v>
      </c>
      <c r="N443" s="66">
        <f t="shared" si="108"/>
        <v>1</v>
      </c>
      <c r="O443" s="80" t="s">
        <v>817</v>
      </c>
      <c r="P443" s="68"/>
      <c r="Q443" s="68"/>
      <c r="R443" s="79"/>
      <c r="S443" s="81" t="s">
        <v>352</v>
      </c>
      <c r="T443" s="81" t="s">
        <v>352</v>
      </c>
      <c r="U443" s="80" t="s">
        <v>804</v>
      </c>
      <c r="V443" s="81" t="s">
        <v>352</v>
      </c>
      <c r="W443" s="79"/>
      <c r="X443" s="79"/>
      <c r="Y443" s="80" t="s">
        <v>1339</v>
      </c>
      <c r="Z443" s="79"/>
      <c r="AA443" s="79"/>
    </row>
    <row r="444" spans="1:27" ht="24.75" hidden="1" outlineLevel="1" x14ac:dyDescent="0.35">
      <c r="A444" s="79"/>
      <c r="B444" s="79"/>
      <c r="C444" s="80" t="s">
        <v>805</v>
      </c>
      <c r="D444" s="80" t="s">
        <v>1340</v>
      </c>
      <c r="E444" s="66">
        <f t="shared" ref="E444:E453" si="126">IF(INT((F444 + G444-1) / 8) + 1 = INT(F444 / 8) + 1, INT(F444 / 8) + 1, INT(F444 / 8) + 1 &amp; "-" &amp; INT((F444 + G444 - 1) / 8) + 1)</f>
        <v>1</v>
      </c>
      <c r="F444" s="66">
        <f>F443+G443</f>
        <v>1</v>
      </c>
      <c r="G444" s="66">
        <v>1</v>
      </c>
      <c r="H444" s="66">
        <v>1</v>
      </c>
      <c r="I444" s="66">
        <v>0</v>
      </c>
      <c r="J444" s="66">
        <v>0</v>
      </c>
      <c r="K444" s="66">
        <f t="shared" ref="K444:K454" si="127">(POWER(2,G444)-1)*H444+I444</f>
        <v>1</v>
      </c>
      <c r="L444" s="66">
        <v>0</v>
      </c>
      <c r="M444" s="66" t="s">
        <v>194</v>
      </c>
      <c r="N444" s="66">
        <f t="shared" si="108"/>
        <v>1</v>
      </c>
      <c r="O444" s="80" t="s">
        <v>817</v>
      </c>
      <c r="P444" s="68"/>
      <c r="Q444" s="68"/>
      <c r="R444" s="79"/>
      <c r="S444" s="81" t="s">
        <v>352</v>
      </c>
      <c r="T444" s="81" t="s">
        <v>352</v>
      </c>
      <c r="U444" s="80" t="s">
        <v>805</v>
      </c>
      <c r="V444" s="81" t="s">
        <v>352</v>
      </c>
      <c r="W444" s="79"/>
      <c r="X444" s="79"/>
      <c r="Y444" s="80" t="s">
        <v>1340</v>
      </c>
      <c r="Z444" s="79"/>
      <c r="AA444" s="79"/>
    </row>
    <row r="445" spans="1:27" ht="24.75" hidden="1" outlineLevel="1" x14ac:dyDescent="0.35">
      <c r="A445" s="79"/>
      <c r="B445" s="79"/>
      <c r="C445" s="80" t="s">
        <v>806</v>
      </c>
      <c r="D445" s="80" t="s">
        <v>1341</v>
      </c>
      <c r="E445" s="66">
        <f t="shared" si="126"/>
        <v>1</v>
      </c>
      <c r="F445" s="66">
        <f t="shared" ref="F445:F453" si="128">F444+G444</f>
        <v>2</v>
      </c>
      <c r="G445" s="66">
        <v>1</v>
      </c>
      <c r="H445" s="66">
        <v>1</v>
      </c>
      <c r="I445" s="66">
        <v>0</v>
      </c>
      <c r="J445" s="66">
        <v>0</v>
      </c>
      <c r="K445" s="66">
        <f t="shared" si="127"/>
        <v>1</v>
      </c>
      <c r="L445" s="66">
        <v>0</v>
      </c>
      <c r="M445" s="66" t="s">
        <v>194</v>
      </c>
      <c r="N445" s="66">
        <f t="shared" si="108"/>
        <v>1</v>
      </c>
      <c r="O445" s="80" t="s">
        <v>817</v>
      </c>
      <c r="P445" s="68"/>
      <c r="Q445" s="68"/>
      <c r="R445" s="79"/>
      <c r="S445" s="81" t="s">
        <v>352</v>
      </c>
      <c r="T445" s="81" t="s">
        <v>352</v>
      </c>
      <c r="U445" s="80" t="s">
        <v>806</v>
      </c>
      <c r="V445" s="81" t="s">
        <v>352</v>
      </c>
      <c r="W445" s="79"/>
      <c r="X445" s="79"/>
      <c r="Y445" s="80" t="s">
        <v>1341</v>
      </c>
      <c r="Z445" s="79"/>
      <c r="AA445" s="79"/>
    </row>
    <row r="446" spans="1:27" ht="24.75" hidden="1" outlineLevel="1" x14ac:dyDescent="0.35">
      <c r="A446" s="79"/>
      <c r="B446" s="79"/>
      <c r="C446" s="80" t="s">
        <v>807</v>
      </c>
      <c r="D446" s="80" t="s">
        <v>1342</v>
      </c>
      <c r="E446" s="66">
        <f t="shared" si="126"/>
        <v>1</v>
      </c>
      <c r="F446" s="66">
        <f t="shared" si="128"/>
        <v>3</v>
      </c>
      <c r="G446" s="66">
        <v>1</v>
      </c>
      <c r="H446" s="66">
        <v>1</v>
      </c>
      <c r="I446" s="66">
        <v>0</v>
      </c>
      <c r="J446" s="66">
        <v>0</v>
      </c>
      <c r="K446" s="66">
        <f t="shared" si="127"/>
        <v>1</v>
      </c>
      <c r="L446" s="66">
        <v>0</v>
      </c>
      <c r="M446" s="66" t="s">
        <v>194</v>
      </c>
      <c r="N446" s="66">
        <f t="shared" si="108"/>
        <v>1</v>
      </c>
      <c r="O446" s="80" t="s">
        <v>817</v>
      </c>
      <c r="P446" s="68"/>
      <c r="Q446" s="68"/>
      <c r="R446" s="79"/>
      <c r="S446" s="81" t="s">
        <v>352</v>
      </c>
      <c r="T446" s="81" t="s">
        <v>352</v>
      </c>
      <c r="U446" s="80" t="s">
        <v>807</v>
      </c>
      <c r="V446" s="81" t="s">
        <v>352</v>
      </c>
      <c r="W446" s="79"/>
      <c r="X446" s="79"/>
      <c r="Y446" s="80" t="s">
        <v>1342</v>
      </c>
      <c r="Z446" s="79"/>
      <c r="AA446" s="79"/>
    </row>
    <row r="447" spans="1:27" ht="24.75" hidden="1" outlineLevel="1" x14ac:dyDescent="0.35">
      <c r="A447" s="79"/>
      <c r="B447" s="79"/>
      <c r="C447" s="80" t="s">
        <v>808</v>
      </c>
      <c r="D447" s="80" t="s">
        <v>1343</v>
      </c>
      <c r="E447" s="66">
        <f t="shared" si="126"/>
        <v>1</v>
      </c>
      <c r="F447" s="66">
        <f t="shared" si="128"/>
        <v>4</v>
      </c>
      <c r="G447" s="66">
        <v>1</v>
      </c>
      <c r="H447" s="66">
        <v>1</v>
      </c>
      <c r="I447" s="66">
        <v>0</v>
      </c>
      <c r="J447" s="66">
        <v>0</v>
      </c>
      <c r="K447" s="66">
        <f t="shared" si="127"/>
        <v>1</v>
      </c>
      <c r="L447" s="66">
        <v>0</v>
      </c>
      <c r="M447" s="66" t="s">
        <v>194</v>
      </c>
      <c r="N447" s="66">
        <f t="shared" si="108"/>
        <v>1</v>
      </c>
      <c r="O447" s="80" t="s">
        <v>817</v>
      </c>
      <c r="P447" s="68"/>
      <c r="Q447" s="68"/>
      <c r="R447" s="79"/>
      <c r="S447" s="81" t="s">
        <v>352</v>
      </c>
      <c r="T447" s="81" t="s">
        <v>352</v>
      </c>
      <c r="U447" s="80" t="s">
        <v>808</v>
      </c>
      <c r="V447" s="81" t="s">
        <v>352</v>
      </c>
      <c r="W447" s="79"/>
      <c r="X447" s="79"/>
      <c r="Y447" s="80" t="s">
        <v>1343</v>
      </c>
      <c r="Z447" s="79"/>
      <c r="AA447" s="79"/>
    </row>
    <row r="448" spans="1:27" ht="24.75" hidden="1" outlineLevel="1" x14ac:dyDescent="0.35">
      <c r="A448" s="79"/>
      <c r="B448" s="79"/>
      <c r="C448" s="80" t="s">
        <v>809</v>
      </c>
      <c r="D448" s="80" t="s">
        <v>1344</v>
      </c>
      <c r="E448" s="66">
        <f t="shared" si="126"/>
        <v>1</v>
      </c>
      <c r="F448" s="66">
        <f t="shared" si="128"/>
        <v>5</v>
      </c>
      <c r="G448" s="66">
        <v>1</v>
      </c>
      <c r="H448" s="66">
        <v>1</v>
      </c>
      <c r="I448" s="66">
        <v>0</v>
      </c>
      <c r="J448" s="66">
        <v>0</v>
      </c>
      <c r="K448" s="66">
        <f t="shared" si="127"/>
        <v>1</v>
      </c>
      <c r="L448" s="66">
        <v>0</v>
      </c>
      <c r="M448" s="66" t="s">
        <v>194</v>
      </c>
      <c r="N448" s="66">
        <f t="shared" si="108"/>
        <v>1</v>
      </c>
      <c r="O448" s="80" t="s">
        <v>817</v>
      </c>
      <c r="P448" s="68"/>
      <c r="Q448" s="68"/>
      <c r="R448" s="79"/>
      <c r="S448" s="81" t="s">
        <v>352</v>
      </c>
      <c r="T448" s="81" t="s">
        <v>352</v>
      </c>
      <c r="U448" s="80" t="s">
        <v>809</v>
      </c>
      <c r="V448" s="81" t="s">
        <v>352</v>
      </c>
      <c r="W448" s="79"/>
      <c r="X448" s="79"/>
      <c r="Y448" s="80" t="s">
        <v>1344</v>
      </c>
      <c r="Z448" s="79"/>
      <c r="AA448" s="79"/>
    </row>
    <row r="449" spans="1:27" ht="24.75" hidden="1" outlineLevel="1" x14ac:dyDescent="0.35">
      <c r="A449" s="79"/>
      <c r="B449" s="79"/>
      <c r="C449" s="80" t="s">
        <v>810</v>
      </c>
      <c r="D449" s="80" t="s">
        <v>1345</v>
      </c>
      <c r="E449" s="66">
        <f t="shared" si="126"/>
        <v>1</v>
      </c>
      <c r="F449" s="66">
        <f t="shared" si="128"/>
        <v>6</v>
      </c>
      <c r="G449" s="66">
        <v>1</v>
      </c>
      <c r="H449" s="66">
        <v>1</v>
      </c>
      <c r="I449" s="66">
        <v>0</v>
      </c>
      <c r="J449" s="66">
        <v>0</v>
      </c>
      <c r="K449" s="66">
        <f t="shared" si="127"/>
        <v>1</v>
      </c>
      <c r="L449" s="66">
        <v>0</v>
      </c>
      <c r="M449" s="66" t="s">
        <v>194</v>
      </c>
      <c r="N449" s="66">
        <f t="shared" si="108"/>
        <v>1</v>
      </c>
      <c r="O449" s="80" t="s">
        <v>817</v>
      </c>
      <c r="P449" s="68"/>
      <c r="Q449" s="68"/>
      <c r="R449" s="79"/>
      <c r="S449" s="81" t="s">
        <v>352</v>
      </c>
      <c r="T449" s="81" t="s">
        <v>352</v>
      </c>
      <c r="U449" s="80" t="s">
        <v>810</v>
      </c>
      <c r="V449" s="81" t="s">
        <v>352</v>
      </c>
      <c r="W449" s="79"/>
      <c r="X449" s="79"/>
      <c r="Y449" s="80" t="s">
        <v>1345</v>
      </c>
      <c r="Z449" s="79"/>
      <c r="AA449" s="79"/>
    </row>
    <row r="450" spans="1:27" ht="24.75" hidden="1" outlineLevel="1" x14ac:dyDescent="0.35">
      <c r="A450" s="79"/>
      <c r="B450" s="79"/>
      <c r="C450" s="80" t="s">
        <v>811</v>
      </c>
      <c r="D450" s="80" t="s">
        <v>1337</v>
      </c>
      <c r="E450" s="66">
        <f t="shared" si="126"/>
        <v>1</v>
      </c>
      <c r="F450" s="66">
        <f t="shared" si="128"/>
        <v>7</v>
      </c>
      <c r="G450" s="66">
        <v>1</v>
      </c>
      <c r="H450" s="66">
        <v>1</v>
      </c>
      <c r="I450" s="66">
        <v>0</v>
      </c>
      <c r="J450" s="66">
        <v>0</v>
      </c>
      <c r="K450" s="66">
        <f t="shared" si="127"/>
        <v>1</v>
      </c>
      <c r="L450" s="66">
        <v>0</v>
      </c>
      <c r="M450" s="66" t="s">
        <v>194</v>
      </c>
      <c r="N450" s="66">
        <f t="shared" si="108"/>
        <v>1</v>
      </c>
      <c r="O450" s="80" t="s">
        <v>817</v>
      </c>
      <c r="P450" s="68"/>
      <c r="Q450" s="68"/>
      <c r="R450" s="79"/>
      <c r="S450" s="81" t="s">
        <v>352</v>
      </c>
      <c r="T450" s="81" t="s">
        <v>352</v>
      </c>
      <c r="U450" s="80" t="s">
        <v>811</v>
      </c>
      <c r="V450" s="81" t="s">
        <v>352</v>
      </c>
      <c r="W450" s="79"/>
      <c r="X450" s="79"/>
      <c r="Y450" s="80" t="s">
        <v>1337</v>
      </c>
      <c r="Z450" s="79"/>
      <c r="AA450" s="79"/>
    </row>
    <row r="451" spans="1:27" ht="24.75" hidden="1" outlineLevel="1" x14ac:dyDescent="0.35">
      <c r="A451" s="79"/>
      <c r="B451" s="79"/>
      <c r="C451" s="80" t="s">
        <v>812</v>
      </c>
      <c r="D451" s="80" t="s">
        <v>1338</v>
      </c>
      <c r="E451" s="66">
        <f t="shared" si="126"/>
        <v>2</v>
      </c>
      <c r="F451" s="66">
        <f t="shared" si="128"/>
        <v>8</v>
      </c>
      <c r="G451" s="66">
        <v>1</v>
      </c>
      <c r="H451" s="66">
        <v>1</v>
      </c>
      <c r="I451" s="66">
        <v>0</v>
      </c>
      <c r="J451" s="66">
        <v>0</v>
      </c>
      <c r="K451" s="66">
        <f t="shared" si="127"/>
        <v>1</v>
      </c>
      <c r="L451" s="66">
        <v>0</v>
      </c>
      <c r="M451" s="66" t="s">
        <v>938</v>
      </c>
      <c r="N451" s="66">
        <f t="shared" si="108"/>
        <v>1</v>
      </c>
      <c r="O451" s="80" t="s">
        <v>817</v>
      </c>
      <c r="P451" s="68"/>
      <c r="Q451" s="68"/>
      <c r="R451" s="79"/>
      <c r="S451" s="81" t="s">
        <v>352</v>
      </c>
      <c r="T451" s="81" t="s">
        <v>352</v>
      </c>
      <c r="U451" s="80" t="s">
        <v>812</v>
      </c>
      <c r="V451" s="81" t="s">
        <v>352</v>
      </c>
      <c r="W451" s="79"/>
      <c r="X451" s="79"/>
      <c r="Y451" s="80" t="s">
        <v>1338</v>
      </c>
      <c r="Z451" s="79"/>
      <c r="AA451" s="79"/>
    </row>
    <row r="452" spans="1:27" ht="24.75" hidden="1" outlineLevel="1" x14ac:dyDescent="0.35">
      <c r="A452" s="79"/>
      <c r="B452" s="79"/>
      <c r="C452" s="80" t="s">
        <v>813</v>
      </c>
      <c r="D452" s="80" t="s">
        <v>1346</v>
      </c>
      <c r="E452" s="66">
        <f t="shared" si="126"/>
        <v>2</v>
      </c>
      <c r="F452" s="66">
        <f t="shared" si="128"/>
        <v>9</v>
      </c>
      <c r="G452" s="66">
        <v>1</v>
      </c>
      <c r="H452" s="66">
        <v>1</v>
      </c>
      <c r="I452" s="66">
        <v>0</v>
      </c>
      <c r="J452" s="66">
        <v>0</v>
      </c>
      <c r="K452" s="66">
        <f t="shared" si="127"/>
        <v>1</v>
      </c>
      <c r="L452" s="66">
        <v>0</v>
      </c>
      <c r="M452" s="66" t="s">
        <v>194</v>
      </c>
      <c r="N452" s="66">
        <f t="shared" si="108"/>
        <v>1</v>
      </c>
      <c r="O452" s="80" t="s">
        <v>817</v>
      </c>
      <c r="P452" s="68"/>
      <c r="Q452" s="68"/>
      <c r="R452" s="79"/>
      <c r="S452" s="81" t="s">
        <v>352</v>
      </c>
      <c r="T452" s="81" t="s">
        <v>352</v>
      </c>
      <c r="U452" s="80" t="s">
        <v>813</v>
      </c>
      <c r="V452" s="81" t="s">
        <v>352</v>
      </c>
      <c r="W452" s="79"/>
      <c r="X452" s="79"/>
      <c r="Y452" s="80" t="s">
        <v>1346</v>
      </c>
      <c r="Z452" s="79"/>
      <c r="AA452" s="79"/>
    </row>
    <row r="453" spans="1:27" ht="24.75" hidden="1" outlineLevel="1" x14ac:dyDescent="0.35">
      <c r="A453" s="79"/>
      <c r="B453" s="79"/>
      <c r="C453" s="80" t="s">
        <v>814</v>
      </c>
      <c r="D453" s="80" t="s">
        <v>1347</v>
      </c>
      <c r="E453" s="66">
        <f t="shared" si="126"/>
        <v>2</v>
      </c>
      <c r="F453" s="66">
        <f t="shared" si="128"/>
        <v>10</v>
      </c>
      <c r="G453" s="66">
        <v>1</v>
      </c>
      <c r="H453" s="66">
        <v>1</v>
      </c>
      <c r="I453" s="66">
        <v>0</v>
      </c>
      <c r="J453" s="66">
        <v>0</v>
      </c>
      <c r="K453" s="66">
        <f t="shared" si="127"/>
        <v>1</v>
      </c>
      <c r="L453" s="66">
        <v>0</v>
      </c>
      <c r="M453" s="66" t="s">
        <v>194</v>
      </c>
      <c r="N453" s="66">
        <f t="shared" si="108"/>
        <v>1</v>
      </c>
      <c r="O453" s="80" t="s">
        <v>817</v>
      </c>
      <c r="P453" s="68"/>
      <c r="Q453" s="68"/>
      <c r="R453" s="79"/>
      <c r="S453" s="81" t="s">
        <v>352</v>
      </c>
      <c r="T453" s="81" t="s">
        <v>352</v>
      </c>
      <c r="U453" s="80" t="s">
        <v>814</v>
      </c>
      <c r="V453" s="81" t="s">
        <v>352</v>
      </c>
      <c r="W453" s="79"/>
      <c r="X453" s="79"/>
      <c r="Y453" s="80" t="s">
        <v>1347</v>
      </c>
      <c r="Z453" s="79"/>
      <c r="AA453" s="79"/>
    </row>
    <row r="454" spans="1:27" ht="24.75" hidden="1" outlineLevel="1" x14ac:dyDescent="0.35">
      <c r="A454" s="79"/>
      <c r="B454" s="79"/>
      <c r="C454" s="80" t="s">
        <v>832</v>
      </c>
      <c r="D454" s="80" t="s">
        <v>1348</v>
      </c>
      <c r="E454" s="66">
        <f t="shared" ref="E454" si="129">IF(INT((F454 + G454-1) / 8) + 1 = INT(F454 / 8) + 1, INT(F454 / 8) + 1, INT(F454 / 8) + 1 &amp; "-" &amp; INT((F454 + G454 - 1) / 8) + 1)</f>
        <v>2</v>
      </c>
      <c r="F454" s="66">
        <f t="shared" ref="F454" si="130">F453+G453</f>
        <v>11</v>
      </c>
      <c r="G454" s="66">
        <v>1</v>
      </c>
      <c r="H454" s="66">
        <v>1</v>
      </c>
      <c r="I454" s="66">
        <v>0</v>
      </c>
      <c r="J454" s="66">
        <v>0</v>
      </c>
      <c r="K454" s="66">
        <f t="shared" si="127"/>
        <v>1</v>
      </c>
      <c r="L454" s="66">
        <v>0</v>
      </c>
      <c r="M454" s="66" t="s">
        <v>194</v>
      </c>
      <c r="N454" s="66">
        <f t="shared" si="108"/>
        <v>1</v>
      </c>
      <c r="O454" s="80" t="s">
        <v>817</v>
      </c>
      <c r="P454" s="68"/>
      <c r="Q454" s="68"/>
      <c r="R454" s="79"/>
      <c r="S454" s="81" t="s">
        <v>352</v>
      </c>
      <c r="T454" s="81" t="s">
        <v>352</v>
      </c>
      <c r="U454" s="80" t="s">
        <v>832</v>
      </c>
      <c r="V454" s="81" t="s">
        <v>352</v>
      </c>
      <c r="W454" s="79"/>
      <c r="X454" s="79"/>
      <c r="Y454" s="80" t="s">
        <v>1348</v>
      </c>
      <c r="Z454" s="79"/>
      <c r="AA454" s="79"/>
    </row>
    <row r="455" spans="1:27" s="352" customFormat="1" ht="24.75" collapsed="1" x14ac:dyDescent="0.35">
      <c r="A455" s="284" t="s">
        <v>835</v>
      </c>
      <c r="B455" s="284" t="str">
        <f>VLOOKUP(A455,'Message ID'!A:O,2,FALSE)</f>
        <v>SOX算法调试的输入数据，包含电流、电压、温度等</v>
      </c>
      <c r="C455" s="91"/>
      <c r="D455" s="94"/>
      <c r="E455" s="92">
        <v>60</v>
      </c>
      <c r="F455" s="61"/>
      <c r="G455" s="61"/>
      <c r="H455" s="61"/>
      <c r="I455" s="61"/>
      <c r="J455" s="61"/>
      <c r="K455" s="61"/>
      <c r="L455" s="61"/>
      <c r="M455" s="61"/>
      <c r="N455" s="93">
        <f>SUM(N456:N487)</f>
        <v>155</v>
      </c>
      <c r="O455" s="93"/>
      <c r="P455" s="93"/>
      <c r="Q455" s="93"/>
      <c r="R455" s="91"/>
      <c r="S455" s="95"/>
      <c r="T455" s="95"/>
      <c r="U455" s="95"/>
      <c r="V455" s="95"/>
      <c r="W455" s="91"/>
      <c r="X455" s="91"/>
      <c r="Y455" s="94"/>
      <c r="Z455" s="91"/>
      <c r="AA455" s="91"/>
    </row>
    <row r="456" spans="1:27" ht="24.75" hidden="1" outlineLevel="1" x14ac:dyDescent="0.35">
      <c r="A456" s="79"/>
      <c r="B456" s="79"/>
      <c r="C456" s="80" t="s">
        <v>1251</v>
      </c>
      <c r="D456" s="80" t="s">
        <v>1349</v>
      </c>
      <c r="E456" s="66" t="str">
        <f>IF(INT((F456 + G456-1) / 8) + 1 = INT(F456 / 8) + 1, INT(F456 / 8) + 1, INT(F456 / 8) + 1 &amp; "-" &amp; INT((F456 + G456 - 1) / 8) + 1)</f>
        <v>1-4</v>
      </c>
      <c r="F456" s="68">
        <v>0</v>
      </c>
      <c r="G456" s="68">
        <v>32</v>
      </c>
      <c r="H456" s="134">
        <v>1E-3</v>
      </c>
      <c r="I456" s="68">
        <v>-2000</v>
      </c>
      <c r="J456" s="134">
        <v>-2000</v>
      </c>
      <c r="K456" s="208">
        <v>2000.001</v>
      </c>
      <c r="L456" s="68">
        <v>0</v>
      </c>
      <c r="M456" s="68" t="s">
        <v>356</v>
      </c>
      <c r="N456" s="68">
        <f t="shared" si="108"/>
        <v>8</v>
      </c>
      <c r="O456" s="80"/>
      <c r="P456" s="68"/>
      <c r="Q456" s="68"/>
      <c r="R456" s="79"/>
      <c r="S456" s="80" t="s">
        <v>1251</v>
      </c>
      <c r="T456" s="80" t="s">
        <v>1166</v>
      </c>
      <c r="U456" s="81" t="s">
        <v>352</v>
      </c>
      <c r="V456" s="81" t="s">
        <v>352</v>
      </c>
      <c r="W456" s="79"/>
      <c r="X456" s="79"/>
      <c r="Y456" s="80" t="s">
        <v>1349</v>
      </c>
      <c r="Z456" s="79"/>
      <c r="AA456" s="79"/>
    </row>
    <row r="457" spans="1:27" ht="24.75" hidden="1" outlineLevel="1" x14ac:dyDescent="0.35">
      <c r="A457" s="79"/>
      <c r="B457" s="79"/>
      <c r="C457" s="80" t="s">
        <v>842</v>
      </c>
      <c r="D457" s="80" t="s">
        <v>1350</v>
      </c>
      <c r="E457" s="66" t="str">
        <f t="shared" ref="E457:E469" si="131">IF(INT((F457 + G457-1) / 8) + 1 = INT(F457 / 8) + 1, INT(F457 / 8) + 1, INT(F457 / 8) + 1 &amp; "-" &amp; INT((F457 + G457 - 1) / 8) + 1)</f>
        <v>5-6</v>
      </c>
      <c r="F457" s="70">
        <f>F456+G456</f>
        <v>32</v>
      </c>
      <c r="G457" s="68">
        <v>16</v>
      </c>
      <c r="H457" s="134">
        <v>1</v>
      </c>
      <c r="I457" s="68">
        <v>0</v>
      </c>
      <c r="J457" s="134">
        <v>0</v>
      </c>
      <c r="K457" s="208">
        <v>5000</v>
      </c>
      <c r="L457" s="68">
        <v>0</v>
      </c>
      <c r="M457" s="68" t="s">
        <v>354</v>
      </c>
      <c r="N457" s="68">
        <f t="shared" si="108"/>
        <v>4</v>
      </c>
      <c r="O457" s="80"/>
      <c r="P457" s="68"/>
      <c r="Q457" s="68"/>
      <c r="R457" s="79"/>
      <c r="S457" s="80" t="s">
        <v>842</v>
      </c>
      <c r="T457" s="81" t="s">
        <v>352</v>
      </c>
      <c r="U457" s="81" t="s">
        <v>352</v>
      </c>
      <c r="V457" s="81" t="s">
        <v>352</v>
      </c>
      <c r="W457" s="79"/>
      <c r="X457" s="79"/>
      <c r="Y457" s="80" t="s">
        <v>1350</v>
      </c>
      <c r="Z457" s="79"/>
      <c r="AA457" s="79"/>
    </row>
    <row r="458" spans="1:27" ht="24.75" hidden="1" outlineLevel="1" x14ac:dyDescent="0.35">
      <c r="A458" s="79"/>
      <c r="B458" s="79"/>
      <c r="C458" s="80" t="s">
        <v>843</v>
      </c>
      <c r="D458" s="80" t="s">
        <v>1273</v>
      </c>
      <c r="E458" s="66" t="str">
        <f>IF(INT((F458 + G458-1) / 8) + 1 = INT(F458 / 8) + 1, INT(F458 / 8) + 1, INT(F458 / 8) + 1 &amp; "-" &amp; INT((F458 + G458 - 1) / 8) + 1)</f>
        <v>7-8</v>
      </c>
      <c r="F458" s="70">
        <f t="shared" ref="F458:F487" si="132">F457+G457</f>
        <v>48</v>
      </c>
      <c r="G458" s="68">
        <v>16</v>
      </c>
      <c r="H458" s="134">
        <v>1</v>
      </c>
      <c r="I458" s="68">
        <v>0</v>
      </c>
      <c r="J458" s="134">
        <v>0</v>
      </c>
      <c r="K458" s="208">
        <v>5000</v>
      </c>
      <c r="L458" s="68">
        <v>0</v>
      </c>
      <c r="M458" s="68" t="s">
        <v>354</v>
      </c>
      <c r="N458" s="68">
        <f t="shared" si="108"/>
        <v>4</v>
      </c>
      <c r="O458" s="80"/>
      <c r="P458" s="68"/>
      <c r="Q458" s="68"/>
      <c r="R458" s="79"/>
      <c r="S458" s="80" t="s">
        <v>843</v>
      </c>
      <c r="T458" s="81" t="s">
        <v>352</v>
      </c>
      <c r="U458" s="81" t="s">
        <v>352</v>
      </c>
      <c r="V458" s="81" t="s">
        <v>352</v>
      </c>
      <c r="W458" s="79"/>
      <c r="X458" s="79"/>
      <c r="Y458" s="80" t="s">
        <v>1273</v>
      </c>
      <c r="Z458" s="79"/>
      <c r="AA458" s="79"/>
    </row>
    <row r="459" spans="1:27" ht="24.75" hidden="1" outlineLevel="1" x14ac:dyDescent="0.35">
      <c r="A459" s="79"/>
      <c r="B459" s="79"/>
      <c r="C459" s="80" t="s">
        <v>1252</v>
      </c>
      <c r="D459" s="80" t="s">
        <v>1351</v>
      </c>
      <c r="E459" s="66" t="str">
        <f t="shared" si="131"/>
        <v>9-10</v>
      </c>
      <c r="F459" s="70">
        <f t="shared" si="132"/>
        <v>64</v>
      </c>
      <c r="G459" s="68">
        <v>16</v>
      </c>
      <c r="H459" s="134">
        <v>0.1</v>
      </c>
      <c r="I459" s="68">
        <v>-40</v>
      </c>
      <c r="J459" s="68">
        <v>-40</v>
      </c>
      <c r="K459" s="224">
        <v>125.1</v>
      </c>
      <c r="L459" s="68">
        <v>25</v>
      </c>
      <c r="M459" s="68" t="s">
        <v>742</v>
      </c>
      <c r="N459" s="68">
        <f t="shared" si="108"/>
        <v>5</v>
      </c>
      <c r="O459" s="80"/>
      <c r="P459" s="68"/>
      <c r="Q459" s="68"/>
      <c r="R459" s="79"/>
      <c r="S459" s="80" t="s">
        <v>1252</v>
      </c>
      <c r="T459" s="81" t="s">
        <v>352</v>
      </c>
      <c r="U459" s="81" t="s">
        <v>352</v>
      </c>
      <c r="V459" s="81" t="s">
        <v>352</v>
      </c>
      <c r="W459" s="79"/>
      <c r="X459" s="79"/>
      <c r="Y459" s="80" t="s">
        <v>1351</v>
      </c>
      <c r="Z459" s="79"/>
      <c r="AA459" s="79"/>
    </row>
    <row r="460" spans="1:27" ht="24.75" hidden="1" outlineLevel="1" x14ac:dyDescent="0.35">
      <c r="A460" s="79"/>
      <c r="B460" s="79"/>
      <c r="C460" s="80" t="s">
        <v>1253</v>
      </c>
      <c r="D460" s="80" t="s">
        <v>1352</v>
      </c>
      <c r="E460" s="66" t="str">
        <f t="shared" si="131"/>
        <v>11-12</v>
      </c>
      <c r="F460" s="70">
        <f t="shared" si="132"/>
        <v>80</v>
      </c>
      <c r="G460" s="68">
        <v>16</v>
      </c>
      <c r="H460" s="134">
        <v>0.1</v>
      </c>
      <c r="I460" s="68">
        <v>-40</v>
      </c>
      <c r="J460" s="68">
        <v>-40</v>
      </c>
      <c r="K460" s="224">
        <v>125.1</v>
      </c>
      <c r="L460" s="68">
        <v>25</v>
      </c>
      <c r="M460" s="68" t="s">
        <v>742</v>
      </c>
      <c r="N460" s="68">
        <f t="shared" si="108"/>
        <v>5</v>
      </c>
      <c r="O460" s="80"/>
      <c r="P460" s="68"/>
      <c r="Q460" s="68"/>
      <c r="R460" s="79"/>
      <c r="S460" s="80" t="s">
        <v>1253</v>
      </c>
      <c r="T460" s="81" t="s">
        <v>352</v>
      </c>
      <c r="U460" s="81" t="s">
        <v>352</v>
      </c>
      <c r="V460" s="81" t="s">
        <v>352</v>
      </c>
      <c r="W460" s="79"/>
      <c r="X460" s="79"/>
      <c r="Y460" s="80" t="s">
        <v>1352</v>
      </c>
      <c r="Z460" s="79"/>
      <c r="AA460" s="79"/>
    </row>
    <row r="461" spans="1:27" ht="24.75" hidden="1" outlineLevel="1" x14ac:dyDescent="0.35">
      <c r="A461" s="79"/>
      <c r="B461" s="79"/>
      <c r="C461" s="80" t="s">
        <v>1254</v>
      </c>
      <c r="D461" s="80" t="s">
        <v>1353</v>
      </c>
      <c r="E461" s="66" t="str">
        <f t="shared" si="131"/>
        <v>13-14</v>
      </c>
      <c r="F461" s="70">
        <f t="shared" si="132"/>
        <v>96</v>
      </c>
      <c r="G461" s="68">
        <v>16</v>
      </c>
      <c r="H461" s="134">
        <v>0.1</v>
      </c>
      <c r="I461" s="68">
        <v>-40</v>
      </c>
      <c r="J461" s="68">
        <v>-40</v>
      </c>
      <c r="K461" s="224">
        <v>125.1</v>
      </c>
      <c r="L461" s="68">
        <v>25</v>
      </c>
      <c r="M461" s="68" t="s">
        <v>742</v>
      </c>
      <c r="N461" s="68">
        <f t="shared" si="108"/>
        <v>5</v>
      </c>
      <c r="O461" s="80"/>
      <c r="P461" s="68"/>
      <c r="Q461" s="68"/>
      <c r="R461" s="79"/>
      <c r="S461" s="80" t="s">
        <v>1254</v>
      </c>
      <c r="T461" s="81" t="s">
        <v>352</v>
      </c>
      <c r="U461" s="81" t="s">
        <v>352</v>
      </c>
      <c r="V461" s="81" t="s">
        <v>352</v>
      </c>
      <c r="W461" s="79"/>
      <c r="X461" s="79"/>
      <c r="Y461" s="80" t="s">
        <v>1353</v>
      </c>
      <c r="Z461" s="79"/>
      <c r="AA461" s="79"/>
    </row>
    <row r="462" spans="1:27" ht="24.75" hidden="1" outlineLevel="1" x14ac:dyDescent="0.35">
      <c r="A462" s="79"/>
      <c r="B462" s="79"/>
      <c r="C462" s="80" t="s">
        <v>926</v>
      </c>
      <c r="D462" s="80" t="s">
        <v>1354</v>
      </c>
      <c r="E462" s="66">
        <f>IF(INT((F462 + G462-1) / 8) + 1 = INT(F462 / 8) + 1, INT(F462 / 8) + 1, INT(F462 / 8) + 1 &amp; "-" &amp; INT((F462 + G462 - 1) / 8) + 1)</f>
        <v>15</v>
      </c>
      <c r="F462" s="70">
        <f t="shared" si="132"/>
        <v>112</v>
      </c>
      <c r="G462" s="68">
        <v>8</v>
      </c>
      <c r="H462" s="134">
        <v>1</v>
      </c>
      <c r="I462" s="68">
        <v>0</v>
      </c>
      <c r="J462" s="134">
        <v>0</v>
      </c>
      <c r="K462" s="134">
        <f t="shared" ref="K462:K484" si="133">(POWER(2,G462)-1)*H462+I462</f>
        <v>255</v>
      </c>
      <c r="L462" s="68">
        <v>0</v>
      </c>
      <c r="M462" s="68" t="s">
        <v>932</v>
      </c>
      <c r="N462" s="68">
        <f t="shared" si="108"/>
        <v>3</v>
      </c>
      <c r="O462" s="80" t="s">
        <v>928</v>
      </c>
      <c r="P462" s="68"/>
      <c r="Q462" s="68"/>
      <c r="R462" s="79"/>
      <c r="S462" s="80" t="s">
        <v>926</v>
      </c>
      <c r="T462" s="80" t="s">
        <v>1159</v>
      </c>
      <c r="U462" s="81" t="s">
        <v>352</v>
      </c>
      <c r="V462" s="81" t="s">
        <v>352</v>
      </c>
      <c r="W462" s="79"/>
      <c r="X462" s="79"/>
      <c r="Y462" s="80" t="s">
        <v>1354</v>
      </c>
      <c r="Z462" s="79"/>
      <c r="AA462" s="79"/>
    </row>
    <row r="463" spans="1:27" ht="24.75" hidden="1" outlineLevel="1" x14ac:dyDescent="0.35">
      <c r="A463" s="79"/>
      <c r="B463" s="79"/>
      <c r="C463" s="80" t="s">
        <v>927</v>
      </c>
      <c r="D463" s="80" t="s">
        <v>1355</v>
      </c>
      <c r="E463" s="66">
        <f>IF(INT((F463 + G463-1) / 8) + 1 = INT(F463 / 8) + 1, INT(F463 / 8) + 1, INT(F463 / 8) + 1 &amp; "-" &amp; INT((F463 + G463 - 1) / 8) + 1)</f>
        <v>16</v>
      </c>
      <c r="F463" s="70">
        <f t="shared" si="132"/>
        <v>120</v>
      </c>
      <c r="G463" s="68">
        <v>8</v>
      </c>
      <c r="H463" s="134">
        <v>1</v>
      </c>
      <c r="I463" s="68">
        <v>0</v>
      </c>
      <c r="J463" s="134">
        <v>0</v>
      </c>
      <c r="K463" s="134">
        <f t="shared" si="133"/>
        <v>255</v>
      </c>
      <c r="L463" s="68">
        <v>0</v>
      </c>
      <c r="M463" s="68" t="s">
        <v>932</v>
      </c>
      <c r="N463" s="68">
        <f t="shared" si="108"/>
        <v>3</v>
      </c>
      <c r="O463" s="80" t="s">
        <v>929</v>
      </c>
      <c r="P463" s="68"/>
      <c r="Q463" s="68"/>
      <c r="R463" s="79"/>
      <c r="S463" s="80" t="s">
        <v>927</v>
      </c>
      <c r="T463" s="80" t="s">
        <v>1160</v>
      </c>
      <c r="U463" s="81" t="s">
        <v>352</v>
      </c>
      <c r="V463" s="81" t="s">
        <v>352</v>
      </c>
      <c r="W463" s="79"/>
      <c r="X463" s="79"/>
      <c r="Y463" s="80" t="s">
        <v>1355</v>
      </c>
      <c r="Z463" s="79"/>
      <c r="AA463" s="79"/>
    </row>
    <row r="464" spans="1:27" ht="24.75" hidden="1" outlineLevel="1" x14ac:dyDescent="0.35">
      <c r="A464" s="79"/>
      <c r="B464" s="79"/>
      <c r="C464" s="80" t="s">
        <v>1037</v>
      </c>
      <c r="D464" s="362" t="s">
        <v>1288</v>
      </c>
      <c r="E464" s="66" t="str">
        <f t="shared" si="131"/>
        <v>17-20</v>
      </c>
      <c r="F464" s="70">
        <f t="shared" si="132"/>
        <v>128</v>
      </c>
      <c r="G464" s="68">
        <v>32</v>
      </c>
      <c r="H464" s="134">
        <v>6.25E-2</v>
      </c>
      <c r="I464" s="68">
        <v>0</v>
      </c>
      <c r="J464" s="134">
        <v>0</v>
      </c>
      <c r="K464" s="134">
        <f t="shared" si="133"/>
        <v>268435455.9375</v>
      </c>
      <c r="L464" s="68">
        <v>0</v>
      </c>
      <c r="M464" s="68" t="s">
        <v>867</v>
      </c>
      <c r="N464" s="68">
        <f t="shared" si="108"/>
        <v>14</v>
      </c>
      <c r="O464" s="80"/>
      <c r="P464" s="68"/>
      <c r="Q464" s="68"/>
      <c r="R464" s="79"/>
      <c r="S464" s="80" t="s">
        <v>1037</v>
      </c>
      <c r="T464" s="67" t="s">
        <v>1150</v>
      </c>
      <c r="U464" s="81" t="s">
        <v>352</v>
      </c>
      <c r="V464" s="81" t="s">
        <v>352</v>
      </c>
      <c r="W464" s="79"/>
      <c r="X464" s="79"/>
      <c r="Y464" s="362" t="s">
        <v>1288</v>
      </c>
      <c r="Z464" s="79"/>
      <c r="AA464" s="79"/>
    </row>
    <row r="465" spans="1:27" ht="24.75" hidden="1" outlineLevel="1" x14ac:dyDescent="0.35">
      <c r="A465" s="79"/>
      <c r="B465" s="79"/>
      <c r="C465" s="80" t="s">
        <v>1035</v>
      </c>
      <c r="D465" s="362" t="s">
        <v>1287</v>
      </c>
      <c r="E465" s="66" t="str">
        <f t="shared" si="131"/>
        <v>21-24</v>
      </c>
      <c r="F465" s="70">
        <f t="shared" si="132"/>
        <v>160</v>
      </c>
      <c r="G465" s="68">
        <v>32</v>
      </c>
      <c r="H465" s="134">
        <v>6.25E-2</v>
      </c>
      <c r="I465" s="68">
        <v>0</v>
      </c>
      <c r="J465" s="134">
        <v>0</v>
      </c>
      <c r="K465" s="134">
        <f t="shared" si="133"/>
        <v>268435455.9375</v>
      </c>
      <c r="L465" s="68">
        <v>0</v>
      </c>
      <c r="M465" s="68" t="s">
        <v>867</v>
      </c>
      <c r="N465" s="68">
        <f t="shared" si="108"/>
        <v>14</v>
      </c>
      <c r="O465" s="80"/>
      <c r="P465" s="68"/>
      <c r="Q465" s="68"/>
      <c r="R465" s="79"/>
      <c r="S465" s="80" t="s">
        <v>1035</v>
      </c>
      <c r="T465" s="67" t="s">
        <v>1151</v>
      </c>
      <c r="U465" s="81" t="s">
        <v>352</v>
      </c>
      <c r="V465" s="81" t="s">
        <v>352</v>
      </c>
      <c r="W465" s="79"/>
      <c r="X465" s="79"/>
      <c r="Y465" s="362" t="s">
        <v>1287</v>
      </c>
      <c r="Z465" s="79"/>
      <c r="AA465" s="79"/>
    </row>
    <row r="466" spans="1:27" ht="24.75" hidden="1" outlineLevel="1" x14ac:dyDescent="0.35">
      <c r="A466" s="79"/>
      <c r="B466" s="79"/>
      <c r="C466" s="80" t="s">
        <v>1581</v>
      </c>
      <c r="D466" s="80" t="s">
        <v>1356</v>
      </c>
      <c r="E466" s="66">
        <f t="shared" si="131"/>
        <v>25</v>
      </c>
      <c r="F466" s="70">
        <f t="shared" si="132"/>
        <v>192</v>
      </c>
      <c r="G466" s="68">
        <v>8</v>
      </c>
      <c r="H466" s="134">
        <v>1</v>
      </c>
      <c r="I466" s="68">
        <v>0</v>
      </c>
      <c r="J466" s="134">
        <v>0</v>
      </c>
      <c r="K466" s="134">
        <f t="shared" si="133"/>
        <v>255</v>
      </c>
      <c r="L466" s="68">
        <v>0</v>
      </c>
      <c r="M466" s="68" t="s">
        <v>932</v>
      </c>
      <c r="N466" s="68">
        <f t="shared" si="108"/>
        <v>3</v>
      </c>
      <c r="O466" s="80" t="s">
        <v>869</v>
      </c>
      <c r="P466" s="68"/>
      <c r="Q466" s="68"/>
      <c r="R466" s="79"/>
      <c r="S466" s="80" t="s">
        <v>844</v>
      </c>
      <c r="T466" s="80" t="s">
        <v>1156</v>
      </c>
      <c r="U466" s="81" t="s">
        <v>352</v>
      </c>
      <c r="V466" s="81" t="s">
        <v>352</v>
      </c>
      <c r="W466" s="79"/>
      <c r="X466" s="79"/>
      <c r="Y466" s="80" t="s">
        <v>1356</v>
      </c>
      <c r="Z466" s="79"/>
      <c r="AA466" s="79"/>
    </row>
    <row r="467" spans="1:27" ht="24.75" hidden="1" outlineLevel="1" x14ac:dyDescent="0.35">
      <c r="A467" s="79"/>
      <c r="B467" s="79"/>
      <c r="C467" s="80" t="s">
        <v>507</v>
      </c>
      <c r="D467" s="266" t="s">
        <v>1268</v>
      </c>
      <c r="E467" s="66" t="str">
        <f t="shared" si="131"/>
        <v>26-29</v>
      </c>
      <c r="F467" s="70">
        <f t="shared" si="132"/>
        <v>200</v>
      </c>
      <c r="G467" s="68">
        <v>32</v>
      </c>
      <c r="H467" s="134">
        <v>1</v>
      </c>
      <c r="I467" s="68">
        <v>0</v>
      </c>
      <c r="J467" s="134">
        <v>0</v>
      </c>
      <c r="K467" s="134">
        <f t="shared" si="133"/>
        <v>4294967295</v>
      </c>
      <c r="L467" s="68">
        <v>0</v>
      </c>
      <c r="M467" s="68" t="s">
        <v>868</v>
      </c>
      <c r="N467" s="68">
        <f t="shared" si="108"/>
        <v>10</v>
      </c>
      <c r="O467" s="80"/>
      <c r="P467" s="68"/>
      <c r="Q467" s="68"/>
      <c r="R467" s="79"/>
      <c r="S467" s="80" t="s">
        <v>507</v>
      </c>
      <c r="T467" s="80" t="s">
        <v>1158</v>
      </c>
      <c r="U467" s="81" t="s">
        <v>352</v>
      </c>
      <c r="V467" s="81" t="s">
        <v>352</v>
      </c>
      <c r="W467" s="79"/>
      <c r="X467" s="79"/>
      <c r="Y467" s="266" t="s">
        <v>1268</v>
      </c>
      <c r="Z467" s="79"/>
      <c r="AA467" s="79"/>
    </row>
    <row r="468" spans="1:27" ht="24.75" hidden="1" outlineLevel="1" x14ac:dyDescent="0.35">
      <c r="A468" s="79"/>
      <c r="B468" s="79"/>
      <c r="C468" s="80" t="s">
        <v>845</v>
      </c>
      <c r="D468" s="80" t="s">
        <v>1420</v>
      </c>
      <c r="E468" s="66" t="str">
        <f t="shared" si="131"/>
        <v>30-33</v>
      </c>
      <c r="F468" s="70">
        <f t="shared" si="132"/>
        <v>232</v>
      </c>
      <c r="G468" s="68">
        <v>32</v>
      </c>
      <c r="H468" s="134">
        <v>1</v>
      </c>
      <c r="I468" s="68">
        <v>0</v>
      </c>
      <c r="J468" s="134">
        <v>0</v>
      </c>
      <c r="K468" s="134">
        <f t="shared" si="133"/>
        <v>4294967295</v>
      </c>
      <c r="L468" s="68">
        <v>0</v>
      </c>
      <c r="M468" s="68" t="s">
        <v>868</v>
      </c>
      <c r="N468" s="68">
        <f t="shared" si="108"/>
        <v>10</v>
      </c>
      <c r="O468" s="80"/>
      <c r="P468" s="68"/>
      <c r="Q468" s="68"/>
      <c r="R468" s="79"/>
      <c r="S468" s="80" t="s">
        <v>845</v>
      </c>
      <c r="T468" s="80" t="s">
        <v>1161</v>
      </c>
      <c r="U468" s="81" t="s">
        <v>352</v>
      </c>
      <c r="V468" s="81" t="s">
        <v>352</v>
      </c>
      <c r="W468" s="79"/>
      <c r="X468" s="79"/>
      <c r="Y468" s="80" t="s">
        <v>1420</v>
      </c>
      <c r="Z468" s="79"/>
      <c r="AA468" s="79"/>
    </row>
    <row r="469" spans="1:27" ht="24.75" hidden="1" outlineLevel="1" x14ac:dyDescent="0.35">
      <c r="A469" s="79"/>
      <c r="B469" s="79"/>
      <c r="C469" s="80" t="s">
        <v>846</v>
      </c>
      <c r="D469" s="80" t="s">
        <v>1421</v>
      </c>
      <c r="E469" s="66" t="str">
        <f t="shared" si="131"/>
        <v>34-37</v>
      </c>
      <c r="F469" s="70">
        <f t="shared" si="132"/>
        <v>264</v>
      </c>
      <c r="G469" s="68">
        <v>32</v>
      </c>
      <c r="H469" s="134">
        <v>1</v>
      </c>
      <c r="I469" s="68">
        <v>0</v>
      </c>
      <c r="J469" s="134">
        <v>0</v>
      </c>
      <c r="K469" s="134">
        <f t="shared" si="133"/>
        <v>4294967295</v>
      </c>
      <c r="L469" s="68">
        <v>0</v>
      </c>
      <c r="M469" s="68" t="s">
        <v>868</v>
      </c>
      <c r="N469" s="68">
        <f t="shared" si="108"/>
        <v>10</v>
      </c>
      <c r="O469" s="80"/>
      <c r="P469" s="68"/>
      <c r="Q469" s="68"/>
      <c r="R469" s="79"/>
      <c r="S469" s="80" t="s">
        <v>846</v>
      </c>
      <c r="T469" s="80" t="s">
        <v>1162</v>
      </c>
      <c r="U469" s="81" t="s">
        <v>352</v>
      </c>
      <c r="V469" s="81" t="s">
        <v>352</v>
      </c>
      <c r="W469" s="79"/>
      <c r="X469" s="79"/>
      <c r="Y469" s="80" t="s">
        <v>1421</v>
      </c>
      <c r="Z469" s="79"/>
      <c r="AA469" s="79"/>
    </row>
    <row r="470" spans="1:27" ht="24.75" hidden="1" outlineLevel="1" x14ac:dyDescent="0.35">
      <c r="A470" s="79"/>
      <c r="B470" s="79"/>
      <c r="C470" s="80" t="s">
        <v>847</v>
      </c>
      <c r="D470" s="80" t="s">
        <v>1277</v>
      </c>
      <c r="E470" s="66" t="str">
        <f t="shared" ref="E470:E487" si="134">IF(INT((F470 + G470-1) / 8) + 1 = INT(F470 / 8) + 1, INT(F470 / 8) + 1, INT(F470 / 8) + 1 &amp; "-" &amp; INT((F470 + G470 - 1) / 8) + 1)</f>
        <v>38-39</v>
      </c>
      <c r="F470" s="70">
        <f t="shared" si="132"/>
        <v>296</v>
      </c>
      <c r="G470" s="68">
        <v>16</v>
      </c>
      <c r="H470" s="134">
        <v>1</v>
      </c>
      <c r="I470" s="68">
        <v>0</v>
      </c>
      <c r="J470" s="134">
        <v>0</v>
      </c>
      <c r="K470" s="134">
        <f t="shared" si="133"/>
        <v>65535</v>
      </c>
      <c r="L470" s="68">
        <v>0</v>
      </c>
      <c r="M470" s="68" t="s">
        <v>932</v>
      </c>
      <c r="N470" s="68">
        <f t="shared" si="108"/>
        <v>5</v>
      </c>
      <c r="O470" s="80"/>
      <c r="P470" s="68"/>
      <c r="Q470" s="68"/>
      <c r="R470" s="79"/>
      <c r="S470" s="80" t="s">
        <v>847</v>
      </c>
      <c r="T470" s="80" t="s">
        <v>1163</v>
      </c>
      <c r="U470" s="81" t="s">
        <v>352</v>
      </c>
      <c r="V470" s="81" t="s">
        <v>352</v>
      </c>
      <c r="W470" s="79"/>
      <c r="X470" s="79"/>
      <c r="Y470" s="80" t="s">
        <v>1277</v>
      </c>
      <c r="Z470" s="79"/>
      <c r="AA470" s="79"/>
    </row>
    <row r="471" spans="1:27" ht="24.75" hidden="1" outlineLevel="1" x14ac:dyDescent="0.35">
      <c r="A471" s="79"/>
      <c r="B471" s="79"/>
      <c r="C471" s="80" t="s">
        <v>665</v>
      </c>
      <c r="D471" s="80" t="s">
        <v>1422</v>
      </c>
      <c r="E471" s="66">
        <f t="shared" si="134"/>
        <v>40</v>
      </c>
      <c r="F471" s="70">
        <f t="shared" si="132"/>
        <v>312</v>
      </c>
      <c r="G471" s="68">
        <v>8</v>
      </c>
      <c r="H471" s="134">
        <v>1</v>
      </c>
      <c r="I471" s="68">
        <v>0</v>
      </c>
      <c r="J471" s="134">
        <v>0</v>
      </c>
      <c r="K471" s="134">
        <f t="shared" si="133"/>
        <v>255</v>
      </c>
      <c r="L471" s="68">
        <v>0</v>
      </c>
      <c r="M471" s="68" t="s">
        <v>352</v>
      </c>
      <c r="N471" s="68">
        <f t="shared" si="108"/>
        <v>3</v>
      </c>
      <c r="O471" s="80"/>
      <c r="P471" s="68"/>
      <c r="Q471" s="68"/>
      <c r="R471" s="79"/>
      <c r="S471" s="80" t="s">
        <v>665</v>
      </c>
      <c r="T471" s="80" t="s">
        <v>1164</v>
      </c>
      <c r="U471" s="81" t="s">
        <v>352</v>
      </c>
      <c r="V471" s="81" t="s">
        <v>352</v>
      </c>
      <c r="W471" s="79"/>
      <c r="X471" s="79"/>
      <c r="Y471" s="80" t="s">
        <v>1422</v>
      </c>
      <c r="Z471" s="79"/>
      <c r="AA471" s="79"/>
    </row>
    <row r="472" spans="1:27" ht="24.75" hidden="1" outlineLevel="1" x14ac:dyDescent="0.35">
      <c r="A472" s="79"/>
      <c r="B472" s="79"/>
      <c r="C472" s="80" t="s">
        <v>666</v>
      </c>
      <c r="D472" s="80" t="s">
        <v>1423</v>
      </c>
      <c r="E472" s="66">
        <f t="shared" si="134"/>
        <v>41</v>
      </c>
      <c r="F472" s="70">
        <f t="shared" si="132"/>
        <v>320</v>
      </c>
      <c r="G472" s="68">
        <v>8</v>
      </c>
      <c r="H472" s="134">
        <v>1</v>
      </c>
      <c r="I472" s="68">
        <v>0</v>
      </c>
      <c r="J472" s="134">
        <v>0</v>
      </c>
      <c r="K472" s="134">
        <f t="shared" si="133"/>
        <v>255</v>
      </c>
      <c r="L472" s="68">
        <v>0</v>
      </c>
      <c r="M472" s="69" t="s">
        <v>1478</v>
      </c>
      <c r="N472" s="68">
        <f t="shared" ref="N472:N533" si="135">LEN(K472)</f>
        <v>3</v>
      </c>
      <c r="O472" s="80"/>
      <c r="P472" s="68"/>
      <c r="Q472" s="68"/>
      <c r="R472" s="79"/>
      <c r="S472" s="80" t="s">
        <v>666</v>
      </c>
      <c r="T472" s="80" t="s">
        <v>1165</v>
      </c>
      <c r="U472" s="81" t="s">
        <v>352</v>
      </c>
      <c r="V472" s="81" t="s">
        <v>352</v>
      </c>
      <c r="W472" s="79"/>
      <c r="X472" s="79"/>
      <c r="Y472" s="80" t="s">
        <v>1423</v>
      </c>
      <c r="Z472" s="79"/>
      <c r="AA472" s="79"/>
    </row>
    <row r="473" spans="1:27" ht="24.75" hidden="1" outlineLevel="1" x14ac:dyDescent="0.35">
      <c r="A473" s="79"/>
      <c r="B473" s="79"/>
      <c r="C473" s="80" t="s">
        <v>922</v>
      </c>
      <c r="D473" s="80" t="s">
        <v>1427</v>
      </c>
      <c r="E473" s="66" t="str">
        <f t="shared" si="134"/>
        <v>42-45</v>
      </c>
      <c r="F473" s="70">
        <f t="shared" si="132"/>
        <v>328</v>
      </c>
      <c r="G473" s="68">
        <v>32</v>
      </c>
      <c r="H473" s="134">
        <v>1E-3</v>
      </c>
      <c r="I473" s="68">
        <v>0</v>
      </c>
      <c r="J473" s="134">
        <v>0</v>
      </c>
      <c r="K473" s="134">
        <f t="shared" si="133"/>
        <v>4294967.2949999999</v>
      </c>
      <c r="L473" s="68">
        <v>0</v>
      </c>
      <c r="M473" s="68" t="s">
        <v>924</v>
      </c>
      <c r="N473" s="68">
        <f t="shared" si="135"/>
        <v>11</v>
      </c>
      <c r="O473" s="80"/>
      <c r="P473" s="68"/>
      <c r="Q473" s="68"/>
      <c r="R473" s="79"/>
      <c r="S473" s="80" t="s">
        <v>922</v>
      </c>
      <c r="T473" s="80" t="s">
        <v>1152</v>
      </c>
      <c r="U473" s="81" t="s">
        <v>352</v>
      </c>
      <c r="V473" s="81" t="s">
        <v>352</v>
      </c>
      <c r="W473" s="79"/>
      <c r="X473" s="79"/>
      <c r="Y473" s="80" t="s">
        <v>1427</v>
      </c>
      <c r="Z473" s="79"/>
      <c r="AA473" s="79"/>
    </row>
    <row r="474" spans="1:27" ht="24.75" hidden="1" outlineLevel="1" x14ac:dyDescent="0.35">
      <c r="A474" s="79"/>
      <c r="B474" s="79"/>
      <c r="C474" s="80" t="s">
        <v>923</v>
      </c>
      <c r="D474" s="80" t="s">
        <v>1428</v>
      </c>
      <c r="E474" s="66" t="str">
        <f t="shared" si="134"/>
        <v>46-49</v>
      </c>
      <c r="F474" s="70">
        <f t="shared" si="132"/>
        <v>360</v>
      </c>
      <c r="G474" s="68">
        <v>32</v>
      </c>
      <c r="H474" s="134">
        <v>1E-3</v>
      </c>
      <c r="I474" s="68">
        <v>0</v>
      </c>
      <c r="J474" s="134">
        <v>0</v>
      </c>
      <c r="K474" s="134">
        <f t="shared" si="133"/>
        <v>4294967.2949999999</v>
      </c>
      <c r="L474" s="68">
        <v>0</v>
      </c>
      <c r="M474" s="68" t="s">
        <v>924</v>
      </c>
      <c r="N474" s="68">
        <f t="shared" si="135"/>
        <v>11</v>
      </c>
      <c r="O474" s="80"/>
      <c r="P474" s="68"/>
      <c r="Q474" s="68"/>
      <c r="R474" s="79"/>
      <c r="S474" s="80" t="s">
        <v>923</v>
      </c>
      <c r="T474" s="80" t="s">
        <v>1153</v>
      </c>
      <c r="U474" s="81" t="s">
        <v>352</v>
      </c>
      <c r="V474" s="81" t="s">
        <v>352</v>
      </c>
      <c r="W474" s="79"/>
      <c r="X474" s="79"/>
      <c r="Y474" s="80" t="s">
        <v>1428</v>
      </c>
      <c r="Z474" s="79"/>
      <c r="AA474" s="79"/>
    </row>
    <row r="475" spans="1:27" s="231" customFormat="1" ht="24.75" hidden="1" outlineLevel="1" x14ac:dyDescent="0.35">
      <c r="A475" s="219"/>
      <c r="B475" s="219"/>
      <c r="C475" s="222" t="s">
        <v>948</v>
      </c>
      <c r="D475" s="222" t="s">
        <v>1267</v>
      </c>
      <c r="E475" s="221">
        <f t="shared" si="134"/>
        <v>50</v>
      </c>
      <c r="F475" s="223">
        <f t="shared" si="132"/>
        <v>392</v>
      </c>
      <c r="G475" s="224">
        <v>8</v>
      </c>
      <c r="H475" s="225">
        <v>1</v>
      </c>
      <c r="I475" s="224">
        <v>0</v>
      </c>
      <c r="J475" s="225">
        <v>0</v>
      </c>
      <c r="K475" s="225">
        <f>(POWER(2,G475)-1)*H475+I475</f>
        <v>255</v>
      </c>
      <c r="L475" s="224">
        <v>0</v>
      </c>
      <c r="M475" s="224" t="s">
        <v>352</v>
      </c>
      <c r="N475" s="224">
        <v>0</v>
      </c>
      <c r="O475" s="222"/>
      <c r="P475" s="224"/>
      <c r="Q475" s="224"/>
      <c r="R475" s="219"/>
      <c r="S475" s="252" t="s">
        <v>352</v>
      </c>
      <c r="T475" s="252" t="s">
        <v>352</v>
      </c>
      <c r="U475" s="226" t="s">
        <v>352</v>
      </c>
      <c r="V475" s="226" t="s">
        <v>352</v>
      </c>
      <c r="W475" s="219"/>
      <c r="X475" s="219"/>
      <c r="Y475" s="222" t="s">
        <v>1267</v>
      </c>
      <c r="Z475" s="219"/>
      <c r="AA475" s="219"/>
    </row>
    <row r="476" spans="1:27" s="231" customFormat="1" ht="24.75" hidden="1" outlineLevel="1" x14ac:dyDescent="0.35">
      <c r="A476" s="219"/>
      <c r="B476" s="219"/>
      <c r="C476" s="222" t="s">
        <v>1193</v>
      </c>
      <c r="D476" s="222" t="s">
        <v>1425</v>
      </c>
      <c r="E476" s="221" t="str">
        <f t="shared" si="134"/>
        <v>51-52</v>
      </c>
      <c r="F476" s="223">
        <f t="shared" si="132"/>
        <v>400</v>
      </c>
      <c r="G476" s="224">
        <v>16</v>
      </c>
      <c r="H476" s="225">
        <v>1</v>
      </c>
      <c r="I476" s="224">
        <v>0</v>
      </c>
      <c r="J476" s="225">
        <v>0</v>
      </c>
      <c r="K476" s="225">
        <f>(POWER(2,G476)-1)*H476+I476</f>
        <v>65535</v>
      </c>
      <c r="L476" s="224">
        <v>0</v>
      </c>
      <c r="M476" s="224" t="s">
        <v>352</v>
      </c>
      <c r="N476" s="224">
        <v>0</v>
      </c>
      <c r="O476" s="222"/>
      <c r="P476" s="224"/>
      <c r="Q476" s="224"/>
      <c r="R476" s="219"/>
      <c r="S476" s="252" t="s">
        <v>352</v>
      </c>
      <c r="T476" s="252" t="s">
        <v>352</v>
      </c>
      <c r="U476" s="226" t="s">
        <v>352</v>
      </c>
      <c r="V476" s="226" t="s">
        <v>352</v>
      </c>
      <c r="W476" s="219"/>
      <c r="X476" s="219"/>
      <c r="Y476" s="222" t="s">
        <v>1425</v>
      </c>
      <c r="Z476" s="219"/>
      <c r="AA476" s="219"/>
    </row>
    <row r="477" spans="1:27" ht="99" hidden="1" outlineLevel="1" x14ac:dyDescent="0.35">
      <c r="A477" s="79"/>
      <c r="B477" s="79"/>
      <c r="C477" s="80" t="s">
        <v>1259</v>
      </c>
      <c r="D477" s="80" t="s">
        <v>1429</v>
      </c>
      <c r="E477" s="66">
        <f t="shared" si="134"/>
        <v>53</v>
      </c>
      <c r="F477" s="70">
        <f t="shared" si="132"/>
        <v>416</v>
      </c>
      <c r="G477" s="68">
        <v>8</v>
      </c>
      <c r="H477" s="134">
        <v>1</v>
      </c>
      <c r="I477" s="68">
        <v>0</v>
      </c>
      <c r="J477" s="134">
        <v>0</v>
      </c>
      <c r="K477" s="134">
        <f t="shared" si="133"/>
        <v>255</v>
      </c>
      <c r="L477" s="68"/>
      <c r="M477" s="68"/>
      <c r="N477" s="68">
        <f t="shared" si="135"/>
        <v>3</v>
      </c>
      <c r="O477" s="80" t="s">
        <v>1430</v>
      </c>
      <c r="P477" s="68"/>
      <c r="Q477" s="68"/>
      <c r="R477" s="79"/>
      <c r="S477" s="80" t="s">
        <v>1259</v>
      </c>
      <c r="T477" s="80"/>
      <c r="U477" s="81"/>
      <c r="V477" s="81"/>
      <c r="W477" s="79"/>
      <c r="X477" s="79"/>
      <c r="Y477" s="80" t="s">
        <v>1429</v>
      </c>
      <c r="Z477" s="79"/>
      <c r="AA477" s="79"/>
    </row>
    <row r="478" spans="1:27" ht="24.75" hidden="1" outlineLevel="1" x14ac:dyDescent="0.35">
      <c r="A478" s="79"/>
      <c r="B478" s="79"/>
      <c r="C478" s="80" t="s">
        <v>663</v>
      </c>
      <c r="D478" s="80" t="s">
        <v>1424</v>
      </c>
      <c r="E478" s="66">
        <f t="shared" si="134"/>
        <v>54</v>
      </c>
      <c r="F478" s="70">
        <f>F477+G477</f>
        <v>424</v>
      </c>
      <c r="G478" s="68">
        <v>8</v>
      </c>
      <c r="H478" s="134">
        <v>1</v>
      </c>
      <c r="I478" s="68">
        <v>0</v>
      </c>
      <c r="J478" s="134">
        <v>0</v>
      </c>
      <c r="K478" s="134">
        <f t="shared" si="133"/>
        <v>255</v>
      </c>
      <c r="L478" s="68">
        <v>0</v>
      </c>
      <c r="M478" s="68" t="s">
        <v>352</v>
      </c>
      <c r="N478" s="68">
        <f t="shared" si="135"/>
        <v>3</v>
      </c>
      <c r="O478" s="80"/>
      <c r="P478" s="68"/>
      <c r="Q478" s="68"/>
      <c r="R478" s="79"/>
      <c r="S478" s="80" t="s">
        <v>663</v>
      </c>
      <c r="T478" s="80" t="s">
        <v>1154</v>
      </c>
      <c r="U478" s="81" t="s">
        <v>352</v>
      </c>
      <c r="V478" s="81" t="s">
        <v>352</v>
      </c>
      <c r="W478" s="79"/>
      <c r="X478" s="79"/>
      <c r="Y478" s="80" t="s">
        <v>1424</v>
      </c>
      <c r="Z478" s="79"/>
      <c r="AA478" s="79"/>
    </row>
    <row r="479" spans="1:27" ht="24.75" hidden="1" outlineLevel="1" x14ac:dyDescent="0.35">
      <c r="A479" s="79"/>
      <c r="B479" s="79"/>
      <c r="C479" s="80" t="s">
        <v>664</v>
      </c>
      <c r="D479" s="80" t="s">
        <v>1431</v>
      </c>
      <c r="E479" s="66">
        <f t="shared" si="134"/>
        <v>55</v>
      </c>
      <c r="F479" s="70">
        <f t="shared" si="132"/>
        <v>432</v>
      </c>
      <c r="G479" s="68">
        <v>8</v>
      </c>
      <c r="H479" s="134">
        <v>1</v>
      </c>
      <c r="I479" s="68">
        <v>0</v>
      </c>
      <c r="J479" s="134">
        <v>0</v>
      </c>
      <c r="K479" s="134">
        <f t="shared" si="133"/>
        <v>255</v>
      </c>
      <c r="L479" s="68">
        <v>0</v>
      </c>
      <c r="M479" s="69" t="s">
        <v>1478</v>
      </c>
      <c r="N479" s="68">
        <f t="shared" si="135"/>
        <v>3</v>
      </c>
      <c r="O479" s="80"/>
      <c r="P479" s="68"/>
      <c r="Q479" s="68"/>
      <c r="R479" s="79"/>
      <c r="S479" s="80" t="s">
        <v>664</v>
      </c>
      <c r="T479" s="80" t="s">
        <v>1155</v>
      </c>
      <c r="U479" s="81" t="s">
        <v>352</v>
      </c>
      <c r="V479" s="81" t="s">
        <v>352</v>
      </c>
      <c r="W479" s="79"/>
      <c r="X479" s="79"/>
      <c r="Y479" s="80" t="s">
        <v>1431</v>
      </c>
      <c r="Z479" s="79"/>
      <c r="AA479" s="79"/>
    </row>
    <row r="480" spans="1:27" ht="24.75" hidden="1" outlineLevel="1" x14ac:dyDescent="0.35">
      <c r="A480" s="79"/>
      <c r="B480" s="79"/>
      <c r="C480" s="80" t="s">
        <v>1255</v>
      </c>
      <c r="D480" s="80" t="s">
        <v>1432</v>
      </c>
      <c r="E480" s="66">
        <f t="shared" si="134"/>
        <v>56</v>
      </c>
      <c r="F480" s="70">
        <f t="shared" si="132"/>
        <v>440</v>
      </c>
      <c r="G480" s="68">
        <v>1</v>
      </c>
      <c r="H480" s="134">
        <v>1</v>
      </c>
      <c r="I480" s="68">
        <v>0</v>
      </c>
      <c r="J480" s="134">
        <v>0</v>
      </c>
      <c r="K480" s="134">
        <f t="shared" si="133"/>
        <v>1</v>
      </c>
      <c r="L480" s="68">
        <v>0</v>
      </c>
      <c r="M480" s="68" t="s">
        <v>194</v>
      </c>
      <c r="N480" s="68">
        <f t="shared" si="135"/>
        <v>1</v>
      </c>
      <c r="O480" s="80" t="s">
        <v>872</v>
      </c>
      <c r="P480" s="68"/>
      <c r="Q480" s="68"/>
      <c r="R480" s="79"/>
      <c r="S480" s="80" t="s">
        <v>1255</v>
      </c>
      <c r="T480" s="80" t="s">
        <v>1157</v>
      </c>
      <c r="U480" s="81" t="s">
        <v>352</v>
      </c>
      <c r="V480" s="81" t="s">
        <v>352</v>
      </c>
      <c r="W480" s="79"/>
      <c r="X480" s="79"/>
      <c r="Y480" s="80" t="s">
        <v>1432</v>
      </c>
      <c r="Z480" s="79"/>
      <c r="AA480" s="79"/>
    </row>
    <row r="481" spans="1:27" ht="24.75" hidden="1" outlineLevel="1" x14ac:dyDescent="0.35">
      <c r="A481" s="79"/>
      <c r="B481" s="79"/>
      <c r="C481" s="80" t="s">
        <v>848</v>
      </c>
      <c r="D481" s="80" t="s">
        <v>1433</v>
      </c>
      <c r="E481" s="66">
        <f t="shared" si="134"/>
        <v>56</v>
      </c>
      <c r="F481" s="70">
        <f t="shared" si="132"/>
        <v>441</v>
      </c>
      <c r="G481" s="68">
        <v>1</v>
      </c>
      <c r="H481" s="134">
        <v>1</v>
      </c>
      <c r="I481" s="68">
        <v>0</v>
      </c>
      <c r="J481" s="134">
        <v>0</v>
      </c>
      <c r="K481" s="134">
        <f>(POWER(2,G481)-1)*H481+I481</f>
        <v>1</v>
      </c>
      <c r="L481" s="68">
        <v>0</v>
      </c>
      <c r="M481" s="68" t="s">
        <v>194</v>
      </c>
      <c r="N481" s="68">
        <f t="shared" si="135"/>
        <v>1</v>
      </c>
      <c r="O481" s="80" t="s">
        <v>872</v>
      </c>
      <c r="P481" s="68"/>
      <c r="Q481" s="68"/>
      <c r="R481" s="79"/>
      <c r="S481" s="80" t="s">
        <v>848</v>
      </c>
      <c r="T481" s="81" t="s">
        <v>352</v>
      </c>
      <c r="U481" s="81" t="s">
        <v>352</v>
      </c>
      <c r="V481" s="81" t="s">
        <v>352</v>
      </c>
      <c r="W481" s="79"/>
      <c r="X481" s="79"/>
      <c r="Y481" s="80" t="s">
        <v>1433</v>
      </c>
      <c r="Z481" s="79"/>
      <c r="AA481" s="79"/>
    </row>
    <row r="482" spans="1:27" ht="24.75" hidden="1" outlineLevel="1" x14ac:dyDescent="0.35">
      <c r="A482" s="79"/>
      <c r="B482" s="79"/>
      <c r="C482" s="80" t="s">
        <v>1256</v>
      </c>
      <c r="D482" s="80" t="s">
        <v>1434</v>
      </c>
      <c r="E482" s="66">
        <f t="shared" si="134"/>
        <v>56</v>
      </c>
      <c r="F482" s="70">
        <f t="shared" si="132"/>
        <v>442</v>
      </c>
      <c r="G482" s="68">
        <v>1</v>
      </c>
      <c r="H482" s="134">
        <v>1</v>
      </c>
      <c r="I482" s="68">
        <v>0</v>
      </c>
      <c r="J482" s="134">
        <v>0</v>
      </c>
      <c r="K482" s="134">
        <f t="shared" si="133"/>
        <v>1</v>
      </c>
      <c r="L482" s="68">
        <v>0</v>
      </c>
      <c r="M482" s="68" t="s">
        <v>194</v>
      </c>
      <c r="N482" s="68">
        <f t="shared" si="135"/>
        <v>1</v>
      </c>
      <c r="O482" s="80" t="s">
        <v>872</v>
      </c>
      <c r="P482" s="68"/>
      <c r="Q482" s="68"/>
      <c r="R482" s="79"/>
      <c r="S482" s="80" t="s">
        <v>1256</v>
      </c>
      <c r="T482" s="81" t="s">
        <v>352</v>
      </c>
      <c r="U482" s="81" t="s">
        <v>352</v>
      </c>
      <c r="V482" s="81" t="s">
        <v>352</v>
      </c>
      <c r="W482" s="79"/>
      <c r="X482" s="79"/>
      <c r="Y482" s="80" t="s">
        <v>1434</v>
      </c>
      <c r="Z482" s="79"/>
      <c r="AA482" s="79"/>
    </row>
    <row r="483" spans="1:27" ht="24.75" hidden="1" outlineLevel="1" x14ac:dyDescent="0.35">
      <c r="A483" s="79"/>
      <c r="B483" s="79"/>
      <c r="C483" s="80" t="s">
        <v>1257</v>
      </c>
      <c r="D483" s="80" t="s">
        <v>1435</v>
      </c>
      <c r="E483" s="66">
        <f t="shared" si="134"/>
        <v>56</v>
      </c>
      <c r="F483" s="70">
        <f t="shared" si="132"/>
        <v>443</v>
      </c>
      <c r="G483" s="68">
        <v>1</v>
      </c>
      <c r="H483" s="134">
        <v>1</v>
      </c>
      <c r="I483" s="68">
        <v>0</v>
      </c>
      <c r="J483" s="134">
        <v>0</v>
      </c>
      <c r="K483" s="134">
        <f t="shared" si="133"/>
        <v>1</v>
      </c>
      <c r="L483" s="68">
        <v>0</v>
      </c>
      <c r="M483" s="68" t="s">
        <v>194</v>
      </c>
      <c r="N483" s="68">
        <f t="shared" si="135"/>
        <v>1</v>
      </c>
      <c r="O483" s="80" t="s">
        <v>872</v>
      </c>
      <c r="P483" s="68"/>
      <c r="Q483" s="68"/>
      <c r="R483" s="79"/>
      <c r="S483" s="80" t="s">
        <v>1257</v>
      </c>
      <c r="T483" s="81" t="s">
        <v>352</v>
      </c>
      <c r="U483" s="81" t="s">
        <v>352</v>
      </c>
      <c r="V483" s="81" t="s">
        <v>352</v>
      </c>
      <c r="W483" s="79"/>
      <c r="X483" s="79"/>
      <c r="Y483" s="80" t="s">
        <v>1435</v>
      </c>
      <c r="Z483" s="79"/>
      <c r="AA483" s="79"/>
    </row>
    <row r="484" spans="1:27" ht="24.75" hidden="1" outlineLevel="1" x14ac:dyDescent="0.35">
      <c r="A484" s="79"/>
      <c r="B484" s="79"/>
      <c r="C484" s="80" t="s">
        <v>1258</v>
      </c>
      <c r="D484" s="80" t="s">
        <v>1436</v>
      </c>
      <c r="E484" s="66">
        <f t="shared" si="134"/>
        <v>56</v>
      </c>
      <c r="F484" s="70">
        <f t="shared" si="132"/>
        <v>444</v>
      </c>
      <c r="G484" s="68">
        <v>1</v>
      </c>
      <c r="H484" s="134">
        <v>1</v>
      </c>
      <c r="I484" s="68">
        <v>0</v>
      </c>
      <c r="J484" s="134">
        <v>0</v>
      </c>
      <c r="K484" s="134">
        <f t="shared" si="133"/>
        <v>1</v>
      </c>
      <c r="L484" s="68">
        <v>0</v>
      </c>
      <c r="M484" s="68" t="s">
        <v>194</v>
      </c>
      <c r="N484" s="68">
        <f t="shared" si="135"/>
        <v>1</v>
      </c>
      <c r="O484" s="80" t="s">
        <v>872</v>
      </c>
      <c r="P484" s="68"/>
      <c r="Q484" s="68"/>
      <c r="R484" s="79"/>
      <c r="S484" s="80" t="s">
        <v>1258</v>
      </c>
      <c r="T484" s="81" t="s">
        <v>352</v>
      </c>
      <c r="U484" s="81" t="s">
        <v>352</v>
      </c>
      <c r="V484" s="81" t="s">
        <v>352</v>
      </c>
      <c r="W484" s="79"/>
      <c r="X484" s="79"/>
      <c r="Y484" s="80" t="s">
        <v>1436</v>
      </c>
      <c r="Z484" s="79"/>
      <c r="AA484" s="79"/>
    </row>
    <row r="485" spans="1:27" s="231" customFormat="1" ht="24.75" hidden="1" outlineLevel="1" x14ac:dyDescent="0.35">
      <c r="A485" s="219"/>
      <c r="B485" s="219"/>
      <c r="C485" s="222" t="s">
        <v>1262</v>
      </c>
      <c r="D485" s="222" t="s">
        <v>1426</v>
      </c>
      <c r="E485" s="221">
        <f t="shared" si="134"/>
        <v>56</v>
      </c>
      <c r="F485" s="223">
        <f t="shared" si="132"/>
        <v>445</v>
      </c>
      <c r="G485" s="224">
        <v>3</v>
      </c>
      <c r="H485" s="225">
        <v>1</v>
      </c>
      <c r="I485" s="224">
        <v>0</v>
      </c>
      <c r="J485" s="225">
        <v>0</v>
      </c>
      <c r="K485" s="225">
        <f>(POWER(2,G485)-1)*H485+I485</f>
        <v>7</v>
      </c>
      <c r="L485" s="224">
        <v>0</v>
      </c>
      <c r="M485" s="224" t="s">
        <v>352</v>
      </c>
      <c r="N485" s="224">
        <v>0</v>
      </c>
      <c r="O485" s="222"/>
      <c r="P485" s="224"/>
      <c r="Q485" s="224"/>
      <c r="R485" s="219"/>
      <c r="S485" s="252" t="s">
        <v>352</v>
      </c>
      <c r="T485" s="252" t="s">
        <v>352</v>
      </c>
      <c r="U485" s="226" t="s">
        <v>352</v>
      </c>
      <c r="V485" s="226" t="s">
        <v>352</v>
      </c>
      <c r="W485" s="219"/>
      <c r="X485" s="219"/>
      <c r="Y485" s="222" t="s">
        <v>1426</v>
      </c>
      <c r="Z485" s="219"/>
      <c r="AA485" s="219"/>
    </row>
    <row r="486" spans="1:27" ht="24.75" hidden="1" outlineLevel="1" x14ac:dyDescent="0.35">
      <c r="A486" s="79"/>
      <c r="B486" s="79"/>
      <c r="C486" s="80" t="s">
        <v>1260</v>
      </c>
      <c r="D486" s="80" t="s">
        <v>1437</v>
      </c>
      <c r="E486" s="66" t="str">
        <f t="shared" si="134"/>
        <v>57-58</v>
      </c>
      <c r="F486" s="70">
        <f t="shared" si="132"/>
        <v>448</v>
      </c>
      <c r="G486" s="68">
        <v>16</v>
      </c>
      <c r="H486" s="134">
        <v>0.1</v>
      </c>
      <c r="I486" s="68">
        <v>-40</v>
      </c>
      <c r="J486" s="68">
        <v>-40</v>
      </c>
      <c r="K486" s="224">
        <v>125.1</v>
      </c>
      <c r="L486" s="68">
        <v>0</v>
      </c>
      <c r="M486" s="68" t="s">
        <v>742</v>
      </c>
      <c r="N486" s="68">
        <f t="shared" si="135"/>
        <v>5</v>
      </c>
      <c r="O486" s="80"/>
      <c r="P486" s="68"/>
      <c r="Q486" s="68"/>
      <c r="R486" s="79"/>
      <c r="S486" s="80" t="s">
        <v>1260</v>
      </c>
      <c r="T486" s="81" t="s">
        <v>352</v>
      </c>
      <c r="U486" s="81" t="s">
        <v>352</v>
      </c>
      <c r="V486" s="81" t="s">
        <v>352</v>
      </c>
      <c r="W486" s="79"/>
      <c r="X486" s="79"/>
      <c r="Y486" s="80" t="s">
        <v>1437</v>
      </c>
      <c r="Z486" s="79"/>
      <c r="AA486" s="79"/>
    </row>
    <row r="487" spans="1:27" ht="24.75" hidden="1" outlineLevel="1" x14ac:dyDescent="0.35">
      <c r="A487" s="79"/>
      <c r="B487" s="79"/>
      <c r="C487" s="80" t="s">
        <v>1261</v>
      </c>
      <c r="D487" s="80" t="s">
        <v>1438</v>
      </c>
      <c r="E487" s="66" t="str">
        <f t="shared" si="134"/>
        <v>59-60</v>
      </c>
      <c r="F487" s="70">
        <f t="shared" si="132"/>
        <v>464</v>
      </c>
      <c r="G487" s="68">
        <v>16</v>
      </c>
      <c r="H487" s="134">
        <v>0.1</v>
      </c>
      <c r="I487" s="68">
        <v>-40</v>
      </c>
      <c r="J487" s="68">
        <v>-40</v>
      </c>
      <c r="K487" s="224">
        <v>125.1</v>
      </c>
      <c r="L487" s="68">
        <v>0</v>
      </c>
      <c r="M487" s="68" t="s">
        <v>742</v>
      </c>
      <c r="N487" s="68">
        <f t="shared" si="135"/>
        <v>5</v>
      </c>
      <c r="O487" s="80"/>
      <c r="P487" s="68"/>
      <c r="Q487" s="68"/>
      <c r="R487" s="79"/>
      <c r="S487" s="80" t="s">
        <v>1261</v>
      </c>
      <c r="T487" s="81" t="s">
        <v>352</v>
      </c>
      <c r="U487" s="81" t="s">
        <v>352</v>
      </c>
      <c r="V487" s="81" t="s">
        <v>352</v>
      </c>
      <c r="W487" s="79"/>
      <c r="X487" s="79"/>
      <c r="Y487" s="80" t="s">
        <v>1438</v>
      </c>
      <c r="Z487" s="79"/>
      <c r="AA487" s="79"/>
    </row>
    <row r="488" spans="1:27" s="352" customFormat="1" ht="25.5" collapsed="1" x14ac:dyDescent="0.35">
      <c r="A488" s="144" t="s">
        <v>836</v>
      </c>
      <c r="B488" s="144" t="str">
        <f>VLOOKUP(A488,'Message ID'!A:O,2,FALSE)</f>
        <v>SOX算法调试的输出数据，包含SOC、SOHC、容量等</v>
      </c>
      <c r="C488" s="91"/>
      <c r="D488" s="94"/>
      <c r="E488" s="344">
        <v>63</v>
      </c>
      <c r="F488" s="61"/>
      <c r="G488" s="61"/>
      <c r="H488" s="61"/>
      <c r="I488" s="61"/>
      <c r="J488" s="61"/>
      <c r="K488" s="61"/>
      <c r="L488" s="61"/>
      <c r="M488" s="61"/>
      <c r="N488" s="93">
        <f>SUM(N489:N519)</f>
        <v>125</v>
      </c>
      <c r="O488" s="93"/>
      <c r="P488" s="93"/>
      <c r="Q488" s="93"/>
      <c r="R488" s="91"/>
      <c r="S488" s="95"/>
      <c r="T488" s="95"/>
      <c r="U488" s="95"/>
      <c r="V488" s="95"/>
      <c r="W488" s="91"/>
      <c r="X488" s="91"/>
      <c r="Y488" s="94"/>
      <c r="Z488" s="91"/>
      <c r="AA488" s="91"/>
    </row>
    <row r="489" spans="1:27" ht="54.5" hidden="1" customHeight="1" outlineLevel="1" x14ac:dyDescent="0.35">
      <c r="A489" s="79"/>
      <c r="B489" s="79"/>
      <c r="C489" s="80" t="s">
        <v>1218</v>
      </c>
      <c r="D489" s="71" t="s">
        <v>1391</v>
      </c>
      <c r="E489" s="234" t="s">
        <v>1223</v>
      </c>
      <c r="F489" s="66">
        <v>0</v>
      </c>
      <c r="G489" s="68">
        <v>16</v>
      </c>
      <c r="H489" s="68">
        <v>1</v>
      </c>
      <c r="I489" s="68">
        <v>0</v>
      </c>
      <c r="J489" s="68">
        <v>0</v>
      </c>
      <c r="K489" s="197">
        <v>5000</v>
      </c>
      <c r="L489" s="68">
        <v>0</v>
      </c>
      <c r="M489" s="68" t="s">
        <v>115</v>
      </c>
      <c r="N489" s="224">
        <f>LEN(K489)*10</f>
        <v>40</v>
      </c>
      <c r="O489" s="80"/>
      <c r="P489" s="68"/>
      <c r="Q489" s="68"/>
      <c r="R489" s="363" t="s">
        <v>1392</v>
      </c>
      <c r="S489" s="80" t="s">
        <v>2221</v>
      </c>
      <c r="T489" s="81" t="s">
        <v>352</v>
      </c>
      <c r="U489" s="81" t="s">
        <v>352</v>
      </c>
      <c r="V489" s="81" t="s">
        <v>352</v>
      </c>
      <c r="W489" s="328" t="s">
        <v>2198</v>
      </c>
      <c r="X489" s="79"/>
      <c r="Y489" s="71" t="s">
        <v>1391</v>
      </c>
      <c r="Z489" s="79"/>
      <c r="AA489" s="79"/>
    </row>
    <row r="490" spans="1:27" ht="24.75" hidden="1" outlineLevel="1" x14ac:dyDescent="0.35">
      <c r="A490" s="79"/>
      <c r="B490" s="79"/>
      <c r="C490" s="80" t="s">
        <v>572</v>
      </c>
      <c r="D490" s="80" t="s">
        <v>1282</v>
      </c>
      <c r="E490" s="66" t="str">
        <f t="shared" ref="E490:E509" si="136">IF(INT((F490 + G490-1) / 8) + 1 = INT(F490 / 8) + 1, INT(F490 / 8) + 1, INT(F490 / 8) + 1 &amp; "-" &amp; INT((F490 + G490 - 1) / 8) + 1)</f>
        <v>21-22</v>
      </c>
      <c r="F490" s="223">
        <v>160</v>
      </c>
      <c r="G490" s="68">
        <v>16</v>
      </c>
      <c r="H490" s="68">
        <v>0.01</v>
      </c>
      <c r="I490" s="68">
        <v>0</v>
      </c>
      <c r="J490" s="68">
        <v>0</v>
      </c>
      <c r="K490" s="197">
        <v>100</v>
      </c>
      <c r="L490" s="68">
        <v>100</v>
      </c>
      <c r="M490" s="69" t="s">
        <v>1478</v>
      </c>
      <c r="N490" s="68">
        <f t="shared" si="135"/>
        <v>3</v>
      </c>
      <c r="O490" s="80"/>
      <c r="P490" s="68"/>
      <c r="Q490" s="68"/>
      <c r="R490" s="79"/>
      <c r="S490" s="80" t="s">
        <v>572</v>
      </c>
      <c r="T490" s="81" t="s">
        <v>352</v>
      </c>
      <c r="U490" s="81" t="s">
        <v>352</v>
      </c>
      <c r="V490" s="81" t="s">
        <v>352</v>
      </c>
      <c r="W490" s="79"/>
      <c r="X490" s="79"/>
      <c r="Y490" s="80" t="s">
        <v>1282</v>
      </c>
      <c r="Z490" s="79"/>
      <c r="AA490" s="79"/>
    </row>
    <row r="491" spans="1:27" ht="24.75" hidden="1" outlineLevel="1" x14ac:dyDescent="0.35">
      <c r="A491" s="79"/>
      <c r="B491" s="79"/>
      <c r="C491" s="80" t="s">
        <v>850</v>
      </c>
      <c r="D491" s="80" t="s">
        <v>1393</v>
      </c>
      <c r="E491" s="66" t="str">
        <f t="shared" si="136"/>
        <v>23-24</v>
      </c>
      <c r="F491" s="70">
        <f t="shared" ref="F491:F516" si="137">F490+G490</f>
        <v>176</v>
      </c>
      <c r="G491" s="68">
        <v>16</v>
      </c>
      <c r="H491" s="68">
        <v>0.01</v>
      </c>
      <c r="I491" s="68">
        <v>0</v>
      </c>
      <c r="J491" s="68">
        <v>0</v>
      </c>
      <c r="K491" s="197">
        <v>100</v>
      </c>
      <c r="L491" s="68">
        <v>100</v>
      </c>
      <c r="M491" s="69" t="s">
        <v>1478</v>
      </c>
      <c r="N491" s="68">
        <f t="shared" si="135"/>
        <v>3</v>
      </c>
      <c r="O491" s="80"/>
      <c r="P491" s="68"/>
      <c r="Q491" s="68"/>
      <c r="R491" s="79"/>
      <c r="S491" s="80" t="s">
        <v>850</v>
      </c>
      <c r="T491" s="81" t="s">
        <v>352</v>
      </c>
      <c r="U491" s="81" t="s">
        <v>352</v>
      </c>
      <c r="V491" s="81" t="s">
        <v>352</v>
      </c>
      <c r="W491" s="79"/>
      <c r="X491" s="79"/>
      <c r="Y491" s="80" t="s">
        <v>1393</v>
      </c>
      <c r="Z491" s="79"/>
      <c r="AA491" s="79"/>
    </row>
    <row r="492" spans="1:27" ht="24.75" hidden="1" outlineLevel="1" x14ac:dyDescent="0.35">
      <c r="A492" s="79"/>
      <c r="B492" s="79"/>
      <c r="C492" s="80" t="s">
        <v>587</v>
      </c>
      <c r="D492" s="80" t="s">
        <v>1397</v>
      </c>
      <c r="E492" s="66" t="str">
        <f t="shared" si="136"/>
        <v>25-26</v>
      </c>
      <c r="F492" s="70">
        <f t="shared" si="137"/>
        <v>192</v>
      </c>
      <c r="G492" s="68">
        <v>16</v>
      </c>
      <c r="H492" s="68">
        <v>0.1</v>
      </c>
      <c r="I492" s="68">
        <v>0</v>
      </c>
      <c r="J492" s="68">
        <v>0</v>
      </c>
      <c r="K492" s="197">
        <v>1500</v>
      </c>
      <c r="L492" s="68">
        <v>314</v>
      </c>
      <c r="M492" s="68" t="s">
        <v>164</v>
      </c>
      <c r="N492" s="68">
        <f t="shared" si="135"/>
        <v>4</v>
      </c>
      <c r="O492" s="80"/>
      <c r="P492" s="68"/>
      <c r="Q492" s="68"/>
      <c r="R492" s="79"/>
      <c r="S492" s="80" t="s">
        <v>587</v>
      </c>
      <c r="T492" s="81" t="s">
        <v>352</v>
      </c>
      <c r="U492" s="81" t="s">
        <v>352</v>
      </c>
      <c r="V492" s="81" t="s">
        <v>352</v>
      </c>
      <c r="W492" s="79"/>
      <c r="X492" s="79"/>
      <c r="Y492" s="80" t="s">
        <v>1397</v>
      </c>
      <c r="Z492" s="79"/>
      <c r="AA492" s="79"/>
    </row>
    <row r="493" spans="1:27" ht="24.75" hidden="1" outlineLevel="1" x14ac:dyDescent="0.35">
      <c r="A493" s="79"/>
      <c r="B493" s="79"/>
      <c r="C493" s="80" t="s">
        <v>588</v>
      </c>
      <c r="D493" s="80" t="s">
        <v>1396</v>
      </c>
      <c r="E493" s="66" t="str">
        <f t="shared" si="136"/>
        <v>27-28</v>
      </c>
      <c r="F493" s="70">
        <f t="shared" si="137"/>
        <v>208</v>
      </c>
      <c r="G493" s="68">
        <v>16</v>
      </c>
      <c r="H493" s="68">
        <v>0.01</v>
      </c>
      <c r="I493" s="68">
        <v>0</v>
      </c>
      <c r="J493" s="68">
        <v>0</v>
      </c>
      <c r="K493" s="197">
        <v>100</v>
      </c>
      <c r="L493" s="68">
        <v>0</v>
      </c>
      <c r="M493" s="69" t="s">
        <v>1478</v>
      </c>
      <c r="N493" s="68">
        <f t="shared" si="135"/>
        <v>3</v>
      </c>
      <c r="O493" s="80"/>
      <c r="P493" s="68"/>
      <c r="Q493" s="68"/>
      <c r="R493" s="79"/>
      <c r="S493" s="80" t="s">
        <v>588</v>
      </c>
      <c r="T493" s="81" t="s">
        <v>352</v>
      </c>
      <c r="U493" s="81" t="s">
        <v>352</v>
      </c>
      <c r="V493" s="81" t="s">
        <v>352</v>
      </c>
      <c r="W493" s="79"/>
      <c r="X493" s="79"/>
      <c r="Y493" s="80" t="s">
        <v>1396</v>
      </c>
      <c r="Z493" s="79"/>
      <c r="AA493" s="79"/>
    </row>
    <row r="494" spans="1:27" ht="24.75" hidden="1" outlineLevel="1" x14ac:dyDescent="0.35">
      <c r="A494" s="79"/>
      <c r="B494" s="79"/>
      <c r="C494" s="80" t="s">
        <v>589</v>
      </c>
      <c r="D494" s="80" t="s">
        <v>1394</v>
      </c>
      <c r="E494" s="66">
        <f t="shared" si="136"/>
        <v>29</v>
      </c>
      <c r="F494" s="70">
        <f t="shared" si="137"/>
        <v>224</v>
      </c>
      <c r="G494" s="68">
        <v>8</v>
      </c>
      <c r="H494" s="68">
        <v>1</v>
      </c>
      <c r="I494" s="68">
        <v>0</v>
      </c>
      <c r="J494" s="68">
        <v>0</v>
      </c>
      <c r="K494" s="197">
        <v>2</v>
      </c>
      <c r="L494" s="68">
        <v>0</v>
      </c>
      <c r="M494" s="68" t="s">
        <v>352</v>
      </c>
      <c r="N494" s="68">
        <f t="shared" si="135"/>
        <v>1</v>
      </c>
      <c r="O494" s="80"/>
      <c r="P494" s="68"/>
      <c r="Q494" s="68"/>
      <c r="R494" s="79"/>
      <c r="S494" s="80" t="s">
        <v>589</v>
      </c>
      <c r="T494" s="81" t="s">
        <v>352</v>
      </c>
      <c r="U494" s="81" t="s">
        <v>352</v>
      </c>
      <c r="V494" s="81" t="s">
        <v>352</v>
      </c>
      <c r="W494" s="79"/>
      <c r="X494" s="79"/>
      <c r="Y494" s="80" t="s">
        <v>1394</v>
      </c>
      <c r="Z494" s="79"/>
      <c r="AA494" s="79"/>
    </row>
    <row r="495" spans="1:27" ht="24.75" hidden="1" outlineLevel="1" x14ac:dyDescent="0.35">
      <c r="A495" s="79"/>
      <c r="B495" s="79"/>
      <c r="C495" s="80" t="s">
        <v>590</v>
      </c>
      <c r="D495" s="80" t="s">
        <v>1395</v>
      </c>
      <c r="E495" s="66" t="str">
        <f t="shared" si="136"/>
        <v>30-31</v>
      </c>
      <c r="F495" s="70">
        <f t="shared" si="137"/>
        <v>232</v>
      </c>
      <c r="G495" s="68">
        <v>16</v>
      </c>
      <c r="H495" s="68">
        <v>0.1</v>
      </c>
      <c r="I495" s="68">
        <v>-1500</v>
      </c>
      <c r="J495" s="68">
        <v>-1500</v>
      </c>
      <c r="K495" s="197">
        <v>1500</v>
      </c>
      <c r="L495" s="68">
        <v>0</v>
      </c>
      <c r="M495" s="68" t="s">
        <v>164</v>
      </c>
      <c r="N495" s="68">
        <f t="shared" si="135"/>
        <v>4</v>
      </c>
      <c r="O495" s="80"/>
      <c r="P495" s="68"/>
      <c r="Q495" s="68"/>
      <c r="R495" s="79"/>
      <c r="S495" s="80" t="s">
        <v>590</v>
      </c>
      <c r="T495" s="81" t="s">
        <v>352</v>
      </c>
      <c r="U495" s="81" t="s">
        <v>352</v>
      </c>
      <c r="V495" s="81" t="s">
        <v>352</v>
      </c>
      <c r="W495" s="79"/>
      <c r="X495" s="79"/>
      <c r="Y495" s="80" t="s">
        <v>1395</v>
      </c>
      <c r="Z495" s="79"/>
      <c r="AA495" s="79"/>
    </row>
    <row r="496" spans="1:27" ht="24.75" hidden="1" outlineLevel="1" x14ac:dyDescent="0.35">
      <c r="A496" s="79"/>
      <c r="B496" s="79"/>
      <c r="C496" s="80" t="s">
        <v>591</v>
      </c>
      <c r="D496" s="80" t="s">
        <v>1398</v>
      </c>
      <c r="E496" s="66" t="str">
        <f t="shared" si="136"/>
        <v>32-33</v>
      </c>
      <c r="F496" s="70">
        <f t="shared" si="137"/>
        <v>248</v>
      </c>
      <c r="G496" s="68">
        <v>16</v>
      </c>
      <c r="H496" s="68">
        <v>1</v>
      </c>
      <c r="I496" s="68">
        <v>0</v>
      </c>
      <c r="J496" s="68">
        <v>0</v>
      </c>
      <c r="K496" s="68">
        <f t="shared" ref="K496:K520" si="138">(POWER(2,G496)-1)*H496+I496</f>
        <v>65535</v>
      </c>
      <c r="L496" s="68">
        <v>0</v>
      </c>
      <c r="M496" s="68" t="s">
        <v>196</v>
      </c>
      <c r="N496" s="68">
        <f t="shared" si="135"/>
        <v>5</v>
      </c>
      <c r="O496" s="80"/>
      <c r="P496" s="68"/>
      <c r="Q496" s="68"/>
      <c r="R496" s="79"/>
      <c r="S496" s="80" t="s">
        <v>591</v>
      </c>
      <c r="T496" s="81" t="s">
        <v>352</v>
      </c>
      <c r="U496" s="81" t="s">
        <v>352</v>
      </c>
      <c r="V496" s="81" t="s">
        <v>352</v>
      </c>
      <c r="W496" s="79"/>
      <c r="X496" s="79"/>
      <c r="Y496" s="80" t="s">
        <v>1398</v>
      </c>
      <c r="Z496" s="79"/>
      <c r="AA496" s="79"/>
    </row>
    <row r="497" spans="1:27" ht="24.75" hidden="1" outlineLevel="1" x14ac:dyDescent="0.35">
      <c r="A497" s="79"/>
      <c r="B497" s="79"/>
      <c r="C497" s="80" t="s">
        <v>592</v>
      </c>
      <c r="D497" s="271" t="s">
        <v>1399</v>
      </c>
      <c r="E497" s="66" t="str">
        <f t="shared" si="136"/>
        <v>34-35</v>
      </c>
      <c r="F497" s="70">
        <f t="shared" si="137"/>
        <v>264</v>
      </c>
      <c r="G497" s="68">
        <v>16</v>
      </c>
      <c r="H497" s="68">
        <v>0.1</v>
      </c>
      <c r="I497" s="68">
        <v>0</v>
      </c>
      <c r="J497" s="68">
        <v>0</v>
      </c>
      <c r="K497" s="197">
        <v>1500</v>
      </c>
      <c r="L497" s="68">
        <v>314</v>
      </c>
      <c r="M497" s="68" t="s">
        <v>164</v>
      </c>
      <c r="N497" s="68">
        <f t="shared" si="135"/>
        <v>4</v>
      </c>
      <c r="O497" s="80"/>
      <c r="P497" s="68"/>
      <c r="Q497" s="68"/>
      <c r="R497" s="79"/>
      <c r="S497" s="80" t="s">
        <v>592</v>
      </c>
      <c r="T497" s="81" t="s">
        <v>352</v>
      </c>
      <c r="U497" s="81" t="s">
        <v>352</v>
      </c>
      <c r="V497" s="81" t="s">
        <v>352</v>
      </c>
      <c r="W497" s="79"/>
      <c r="X497" s="79"/>
      <c r="Y497" s="271" t="s">
        <v>1399</v>
      </c>
      <c r="Z497" s="79"/>
      <c r="AA497" s="79"/>
    </row>
    <row r="498" spans="1:27" ht="24.75" hidden="1" outlineLevel="1" x14ac:dyDescent="0.35">
      <c r="A498" s="79"/>
      <c r="B498" s="79"/>
      <c r="C498" s="80" t="s">
        <v>851</v>
      </c>
      <c r="D498" s="80" t="s">
        <v>1400</v>
      </c>
      <c r="E498" s="66" t="str">
        <f t="shared" si="136"/>
        <v>36-37</v>
      </c>
      <c r="F498" s="70">
        <f t="shared" si="137"/>
        <v>280</v>
      </c>
      <c r="G498" s="68">
        <v>16</v>
      </c>
      <c r="H498" s="68">
        <v>1</v>
      </c>
      <c r="I498" s="68">
        <v>0</v>
      </c>
      <c r="J498" s="68">
        <v>0</v>
      </c>
      <c r="K498" s="68">
        <f t="shared" si="138"/>
        <v>65535</v>
      </c>
      <c r="L498" s="68">
        <v>0</v>
      </c>
      <c r="M498" s="68" t="s">
        <v>352</v>
      </c>
      <c r="N498" s="68">
        <f t="shared" si="135"/>
        <v>5</v>
      </c>
      <c r="O498" s="80"/>
      <c r="P498" s="68"/>
      <c r="Q498" s="68"/>
      <c r="R498" s="79"/>
      <c r="S498" s="67" t="s">
        <v>593</v>
      </c>
      <c r="T498" s="81" t="s">
        <v>352</v>
      </c>
      <c r="U498" s="81" t="s">
        <v>352</v>
      </c>
      <c r="V498" s="81" t="s">
        <v>352</v>
      </c>
      <c r="W498" s="79"/>
      <c r="X498" s="79"/>
      <c r="Y498" s="80" t="s">
        <v>1400</v>
      </c>
      <c r="Z498" s="79"/>
      <c r="AA498" s="79"/>
    </row>
    <row r="499" spans="1:27" ht="24.75" hidden="1" outlineLevel="1" x14ac:dyDescent="0.35">
      <c r="A499" s="79"/>
      <c r="B499" s="79"/>
      <c r="C499" s="80" t="s">
        <v>852</v>
      </c>
      <c r="D499" s="80" t="s">
        <v>1401</v>
      </c>
      <c r="E499" s="66" t="str">
        <f t="shared" si="136"/>
        <v>38-39</v>
      </c>
      <c r="F499" s="70">
        <f t="shared" si="137"/>
        <v>296</v>
      </c>
      <c r="G499" s="68">
        <v>16</v>
      </c>
      <c r="H499" s="68">
        <v>1</v>
      </c>
      <c r="I499" s="68">
        <v>0</v>
      </c>
      <c r="J499" s="68">
        <v>0</v>
      </c>
      <c r="K499" s="68">
        <f t="shared" si="138"/>
        <v>65535</v>
      </c>
      <c r="L499" s="68">
        <v>0</v>
      </c>
      <c r="M499" s="68" t="s">
        <v>352</v>
      </c>
      <c r="N499" s="68">
        <f t="shared" si="135"/>
        <v>5</v>
      </c>
      <c r="O499" s="80"/>
      <c r="P499" s="68"/>
      <c r="Q499" s="68"/>
      <c r="R499" s="79"/>
      <c r="S499" s="67" t="s">
        <v>594</v>
      </c>
      <c r="T499" s="81" t="s">
        <v>352</v>
      </c>
      <c r="U499" s="81" t="s">
        <v>352</v>
      </c>
      <c r="V499" s="81" t="s">
        <v>352</v>
      </c>
      <c r="W499" s="79"/>
      <c r="X499" s="79"/>
      <c r="Y499" s="80" t="s">
        <v>1401</v>
      </c>
      <c r="Z499" s="79"/>
      <c r="AA499" s="79"/>
    </row>
    <row r="500" spans="1:27" ht="24.75" hidden="1" outlineLevel="1" x14ac:dyDescent="0.35">
      <c r="A500" s="79"/>
      <c r="B500" s="79"/>
      <c r="C500" s="80" t="s">
        <v>853</v>
      </c>
      <c r="D500" s="80" t="s">
        <v>1402</v>
      </c>
      <c r="E500" s="66" t="str">
        <f t="shared" si="136"/>
        <v>40-41</v>
      </c>
      <c r="F500" s="70">
        <f t="shared" si="137"/>
        <v>312</v>
      </c>
      <c r="G500" s="68">
        <v>16</v>
      </c>
      <c r="H500" s="68">
        <v>0.01</v>
      </c>
      <c r="I500" s="68">
        <v>0</v>
      </c>
      <c r="J500" s="68">
        <v>0</v>
      </c>
      <c r="K500" s="197">
        <v>100</v>
      </c>
      <c r="L500" s="68">
        <v>0</v>
      </c>
      <c r="M500" s="69" t="s">
        <v>1478</v>
      </c>
      <c r="N500" s="68">
        <f t="shared" si="135"/>
        <v>3</v>
      </c>
      <c r="O500" s="80"/>
      <c r="P500" s="68"/>
      <c r="Q500" s="68"/>
      <c r="R500" s="79"/>
      <c r="S500" s="80" t="s">
        <v>875</v>
      </c>
      <c r="T500" s="81" t="s">
        <v>352</v>
      </c>
      <c r="U500" s="81" t="s">
        <v>352</v>
      </c>
      <c r="V500" s="81" t="s">
        <v>352</v>
      </c>
      <c r="W500" s="79"/>
      <c r="X500" s="79"/>
      <c r="Y500" s="80" t="s">
        <v>1402</v>
      </c>
      <c r="Z500" s="79"/>
      <c r="AA500" s="79"/>
    </row>
    <row r="501" spans="1:27" ht="24.75" hidden="1" outlineLevel="1" x14ac:dyDescent="0.35">
      <c r="A501" s="79"/>
      <c r="B501" s="79"/>
      <c r="C501" s="80" t="s">
        <v>854</v>
      </c>
      <c r="D501" s="80" t="s">
        <v>1403</v>
      </c>
      <c r="E501" s="66" t="str">
        <f t="shared" si="136"/>
        <v>42-43</v>
      </c>
      <c r="F501" s="70">
        <f t="shared" si="137"/>
        <v>328</v>
      </c>
      <c r="G501" s="68">
        <v>16</v>
      </c>
      <c r="H501" s="68">
        <v>0.01</v>
      </c>
      <c r="I501" s="68">
        <v>0</v>
      </c>
      <c r="J501" s="68">
        <v>0</v>
      </c>
      <c r="K501" s="197">
        <v>100</v>
      </c>
      <c r="L501" s="68">
        <v>0</v>
      </c>
      <c r="M501" s="69" t="s">
        <v>1478</v>
      </c>
      <c r="N501" s="68">
        <f t="shared" si="135"/>
        <v>3</v>
      </c>
      <c r="O501" s="80"/>
      <c r="P501" s="68"/>
      <c r="Q501" s="68"/>
      <c r="R501" s="79"/>
      <c r="S501" s="80" t="s">
        <v>876</v>
      </c>
      <c r="T501" s="81" t="s">
        <v>352</v>
      </c>
      <c r="U501" s="81" t="s">
        <v>352</v>
      </c>
      <c r="V501" s="81" t="s">
        <v>352</v>
      </c>
      <c r="W501" s="79"/>
      <c r="X501" s="79"/>
      <c r="Y501" s="80" t="s">
        <v>1403</v>
      </c>
      <c r="Z501" s="79"/>
      <c r="AA501" s="79"/>
    </row>
    <row r="502" spans="1:27" ht="86.65" hidden="1" outlineLevel="1" x14ac:dyDescent="0.35">
      <c r="A502" s="79"/>
      <c r="B502" s="79"/>
      <c r="C502" s="80" t="s">
        <v>855</v>
      </c>
      <c r="D502" s="80" t="s">
        <v>1404</v>
      </c>
      <c r="E502" s="66">
        <f t="shared" si="136"/>
        <v>44</v>
      </c>
      <c r="F502" s="70">
        <f t="shared" si="137"/>
        <v>344</v>
      </c>
      <c r="G502" s="68">
        <v>8</v>
      </c>
      <c r="H502" s="68">
        <v>1</v>
      </c>
      <c r="I502" s="68">
        <v>0</v>
      </c>
      <c r="J502" s="68">
        <v>0</v>
      </c>
      <c r="K502" s="197">
        <v>10</v>
      </c>
      <c r="L502" s="68">
        <v>0</v>
      </c>
      <c r="M502" s="68" t="s">
        <v>932</v>
      </c>
      <c r="N502" s="68">
        <f t="shared" si="135"/>
        <v>2</v>
      </c>
      <c r="O502" s="80" t="s">
        <v>2209</v>
      </c>
      <c r="P502" s="68"/>
      <c r="Q502" s="68"/>
      <c r="R502" s="79"/>
      <c r="S502" s="364" t="s">
        <v>575</v>
      </c>
      <c r="T502" s="81" t="s">
        <v>352</v>
      </c>
      <c r="U502" s="81" t="s">
        <v>352</v>
      </c>
      <c r="V502" s="81" t="s">
        <v>352</v>
      </c>
      <c r="W502" s="79"/>
      <c r="X502" s="79"/>
      <c r="Y502" s="80" t="s">
        <v>1404</v>
      </c>
      <c r="Z502" s="79"/>
      <c r="AA502" s="79"/>
    </row>
    <row r="503" spans="1:27" ht="24.75" hidden="1" outlineLevel="1" x14ac:dyDescent="0.35">
      <c r="A503" s="79"/>
      <c r="B503" s="79"/>
      <c r="C503" s="80" t="s">
        <v>856</v>
      </c>
      <c r="D503" s="80" t="s">
        <v>1405</v>
      </c>
      <c r="E503" s="66">
        <f t="shared" si="136"/>
        <v>45</v>
      </c>
      <c r="F503" s="70">
        <f t="shared" si="137"/>
        <v>352</v>
      </c>
      <c r="G503" s="68">
        <v>8</v>
      </c>
      <c r="H503" s="68">
        <v>1</v>
      </c>
      <c r="I503" s="68">
        <v>0</v>
      </c>
      <c r="J503" s="68">
        <v>0</v>
      </c>
      <c r="K503" s="197">
        <v>10</v>
      </c>
      <c r="L503" s="68">
        <v>0</v>
      </c>
      <c r="M503" s="68" t="s">
        <v>932</v>
      </c>
      <c r="N503" s="68">
        <f t="shared" si="135"/>
        <v>2</v>
      </c>
      <c r="O503" s="80"/>
      <c r="P503" s="68"/>
      <c r="Q503" s="68"/>
      <c r="R503" s="79"/>
      <c r="S503" s="364" t="s">
        <v>576</v>
      </c>
      <c r="T503" s="81" t="s">
        <v>352</v>
      </c>
      <c r="U503" s="81" t="s">
        <v>352</v>
      </c>
      <c r="V503" s="81" t="s">
        <v>352</v>
      </c>
      <c r="W503" s="79"/>
      <c r="X503" s="79"/>
      <c r="Y503" s="80" t="s">
        <v>1405</v>
      </c>
      <c r="Z503" s="79"/>
      <c r="AA503" s="79"/>
    </row>
    <row r="504" spans="1:27" ht="24.75" hidden="1" outlineLevel="1" x14ac:dyDescent="0.35">
      <c r="A504" s="79"/>
      <c r="B504" s="79"/>
      <c r="C504" s="80" t="s">
        <v>857</v>
      </c>
      <c r="D504" s="80" t="s">
        <v>1406</v>
      </c>
      <c r="E504" s="66" t="str">
        <f t="shared" si="136"/>
        <v>46-47</v>
      </c>
      <c r="F504" s="70">
        <f t="shared" si="137"/>
        <v>360</v>
      </c>
      <c r="G504" s="68">
        <v>16</v>
      </c>
      <c r="H504" s="68">
        <v>1</v>
      </c>
      <c r="I504" s="68">
        <v>0</v>
      </c>
      <c r="J504" s="68">
        <v>0</v>
      </c>
      <c r="K504" s="197">
        <v>5000</v>
      </c>
      <c r="L504" s="68">
        <v>0</v>
      </c>
      <c r="M504" s="68" t="s">
        <v>115</v>
      </c>
      <c r="N504" s="68">
        <f t="shared" si="135"/>
        <v>4</v>
      </c>
      <c r="O504" s="80"/>
      <c r="P504" s="68"/>
      <c r="Q504" s="68"/>
      <c r="R504" s="79"/>
      <c r="S504" s="80" t="s">
        <v>873</v>
      </c>
      <c r="T504" s="81" t="s">
        <v>352</v>
      </c>
      <c r="U504" s="81" t="s">
        <v>352</v>
      </c>
      <c r="V504" s="81" t="s">
        <v>352</v>
      </c>
      <c r="W504" s="79"/>
      <c r="X504" s="79"/>
      <c r="Y504" s="80" t="s">
        <v>1406</v>
      </c>
      <c r="Z504" s="79"/>
      <c r="AA504" s="79"/>
    </row>
    <row r="505" spans="1:27" ht="24.75" hidden="1" outlineLevel="1" x14ac:dyDescent="0.35">
      <c r="A505" s="79"/>
      <c r="B505" s="79"/>
      <c r="C505" s="80" t="s">
        <v>858</v>
      </c>
      <c r="D505" s="80" t="s">
        <v>1407</v>
      </c>
      <c r="E505" s="66" t="str">
        <f t="shared" si="136"/>
        <v>48-49</v>
      </c>
      <c r="F505" s="70">
        <f t="shared" si="137"/>
        <v>376</v>
      </c>
      <c r="G505" s="68">
        <v>16</v>
      </c>
      <c r="H505" s="68">
        <v>1</v>
      </c>
      <c r="I505" s="68">
        <v>0</v>
      </c>
      <c r="J505" s="68">
        <v>0</v>
      </c>
      <c r="K505" s="197">
        <v>5000</v>
      </c>
      <c r="L505" s="68">
        <v>0</v>
      </c>
      <c r="M505" s="68" t="s">
        <v>115</v>
      </c>
      <c r="N505" s="68">
        <f t="shared" si="135"/>
        <v>4</v>
      </c>
      <c r="O505" s="80"/>
      <c r="P505" s="68"/>
      <c r="Q505" s="68"/>
      <c r="R505" s="79"/>
      <c r="S505" s="80" t="s">
        <v>874</v>
      </c>
      <c r="T505" s="81" t="s">
        <v>352</v>
      </c>
      <c r="U505" s="81" t="s">
        <v>352</v>
      </c>
      <c r="V505" s="81" t="s">
        <v>352</v>
      </c>
      <c r="W505" s="79"/>
      <c r="X505" s="79"/>
      <c r="Y505" s="80" t="s">
        <v>1407</v>
      </c>
      <c r="Z505" s="79"/>
      <c r="AA505" s="79"/>
    </row>
    <row r="506" spans="1:27" ht="24.75" hidden="1" outlineLevel="1" x14ac:dyDescent="0.35">
      <c r="A506" s="79"/>
      <c r="B506" s="79"/>
      <c r="C506" s="80" t="s">
        <v>849</v>
      </c>
      <c r="D506" s="80" t="s">
        <v>1408</v>
      </c>
      <c r="E506" s="66" t="str">
        <f>IF(INT((F506 + G506-1) / 8) + 1 = INT(F506 / 8) + 1, INT(F506 / 8) + 1, INT(F506 / 8) + 1 &amp; "-" &amp; INT((F506 + G506 - 1) / 8) + 1)</f>
        <v>50-51</v>
      </c>
      <c r="F506" s="70">
        <f t="shared" si="137"/>
        <v>392</v>
      </c>
      <c r="G506" s="68">
        <v>16</v>
      </c>
      <c r="H506" s="68">
        <v>0.1</v>
      </c>
      <c r="I506" s="68">
        <v>0</v>
      </c>
      <c r="J506" s="68">
        <v>0</v>
      </c>
      <c r="K506" s="197">
        <v>1500</v>
      </c>
      <c r="L506" s="68">
        <v>314</v>
      </c>
      <c r="M506" s="68" t="s">
        <v>867</v>
      </c>
      <c r="N506" s="68">
        <f t="shared" si="135"/>
        <v>4</v>
      </c>
      <c r="O506" s="80"/>
      <c r="P506" s="68"/>
      <c r="Q506" s="68"/>
      <c r="R506" s="79"/>
      <c r="S506" s="80" t="s">
        <v>1470</v>
      </c>
      <c r="T506" s="81" t="s">
        <v>352</v>
      </c>
      <c r="U506" s="81" t="s">
        <v>352</v>
      </c>
      <c r="V506" s="81" t="s">
        <v>352</v>
      </c>
      <c r="W506" s="79"/>
      <c r="X506" s="79"/>
      <c r="Y506" s="80" t="s">
        <v>1408</v>
      </c>
      <c r="Z506" s="79"/>
      <c r="AA506" s="79"/>
    </row>
    <row r="507" spans="1:27" ht="24.75" hidden="1" outlineLevel="1" x14ac:dyDescent="0.35">
      <c r="A507" s="79"/>
      <c r="B507" s="79"/>
      <c r="C507" s="80" t="s">
        <v>859</v>
      </c>
      <c r="D507" s="80" t="s">
        <v>1286</v>
      </c>
      <c r="E507" s="66" t="str">
        <f t="shared" si="136"/>
        <v>52-53</v>
      </c>
      <c r="F507" s="70">
        <f t="shared" si="137"/>
        <v>408</v>
      </c>
      <c r="G507" s="68">
        <v>16</v>
      </c>
      <c r="H507" s="68">
        <v>0.01</v>
      </c>
      <c r="I507" s="68">
        <v>0</v>
      </c>
      <c r="J507" s="68">
        <v>0</v>
      </c>
      <c r="K507" s="197">
        <v>100</v>
      </c>
      <c r="L507" s="68">
        <v>0</v>
      </c>
      <c r="M507" s="69" t="s">
        <v>1478</v>
      </c>
      <c r="N507" s="68">
        <f t="shared" si="135"/>
        <v>3</v>
      </c>
      <c r="O507" s="80"/>
      <c r="P507" s="68"/>
      <c r="Q507" s="68"/>
      <c r="R507" s="79"/>
      <c r="S507" s="80" t="s">
        <v>1473</v>
      </c>
      <c r="T507" s="81" t="s">
        <v>352</v>
      </c>
      <c r="U507" s="81" t="s">
        <v>352</v>
      </c>
      <c r="V507" s="81" t="s">
        <v>352</v>
      </c>
      <c r="W507" s="79"/>
      <c r="X507" s="79"/>
      <c r="Y507" s="80" t="s">
        <v>1286</v>
      </c>
      <c r="Z507" s="79"/>
      <c r="AA507" s="79"/>
    </row>
    <row r="508" spans="1:27" ht="24.75" hidden="1" outlineLevel="1" x14ac:dyDescent="0.35">
      <c r="A508" s="79"/>
      <c r="B508" s="79"/>
      <c r="C508" s="80" t="s">
        <v>577</v>
      </c>
      <c r="D508" s="80" t="s">
        <v>1409</v>
      </c>
      <c r="E508" s="66" t="str">
        <f t="shared" si="136"/>
        <v>54-55</v>
      </c>
      <c r="F508" s="70">
        <f t="shared" si="137"/>
        <v>424</v>
      </c>
      <c r="G508" s="68">
        <v>16</v>
      </c>
      <c r="H508" s="68">
        <v>0.01</v>
      </c>
      <c r="I508" s="68">
        <v>0</v>
      </c>
      <c r="J508" s="68">
        <v>0</v>
      </c>
      <c r="K508" s="197">
        <v>100</v>
      </c>
      <c r="L508" s="68">
        <v>0</v>
      </c>
      <c r="M508" s="69" t="s">
        <v>1478</v>
      </c>
      <c r="N508" s="68">
        <f t="shared" si="135"/>
        <v>3</v>
      </c>
      <c r="O508" s="80"/>
      <c r="P508" s="68"/>
      <c r="Q508" s="68"/>
      <c r="R508" s="79"/>
      <c r="S508" s="80" t="s">
        <v>577</v>
      </c>
      <c r="T508" s="81" t="s">
        <v>352</v>
      </c>
      <c r="U508" s="81" t="s">
        <v>352</v>
      </c>
      <c r="V508" s="81" t="s">
        <v>352</v>
      </c>
      <c r="W508" s="79"/>
      <c r="X508" s="79"/>
      <c r="Y508" s="80" t="s">
        <v>1409</v>
      </c>
      <c r="Z508" s="79"/>
      <c r="AA508" s="79"/>
    </row>
    <row r="509" spans="1:27" ht="24.75" hidden="1" outlineLevel="1" x14ac:dyDescent="0.35">
      <c r="A509" s="79"/>
      <c r="B509" s="79"/>
      <c r="C509" s="80" t="s">
        <v>860</v>
      </c>
      <c r="D509" s="80" t="s">
        <v>1410</v>
      </c>
      <c r="E509" s="66" t="str">
        <f t="shared" si="136"/>
        <v>56-57</v>
      </c>
      <c r="F509" s="70">
        <f t="shared" si="137"/>
        <v>440</v>
      </c>
      <c r="G509" s="68">
        <v>16</v>
      </c>
      <c r="H509" s="68">
        <v>0.01</v>
      </c>
      <c r="I509" s="68">
        <v>0</v>
      </c>
      <c r="J509" s="68">
        <v>0</v>
      </c>
      <c r="K509" s="197">
        <v>100</v>
      </c>
      <c r="L509" s="68">
        <v>0</v>
      </c>
      <c r="M509" s="69" t="s">
        <v>1478</v>
      </c>
      <c r="N509" s="68">
        <f t="shared" si="135"/>
        <v>3</v>
      </c>
      <c r="O509" s="80"/>
      <c r="P509" s="68"/>
      <c r="Q509" s="68"/>
      <c r="R509" s="79"/>
      <c r="S509" s="80" t="s">
        <v>860</v>
      </c>
      <c r="T509" s="81" t="s">
        <v>352</v>
      </c>
      <c r="U509" s="81" t="s">
        <v>352</v>
      </c>
      <c r="V509" s="81" t="s">
        <v>352</v>
      </c>
      <c r="W509" s="79"/>
      <c r="X509" s="79"/>
      <c r="Y509" s="80" t="s">
        <v>1410</v>
      </c>
      <c r="Z509" s="79"/>
      <c r="AA509" s="79"/>
    </row>
    <row r="510" spans="1:27" ht="24.75" hidden="1" outlineLevel="1" x14ac:dyDescent="0.35">
      <c r="A510" s="79"/>
      <c r="B510" s="79"/>
      <c r="C510" s="80" t="s">
        <v>595</v>
      </c>
      <c r="D510" s="80" t="s">
        <v>1411</v>
      </c>
      <c r="E510" s="66">
        <f t="shared" ref="E510:E518" si="139">IF(INT((F510 + G510-1) / 8) + 1 = INT(F510 / 8) + 1, INT(F510 / 8) + 1, INT(F510 / 8) + 1 &amp; "-" &amp; INT((F510 + G510 - 1) / 8) + 1)</f>
        <v>58</v>
      </c>
      <c r="F510" s="70">
        <f t="shared" si="137"/>
        <v>456</v>
      </c>
      <c r="G510" s="68">
        <v>1</v>
      </c>
      <c r="H510" s="68">
        <v>1</v>
      </c>
      <c r="I510" s="68">
        <v>0</v>
      </c>
      <c r="J510" s="68">
        <v>0</v>
      </c>
      <c r="K510" s="68">
        <f t="shared" si="138"/>
        <v>1</v>
      </c>
      <c r="L510" s="68">
        <v>0</v>
      </c>
      <c r="M510" s="68" t="s">
        <v>194</v>
      </c>
      <c r="N510" s="68">
        <f t="shared" si="135"/>
        <v>1</v>
      </c>
      <c r="O510" s="80"/>
      <c r="P510" s="68"/>
      <c r="Q510" s="68"/>
      <c r="R510" s="79"/>
      <c r="S510" s="80" t="s">
        <v>595</v>
      </c>
      <c r="T510" s="81" t="s">
        <v>352</v>
      </c>
      <c r="U510" s="81" t="s">
        <v>352</v>
      </c>
      <c r="V510" s="81" t="s">
        <v>352</v>
      </c>
      <c r="W510" s="79"/>
      <c r="X510" s="79"/>
      <c r="Y510" s="80" t="s">
        <v>1411</v>
      </c>
      <c r="Z510" s="79"/>
      <c r="AA510" s="79"/>
    </row>
    <row r="511" spans="1:27" ht="24.75" hidden="1" outlineLevel="1" x14ac:dyDescent="0.35">
      <c r="A511" s="79"/>
      <c r="B511" s="79"/>
      <c r="C511" s="80" t="s">
        <v>596</v>
      </c>
      <c r="D511" s="80" t="s">
        <v>1412</v>
      </c>
      <c r="E511" s="66">
        <f t="shared" si="139"/>
        <v>58</v>
      </c>
      <c r="F511" s="70">
        <f t="shared" si="137"/>
        <v>457</v>
      </c>
      <c r="G511" s="68">
        <v>1</v>
      </c>
      <c r="H511" s="68">
        <v>1</v>
      </c>
      <c r="I511" s="68">
        <v>0</v>
      </c>
      <c r="J511" s="68">
        <v>0</v>
      </c>
      <c r="K511" s="68">
        <f t="shared" si="138"/>
        <v>1</v>
      </c>
      <c r="L511" s="68">
        <v>0</v>
      </c>
      <c r="M511" s="68" t="s">
        <v>194</v>
      </c>
      <c r="N511" s="68">
        <f t="shared" si="135"/>
        <v>1</v>
      </c>
      <c r="O511" s="80"/>
      <c r="P511" s="68"/>
      <c r="Q511" s="68"/>
      <c r="R511" s="79"/>
      <c r="S511" s="80" t="s">
        <v>596</v>
      </c>
      <c r="T511" s="81" t="s">
        <v>352</v>
      </c>
      <c r="U511" s="81" t="s">
        <v>352</v>
      </c>
      <c r="V511" s="81" t="s">
        <v>352</v>
      </c>
      <c r="W511" s="79"/>
      <c r="X511" s="79"/>
      <c r="Y511" s="80" t="s">
        <v>1412</v>
      </c>
      <c r="Z511" s="79"/>
      <c r="AA511" s="79"/>
    </row>
    <row r="512" spans="1:27" ht="24.75" hidden="1" outlineLevel="1" x14ac:dyDescent="0.35">
      <c r="A512" s="79"/>
      <c r="B512" s="79"/>
      <c r="C512" s="80" t="s">
        <v>861</v>
      </c>
      <c r="D512" s="80" t="s">
        <v>1414</v>
      </c>
      <c r="E512" s="66">
        <f t="shared" si="139"/>
        <v>58</v>
      </c>
      <c r="F512" s="70">
        <f t="shared" si="137"/>
        <v>458</v>
      </c>
      <c r="G512" s="68">
        <v>1</v>
      </c>
      <c r="H512" s="68">
        <v>1</v>
      </c>
      <c r="I512" s="68">
        <v>0</v>
      </c>
      <c r="J512" s="68">
        <v>0</v>
      </c>
      <c r="K512" s="68">
        <f t="shared" si="138"/>
        <v>1</v>
      </c>
      <c r="L512" s="68">
        <v>0</v>
      </c>
      <c r="M512" s="68" t="s">
        <v>194</v>
      </c>
      <c r="N512" s="68">
        <f t="shared" si="135"/>
        <v>1</v>
      </c>
      <c r="O512" s="80"/>
      <c r="P512" s="68"/>
      <c r="Q512" s="68"/>
      <c r="R512" s="79"/>
      <c r="S512" s="67" t="s">
        <v>597</v>
      </c>
      <c r="T512" s="81" t="s">
        <v>352</v>
      </c>
      <c r="U512" s="81" t="s">
        <v>352</v>
      </c>
      <c r="V512" s="81" t="s">
        <v>352</v>
      </c>
      <c r="W512" s="79"/>
      <c r="X512" s="79"/>
      <c r="Y512" s="80" t="s">
        <v>1414</v>
      </c>
      <c r="Z512" s="79"/>
      <c r="AA512" s="79"/>
    </row>
    <row r="513" spans="1:28" ht="24.75" hidden="1" outlineLevel="1" x14ac:dyDescent="0.35">
      <c r="A513" s="79"/>
      <c r="B513" s="79"/>
      <c r="C513" s="80" t="s">
        <v>862</v>
      </c>
      <c r="D513" s="80" t="s">
        <v>1413</v>
      </c>
      <c r="E513" s="66">
        <f t="shared" si="139"/>
        <v>58</v>
      </c>
      <c r="F513" s="70">
        <f t="shared" si="137"/>
        <v>459</v>
      </c>
      <c r="G513" s="68">
        <v>1</v>
      </c>
      <c r="H513" s="68">
        <v>1</v>
      </c>
      <c r="I513" s="68">
        <v>0</v>
      </c>
      <c r="J513" s="68">
        <v>0</v>
      </c>
      <c r="K513" s="68">
        <f t="shared" si="138"/>
        <v>1</v>
      </c>
      <c r="L513" s="68">
        <v>0</v>
      </c>
      <c r="M513" s="68" t="s">
        <v>194</v>
      </c>
      <c r="N513" s="68">
        <f t="shared" si="135"/>
        <v>1</v>
      </c>
      <c r="O513" s="80"/>
      <c r="P513" s="68"/>
      <c r="Q513" s="68"/>
      <c r="R513" s="79"/>
      <c r="S513" s="67" t="s">
        <v>598</v>
      </c>
      <c r="T513" s="81" t="s">
        <v>352</v>
      </c>
      <c r="U513" s="81" t="s">
        <v>352</v>
      </c>
      <c r="V513" s="81" t="s">
        <v>352</v>
      </c>
      <c r="W513" s="79"/>
      <c r="X513" s="79"/>
      <c r="Y513" s="80" t="s">
        <v>1413</v>
      </c>
      <c r="Z513" s="79"/>
      <c r="AA513" s="79"/>
    </row>
    <row r="514" spans="1:28" ht="24.75" hidden="1" outlineLevel="1" x14ac:dyDescent="0.35">
      <c r="A514" s="79"/>
      <c r="B514" s="79"/>
      <c r="C514" s="80" t="s">
        <v>863</v>
      </c>
      <c r="D514" s="80" t="s">
        <v>1417</v>
      </c>
      <c r="E514" s="66">
        <f t="shared" si="139"/>
        <v>58</v>
      </c>
      <c r="F514" s="70">
        <f t="shared" si="137"/>
        <v>460</v>
      </c>
      <c r="G514" s="68">
        <v>1</v>
      </c>
      <c r="H514" s="68">
        <v>1</v>
      </c>
      <c r="I514" s="68">
        <v>0</v>
      </c>
      <c r="J514" s="68">
        <v>0</v>
      </c>
      <c r="K514" s="68">
        <f t="shared" si="138"/>
        <v>1</v>
      </c>
      <c r="L514" s="68">
        <v>0</v>
      </c>
      <c r="M514" s="68" t="s">
        <v>194</v>
      </c>
      <c r="N514" s="68">
        <f t="shared" si="135"/>
        <v>1</v>
      </c>
      <c r="O514" s="80"/>
      <c r="P514" s="68"/>
      <c r="Q514" s="68"/>
      <c r="R514" s="79"/>
      <c r="S514" s="67" t="s">
        <v>599</v>
      </c>
      <c r="T514" s="81" t="s">
        <v>352</v>
      </c>
      <c r="U514" s="81" t="s">
        <v>352</v>
      </c>
      <c r="V514" s="81" t="s">
        <v>352</v>
      </c>
      <c r="W514" s="79"/>
      <c r="X514" s="79"/>
      <c r="Y514" s="80" t="s">
        <v>1417</v>
      </c>
      <c r="Z514" s="79"/>
      <c r="AA514" s="79"/>
    </row>
    <row r="515" spans="1:28" ht="24.75" hidden="1" outlineLevel="1" x14ac:dyDescent="0.35">
      <c r="A515" s="79"/>
      <c r="B515" s="79"/>
      <c r="C515" s="80" t="s">
        <v>864</v>
      </c>
      <c r="D515" s="80" t="s">
        <v>1416</v>
      </c>
      <c r="E515" s="66">
        <f t="shared" si="139"/>
        <v>58</v>
      </c>
      <c r="F515" s="70">
        <f t="shared" si="137"/>
        <v>461</v>
      </c>
      <c r="G515" s="68">
        <v>1</v>
      </c>
      <c r="H515" s="68">
        <v>1</v>
      </c>
      <c r="I515" s="68">
        <v>0</v>
      </c>
      <c r="J515" s="68">
        <v>0</v>
      </c>
      <c r="K515" s="68">
        <f t="shared" si="138"/>
        <v>1</v>
      </c>
      <c r="L515" s="68">
        <v>0</v>
      </c>
      <c r="M515" s="68" t="s">
        <v>194</v>
      </c>
      <c r="N515" s="68">
        <f t="shared" si="135"/>
        <v>1</v>
      </c>
      <c r="O515" s="80"/>
      <c r="P515" s="68"/>
      <c r="Q515" s="68"/>
      <c r="R515" s="79"/>
      <c r="S515" s="67" t="s">
        <v>600</v>
      </c>
      <c r="T515" s="81" t="s">
        <v>352</v>
      </c>
      <c r="U515" s="81" t="s">
        <v>352</v>
      </c>
      <c r="V515" s="81" t="s">
        <v>352</v>
      </c>
      <c r="W515" s="79"/>
      <c r="X515" s="79"/>
      <c r="Y515" s="80" t="s">
        <v>1416</v>
      </c>
      <c r="Z515" s="79"/>
      <c r="AA515" s="79"/>
    </row>
    <row r="516" spans="1:28" ht="24.75" hidden="1" outlineLevel="1" x14ac:dyDescent="0.35">
      <c r="A516" s="79"/>
      <c r="B516" s="79"/>
      <c r="C516" s="80" t="s">
        <v>865</v>
      </c>
      <c r="D516" s="80" t="s">
        <v>1418</v>
      </c>
      <c r="E516" s="66">
        <f t="shared" si="139"/>
        <v>58</v>
      </c>
      <c r="F516" s="70">
        <f t="shared" si="137"/>
        <v>462</v>
      </c>
      <c r="G516" s="68">
        <v>1</v>
      </c>
      <c r="H516" s="68">
        <v>1</v>
      </c>
      <c r="I516" s="68">
        <v>0</v>
      </c>
      <c r="J516" s="68">
        <v>0</v>
      </c>
      <c r="K516" s="68">
        <f t="shared" si="138"/>
        <v>1</v>
      </c>
      <c r="L516" s="68">
        <v>0</v>
      </c>
      <c r="M516" s="68" t="s">
        <v>194</v>
      </c>
      <c r="N516" s="68">
        <f t="shared" si="135"/>
        <v>1</v>
      </c>
      <c r="O516" s="80"/>
      <c r="P516" s="68"/>
      <c r="Q516" s="68"/>
      <c r="R516" s="79"/>
      <c r="S516" s="80" t="s">
        <v>871</v>
      </c>
      <c r="T516" s="81" t="s">
        <v>352</v>
      </c>
      <c r="U516" s="81" t="s">
        <v>352</v>
      </c>
      <c r="V516" s="81" t="s">
        <v>352</v>
      </c>
      <c r="W516" s="79"/>
      <c r="X516" s="79"/>
      <c r="Y516" s="80" t="s">
        <v>1418</v>
      </c>
      <c r="Z516" s="79"/>
      <c r="AA516" s="79"/>
    </row>
    <row r="517" spans="1:28" ht="24.75" hidden="1" outlineLevel="1" x14ac:dyDescent="0.35">
      <c r="A517" s="79"/>
      <c r="B517" s="79"/>
      <c r="C517" s="80" t="s">
        <v>866</v>
      </c>
      <c r="D517" s="80" t="s">
        <v>1415</v>
      </c>
      <c r="E517" s="66">
        <f t="shared" si="139"/>
        <v>58</v>
      </c>
      <c r="F517" s="70">
        <f>F516+G516</f>
        <v>463</v>
      </c>
      <c r="G517" s="68">
        <v>1</v>
      </c>
      <c r="H517" s="68">
        <v>1</v>
      </c>
      <c r="I517" s="68">
        <v>0</v>
      </c>
      <c r="J517" s="68">
        <v>0</v>
      </c>
      <c r="K517" s="68">
        <f t="shared" si="138"/>
        <v>1</v>
      </c>
      <c r="L517" s="68">
        <v>0</v>
      </c>
      <c r="M517" s="68" t="s">
        <v>194</v>
      </c>
      <c r="N517" s="68">
        <f t="shared" si="135"/>
        <v>1</v>
      </c>
      <c r="O517" s="80"/>
      <c r="P517" s="68"/>
      <c r="Q517" s="68"/>
      <c r="R517" s="79"/>
      <c r="S517" s="80" t="s">
        <v>870</v>
      </c>
      <c r="T517" s="81" t="s">
        <v>352</v>
      </c>
      <c r="U517" s="81" t="s">
        <v>352</v>
      </c>
      <c r="V517" s="81" t="s">
        <v>352</v>
      </c>
      <c r="W517" s="79"/>
      <c r="X517" s="79"/>
      <c r="Y517" s="80" t="s">
        <v>1415</v>
      </c>
      <c r="Z517" s="79"/>
      <c r="AA517" s="79"/>
    </row>
    <row r="518" spans="1:28" ht="74.25" hidden="1" outlineLevel="1" x14ac:dyDescent="0.35">
      <c r="A518" s="79"/>
      <c r="B518" s="79"/>
      <c r="C518" s="80" t="s">
        <v>1224</v>
      </c>
      <c r="D518" s="80" t="s">
        <v>1390</v>
      </c>
      <c r="E518" s="66">
        <f t="shared" si="139"/>
        <v>59</v>
      </c>
      <c r="F518" s="70">
        <f>F517+G517</f>
        <v>464</v>
      </c>
      <c r="G518" s="68">
        <v>8</v>
      </c>
      <c r="H518" s="68">
        <v>1</v>
      </c>
      <c r="I518" s="68">
        <v>0</v>
      </c>
      <c r="J518" s="68">
        <v>0</v>
      </c>
      <c r="K518" s="68">
        <f t="shared" si="138"/>
        <v>255</v>
      </c>
      <c r="L518" s="68">
        <v>0</v>
      </c>
      <c r="M518" s="68" t="s">
        <v>932</v>
      </c>
      <c r="N518" s="68">
        <f t="shared" si="135"/>
        <v>3</v>
      </c>
      <c r="O518" s="80" t="s">
        <v>1225</v>
      </c>
      <c r="P518" s="68"/>
      <c r="Q518" s="68"/>
      <c r="R518" s="79"/>
      <c r="S518" s="80" t="s">
        <v>1224</v>
      </c>
      <c r="T518" s="81" t="s">
        <v>352</v>
      </c>
      <c r="U518" s="81" t="s">
        <v>352</v>
      </c>
      <c r="V518" s="81" t="s">
        <v>352</v>
      </c>
      <c r="W518" s="79"/>
      <c r="X518" s="79"/>
      <c r="Y518" s="80" t="s">
        <v>1390</v>
      </c>
      <c r="Z518" s="79"/>
      <c r="AA518" s="79"/>
    </row>
    <row r="519" spans="1:28" ht="24.75" hidden="1" outlineLevel="1" x14ac:dyDescent="0.35">
      <c r="A519" s="79"/>
      <c r="B519" s="79"/>
      <c r="C519" s="80" t="s">
        <v>1742</v>
      </c>
      <c r="D519" s="80" t="s">
        <v>1743</v>
      </c>
      <c r="E519" s="66" t="str">
        <f t="shared" ref="E519:E520" si="140">IF(INT((F519 + G519-1) / 8) + 1 = INT(F519 / 8) + 1, INT(F519 / 8) + 1, INT(F519 / 8) + 1 &amp; "-" &amp; INT((F519 + G519 - 1) / 8) + 1)</f>
        <v>60-61</v>
      </c>
      <c r="F519" s="70">
        <f>F518+G518</f>
        <v>472</v>
      </c>
      <c r="G519" s="68">
        <v>16</v>
      </c>
      <c r="H519" s="68">
        <v>0.01</v>
      </c>
      <c r="I519" s="68">
        <v>0</v>
      </c>
      <c r="J519" s="68">
        <v>0</v>
      </c>
      <c r="K519" s="68">
        <f t="shared" si="138"/>
        <v>655.35</v>
      </c>
      <c r="L519" s="68">
        <v>0</v>
      </c>
      <c r="M519" s="68" t="s">
        <v>1744</v>
      </c>
      <c r="N519" s="68">
        <f t="shared" si="135"/>
        <v>6</v>
      </c>
      <c r="O519" s="80"/>
      <c r="P519" s="68"/>
      <c r="Q519" s="68"/>
      <c r="R519" s="79"/>
      <c r="S519" s="80" t="s">
        <v>1746</v>
      </c>
      <c r="T519" s="81" t="s">
        <v>632</v>
      </c>
      <c r="U519" s="81" t="s">
        <v>632</v>
      </c>
      <c r="V519" s="81" t="s">
        <v>632</v>
      </c>
      <c r="W519" s="79"/>
      <c r="X519" s="79"/>
      <c r="Y519" s="80" t="s">
        <v>1743</v>
      </c>
      <c r="Z519" s="79"/>
      <c r="AA519" s="79"/>
    </row>
    <row r="520" spans="1:28" ht="24.75" hidden="1" outlineLevel="1" x14ac:dyDescent="0.35">
      <c r="A520" s="79"/>
      <c r="B520" s="79"/>
      <c r="C520" s="80" t="s">
        <v>2267</v>
      </c>
      <c r="D520" s="80" t="s">
        <v>2268</v>
      </c>
      <c r="E520" s="66" t="str">
        <f t="shared" si="140"/>
        <v>62-63</v>
      </c>
      <c r="F520" s="70">
        <f>F519+G519</f>
        <v>488</v>
      </c>
      <c r="G520" s="68">
        <v>16</v>
      </c>
      <c r="H520" s="68">
        <v>0.1</v>
      </c>
      <c r="I520" s="68">
        <v>-3000</v>
      </c>
      <c r="J520" s="68">
        <v>0</v>
      </c>
      <c r="K520" s="68">
        <f t="shared" si="138"/>
        <v>3553.5</v>
      </c>
      <c r="L520" s="68">
        <v>0</v>
      </c>
      <c r="M520" s="68" t="s">
        <v>1589</v>
      </c>
      <c r="N520" s="68">
        <f t="shared" si="135"/>
        <v>6</v>
      </c>
      <c r="O520" s="80"/>
      <c r="P520" s="68"/>
      <c r="Q520" s="68"/>
      <c r="R520" s="79"/>
      <c r="S520" s="80" t="s">
        <v>2269</v>
      </c>
      <c r="T520" s="81" t="s">
        <v>632</v>
      </c>
      <c r="U520" s="81" t="s">
        <v>632</v>
      </c>
      <c r="V520" s="81" t="s">
        <v>632</v>
      </c>
      <c r="W520" s="79"/>
      <c r="X520" s="79"/>
      <c r="Y520" s="80" t="s">
        <v>2268</v>
      </c>
      <c r="Z520" s="79"/>
      <c r="AA520" s="79"/>
    </row>
    <row r="521" spans="1:28" collapsed="1" x14ac:dyDescent="0.35">
      <c r="A521" s="365" t="s">
        <v>904</v>
      </c>
      <c r="B521" s="284" t="s">
        <v>1086</v>
      </c>
      <c r="C521" s="284"/>
      <c r="D521" s="284"/>
      <c r="E521" s="93">
        <v>401</v>
      </c>
      <c r="F521" s="277"/>
      <c r="G521" s="276"/>
      <c r="H521" s="276"/>
      <c r="I521" s="276"/>
      <c r="J521" s="276"/>
      <c r="K521" s="276"/>
      <c r="L521" s="276"/>
      <c r="M521" s="276"/>
      <c r="N521" s="93">
        <f>SUM(N522:N523)</f>
        <v>8</v>
      </c>
      <c r="O521" s="276"/>
      <c r="P521" s="276"/>
      <c r="Q521" s="276"/>
      <c r="R521" s="285"/>
      <c r="S521" s="284"/>
      <c r="T521" s="99"/>
      <c r="U521" s="286"/>
      <c r="V521" s="286"/>
      <c r="W521" s="287"/>
      <c r="X521" s="287"/>
      <c r="Y521" s="284"/>
      <c r="Z521" s="287"/>
      <c r="AA521" s="287"/>
    </row>
    <row r="522" spans="1:28" ht="24.75" hidden="1" outlineLevel="1" x14ac:dyDescent="0.35">
      <c r="A522" s="65"/>
      <c r="B522" s="65"/>
      <c r="C522" s="67" t="s">
        <v>909</v>
      </c>
      <c r="D522" s="71" t="s">
        <v>1386</v>
      </c>
      <c r="E522" s="66">
        <f t="shared" ref="E522" si="141">IF(INT((F522 + G522-1) / 8) + 1 = INT(F522 / 8) + 1, INT(F522 / 8) + 1, INT(F522 / 8) + 1 &amp; "-" &amp; INT((F522 + G522 - 1) / 8) + 1)</f>
        <v>1</v>
      </c>
      <c r="F522" s="68">
        <v>0</v>
      </c>
      <c r="G522" s="68">
        <v>8</v>
      </c>
      <c r="H522" s="68">
        <v>1</v>
      </c>
      <c r="I522" s="68">
        <v>0</v>
      </c>
      <c r="J522" s="68">
        <v>0</v>
      </c>
      <c r="K522" s="68">
        <f t="shared" ref="K522" si="142">(POWER(2,G522)-1)*H522+I522</f>
        <v>255</v>
      </c>
      <c r="L522" s="68">
        <v>0</v>
      </c>
      <c r="M522" s="69" t="s">
        <v>85</v>
      </c>
      <c r="N522" s="68">
        <f t="shared" si="135"/>
        <v>3</v>
      </c>
      <c r="O522" s="71" t="s">
        <v>1385</v>
      </c>
      <c r="P522" s="69"/>
      <c r="Q522" s="69"/>
      <c r="R522" s="65"/>
      <c r="S522" s="67" t="s">
        <v>632</v>
      </c>
      <c r="T522" s="67" t="s">
        <v>632</v>
      </c>
      <c r="U522" s="67" t="s">
        <v>632</v>
      </c>
      <c r="V522" s="67" t="s">
        <v>912</v>
      </c>
      <c r="W522" s="65"/>
      <c r="X522" s="65"/>
      <c r="Y522" s="71" t="s">
        <v>1386</v>
      </c>
      <c r="Z522" s="65"/>
      <c r="AA522" s="65"/>
    </row>
    <row r="523" spans="1:28" ht="24.75" hidden="1" outlineLevel="1" collapsed="1" x14ac:dyDescent="0.35">
      <c r="A523" s="65"/>
      <c r="B523" s="65"/>
      <c r="C523" s="67" t="s">
        <v>916</v>
      </c>
      <c r="D523" s="80" t="s">
        <v>1389</v>
      </c>
      <c r="E523" s="221" t="s">
        <v>911</v>
      </c>
      <c r="F523" s="70">
        <f t="shared" ref="F523" si="143">F522+G522</f>
        <v>8</v>
      </c>
      <c r="G523" s="68">
        <v>16</v>
      </c>
      <c r="H523" s="68">
        <v>1</v>
      </c>
      <c r="I523" s="68">
        <v>0</v>
      </c>
      <c r="J523" s="68">
        <v>0</v>
      </c>
      <c r="K523" s="68">
        <f>(POWER(2,G523)-1)*H523+I523</f>
        <v>65535</v>
      </c>
      <c r="L523" s="68">
        <v>0</v>
      </c>
      <c r="M523" s="69" t="s">
        <v>85</v>
      </c>
      <c r="N523" s="68">
        <f t="shared" si="135"/>
        <v>5</v>
      </c>
      <c r="O523" s="69"/>
      <c r="P523" s="69"/>
      <c r="Q523" s="69"/>
      <c r="R523" s="65"/>
      <c r="S523" s="67" t="s">
        <v>632</v>
      </c>
      <c r="T523" s="67" t="s">
        <v>632</v>
      </c>
      <c r="U523" s="67" t="s">
        <v>632</v>
      </c>
      <c r="V523" s="67" t="s">
        <v>915</v>
      </c>
      <c r="W523" s="360" t="s">
        <v>2200</v>
      </c>
      <c r="X523" s="65"/>
      <c r="Y523" s="80" t="s">
        <v>1389</v>
      </c>
      <c r="Z523" s="65"/>
      <c r="AA523" s="65"/>
    </row>
    <row r="524" spans="1:28" collapsed="1" x14ac:dyDescent="0.35">
      <c r="A524" s="365" t="s">
        <v>906</v>
      </c>
      <c r="B524" s="284" t="s">
        <v>908</v>
      </c>
      <c r="C524" s="284"/>
      <c r="D524" s="284"/>
      <c r="E524" s="93">
        <v>402</v>
      </c>
      <c r="F524" s="277"/>
      <c r="G524" s="276"/>
      <c r="H524" s="276"/>
      <c r="I524" s="276"/>
      <c r="J524" s="276"/>
      <c r="K524" s="276"/>
      <c r="L524" s="276"/>
      <c r="M524" s="276"/>
      <c r="N524" s="93">
        <f>N525+N526*200+N527</f>
        <v>1005</v>
      </c>
      <c r="O524" s="276"/>
      <c r="P524" s="276"/>
      <c r="Q524" s="276"/>
      <c r="R524" s="285"/>
      <c r="S524" s="284"/>
      <c r="T524" s="99"/>
      <c r="U524" s="286"/>
      <c r="V524" s="286"/>
      <c r="W524" s="287"/>
      <c r="X524" s="287"/>
      <c r="Y524" s="284"/>
      <c r="Z524" s="287"/>
      <c r="AA524" s="287"/>
    </row>
    <row r="525" spans="1:28" ht="24.75" hidden="1" outlineLevel="1" x14ac:dyDescent="0.35">
      <c r="A525" s="65"/>
      <c r="B525" s="65"/>
      <c r="C525" s="67" t="s">
        <v>910</v>
      </c>
      <c r="D525" s="71" t="s">
        <v>1387</v>
      </c>
      <c r="E525" s="66">
        <f t="shared" ref="E525" si="144">IF(INT((F525 + G525-1) / 8) + 1 = INT(F525 / 8) + 1, INT(F525 / 8) + 1, INT(F525 / 8) + 1 &amp; "-" &amp; INT((F525 + G525 - 1) / 8) + 1)</f>
        <v>1</v>
      </c>
      <c r="F525" s="68">
        <v>0</v>
      </c>
      <c r="G525" s="68">
        <v>8</v>
      </c>
      <c r="H525" s="68">
        <v>1</v>
      </c>
      <c r="I525" s="68">
        <v>0</v>
      </c>
      <c r="J525" s="68">
        <v>0</v>
      </c>
      <c r="K525" s="68">
        <f t="shared" ref="K525:K527" si="145">(POWER(2,G525)-1)*H525+I525</f>
        <v>255</v>
      </c>
      <c r="L525" s="68">
        <v>0</v>
      </c>
      <c r="M525" s="69" t="s">
        <v>85</v>
      </c>
      <c r="N525" s="68">
        <f t="shared" si="135"/>
        <v>3</v>
      </c>
      <c r="O525" s="71" t="s">
        <v>1385</v>
      </c>
      <c r="P525" s="69"/>
      <c r="Q525" s="69"/>
      <c r="R525" s="65"/>
      <c r="S525" s="67" t="s">
        <v>632</v>
      </c>
      <c r="T525" s="67" t="s">
        <v>632</v>
      </c>
      <c r="U525" s="67" t="s">
        <v>913</v>
      </c>
      <c r="V525" s="67" t="s">
        <v>352</v>
      </c>
      <c r="W525" s="65"/>
      <c r="X525" s="65"/>
      <c r="Y525" s="71" t="s">
        <v>1387</v>
      </c>
      <c r="Z525" s="65"/>
      <c r="AA525" s="65"/>
    </row>
    <row r="526" spans="1:28" ht="24.75" hidden="1" outlineLevel="1" collapsed="1" x14ac:dyDescent="0.35">
      <c r="A526" s="65"/>
      <c r="B526" s="65"/>
      <c r="C526" s="67" t="s">
        <v>917</v>
      </c>
      <c r="D526" s="80" t="s">
        <v>1388</v>
      </c>
      <c r="E526" s="221" t="s">
        <v>911</v>
      </c>
      <c r="F526" s="70">
        <f t="shared" ref="F526" si="146">F525+G525</f>
        <v>8</v>
      </c>
      <c r="G526" s="68">
        <v>16</v>
      </c>
      <c r="H526" s="68">
        <v>1</v>
      </c>
      <c r="I526" s="68">
        <v>0</v>
      </c>
      <c r="J526" s="68">
        <v>0</v>
      </c>
      <c r="K526" s="68">
        <f t="shared" si="145"/>
        <v>65535</v>
      </c>
      <c r="L526" s="68">
        <v>0</v>
      </c>
      <c r="M526" s="69" t="s">
        <v>85</v>
      </c>
      <c r="N526" s="68">
        <f t="shared" si="135"/>
        <v>5</v>
      </c>
      <c r="O526" s="69"/>
      <c r="P526" s="69"/>
      <c r="Q526" s="69"/>
      <c r="R526" s="65"/>
      <c r="S526" s="67" t="s">
        <v>632</v>
      </c>
      <c r="T526" s="67" t="s">
        <v>632</v>
      </c>
      <c r="U526" s="67" t="s">
        <v>914</v>
      </c>
      <c r="V526" s="67" t="s">
        <v>352</v>
      </c>
      <c r="W526" s="360" t="s">
        <v>2200</v>
      </c>
      <c r="X526" s="65"/>
      <c r="Y526" s="80" t="s">
        <v>1388</v>
      </c>
      <c r="Z526" s="65"/>
      <c r="AA526" s="65"/>
    </row>
    <row r="527" spans="1:28" ht="24.75" hidden="1" outlineLevel="1" x14ac:dyDescent="0.35">
      <c r="A527" s="65"/>
      <c r="B527" s="65"/>
      <c r="C527" s="67" t="s">
        <v>1910</v>
      </c>
      <c r="D527" s="80" t="s">
        <v>1911</v>
      </c>
      <c r="E527" s="66">
        <f t="shared" ref="E527" si="147">IF(INT((F527 + G527-1) / 8) + 1 = INT(F527 / 8) + 1, INT(F527 / 8) + 1, INT(F527 / 8) + 1 &amp; "-" &amp; INT((F527 + G527 - 1) / 8) + 1)</f>
        <v>402</v>
      </c>
      <c r="F527" s="70">
        <f>401*8</f>
        <v>3208</v>
      </c>
      <c r="G527" s="68">
        <v>4</v>
      </c>
      <c r="H527" s="68">
        <v>1</v>
      </c>
      <c r="I527" s="68">
        <v>0</v>
      </c>
      <c r="J527" s="68">
        <v>0</v>
      </c>
      <c r="K527" s="68">
        <f t="shared" si="145"/>
        <v>15</v>
      </c>
      <c r="L527" s="68">
        <v>0</v>
      </c>
      <c r="M527" s="69" t="s">
        <v>1912</v>
      </c>
      <c r="N527" s="68">
        <f t="shared" si="135"/>
        <v>2</v>
      </c>
      <c r="O527" s="69"/>
      <c r="P527" s="69"/>
      <c r="Q527" s="69"/>
      <c r="R527" s="105" t="s">
        <v>1913</v>
      </c>
      <c r="S527" s="80" t="s">
        <v>632</v>
      </c>
      <c r="T527" s="80" t="s">
        <v>632</v>
      </c>
      <c r="U527" s="80" t="s">
        <v>632</v>
      </c>
      <c r="V527" s="80" t="s">
        <v>632</v>
      </c>
      <c r="W527" s="65"/>
      <c r="X527" s="79"/>
      <c r="Y527" s="80" t="s">
        <v>1911</v>
      </c>
      <c r="Z527" s="65"/>
      <c r="AA527" s="65"/>
      <c r="AB527" s="353"/>
    </row>
    <row r="528" spans="1:28" collapsed="1" x14ac:dyDescent="0.35">
      <c r="A528" s="365" t="s">
        <v>1028</v>
      </c>
      <c r="B528" s="284" t="s">
        <v>1054</v>
      </c>
      <c r="C528" s="284"/>
      <c r="D528" s="284"/>
      <c r="E528" s="93">
        <v>401</v>
      </c>
      <c r="F528" s="277"/>
      <c r="G528" s="276"/>
      <c r="H528" s="276"/>
      <c r="I528" s="276"/>
      <c r="J528" s="276"/>
      <c r="K528" s="276"/>
      <c r="L528" s="276"/>
      <c r="M528" s="276"/>
      <c r="N528" s="93">
        <f>N529*200+N530</f>
        <v>1002</v>
      </c>
      <c r="O528" s="276"/>
      <c r="P528" s="276"/>
      <c r="Q528" s="276"/>
      <c r="R528" s="284"/>
      <c r="S528" s="99"/>
      <c r="T528" s="286"/>
      <c r="U528" s="286"/>
      <c r="V528" s="287"/>
      <c r="W528" s="287"/>
      <c r="X528" s="91"/>
      <c r="Y528" s="284"/>
      <c r="Z528" s="287"/>
      <c r="AA528" s="287"/>
    </row>
    <row r="529" spans="1:28" ht="24.75" hidden="1" outlineLevel="1" x14ac:dyDescent="0.35">
      <c r="A529" s="65"/>
      <c r="B529" s="65"/>
      <c r="C529" s="71" t="s">
        <v>1057</v>
      </c>
      <c r="D529" s="71" t="s">
        <v>1384</v>
      </c>
      <c r="E529" s="221" t="s">
        <v>1192</v>
      </c>
      <c r="F529" s="70">
        <f t="shared" ref="F529" si="148">F528+G528</f>
        <v>0</v>
      </c>
      <c r="G529" s="68">
        <v>16</v>
      </c>
      <c r="H529" s="68">
        <v>1</v>
      </c>
      <c r="I529" s="68">
        <v>0</v>
      </c>
      <c r="J529" s="68">
        <v>0</v>
      </c>
      <c r="K529" s="68">
        <f t="shared" ref="K529:K530" si="149">(POWER(2,G529)-1)*H529+I529</f>
        <v>65535</v>
      </c>
      <c r="L529" s="68">
        <v>0</v>
      </c>
      <c r="M529" s="69" t="s">
        <v>85</v>
      </c>
      <c r="N529" s="68">
        <f t="shared" si="135"/>
        <v>5</v>
      </c>
      <c r="O529" s="71" t="s">
        <v>1055</v>
      </c>
      <c r="P529" s="69"/>
      <c r="Q529" s="69"/>
      <c r="R529" s="71" t="s">
        <v>352</v>
      </c>
      <c r="S529" s="67" t="s">
        <v>352</v>
      </c>
      <c r="T529" s="67" t="s">
        <v>352</v>
      </c>
      <c r="U529" s="67" t="s">
        <v>1056</v>
      </c>
      <c r="V529" s="67" t="s">
        <v>1056</v>
      </c>
      <c r="W529" s="360" t="s">
        <v>2200</v>
      </c>
      <c r="X529" s="79"/>
      <c r="Y529" s="71" t="s">
        <v>1384</v>
      </c>
      <c r="Z529" s="65"/>
      <c r="AA529" s="65"/>
    </row>
    <row r="530" spans="1:28" ht="24.75" hidden="1" outlineLevel="1" x14ac:dyDescent="0.35">
      <c r="A530" s="65"/>
      <c r="B530" s="65"/>
      <c r="C530" s="71" t="s">
        <v>1910</v>
      </c>
      <c r="D530" s="71" t="s">
        <v>1911</v>
      </c>
      <c r="E530" s="66">
        <f t="shared" ref="E530" si="150">IF(INT((F530 + G530-1) / 8) + 1 = INT(F530 / 8) + 1, INT(F530 / 8) + 1, INT(F530 / 8) + 1 &amp; "-" &amp; INT((F530 + G530 - 1) / 8) + 1)</f>
        <v>401</v>
      </c>
      <c r="F530" s="70">
        <f>400*8</f>
        <v>3200</v>
      </c>
      <c r="G530" s="68">
        <v>4</v>
      </c>
      <c r="H530" s="68">
        <v>1</v>
      </c>
      <c r="I530" s="68">
        <v>0</v>
      </c>
      <c r="J530" s="68">
        <v>0</v>
      </c>
      <c r="K530" s="68">
        <f t="shared" si="149"/>
        <v>15</v>
      </c>
      <c r="L530" s="68">
        <v>0</v>
      </c>
      <c r="M530" s="69" t="s">
        <v>1912</v>
      </c>
      <c r="N530" s="68">
        <f t="shared" si="135"/>
        <v>2</v>
      </c>
      <c r="O530" s="71"/>
      <c r="P530" s="69"/>
      <c r="Q530" s="69"/>
      <c r="R530" s="105" t="s">
        <v>1913</v>
      </c>
      <c r="S530" s="80" t="s">
        <v>632</v>
      </c>
      <c r="T530" s="80" t="s">
        <v>632</v>
      </c>
      <c r="U530" s="80" t="s">
        <v>632</v>
      </c>
      <c r="V530" s="80" t="s">
        <v>632</v>
      </c>
      <c r="W530" s="366"/>
      <c r="X530" s="79"/>
      <c r="Y530" s="71" t="s">
        <v>1911</v>
      </c>
      <c r="Z530" s="65"/>
      <c r="AA530" s="65"/>
      <c r="AB530" s="353"/>
    </row>
    <row r="531" spans="1:28" collapsed="1" x14ac:dyDescent="0.35">
      <c r="A531" s="96" t="s">
        <v>1039</v>
      </c>
      <c r="B531" s="367" t="str">
        <f>VLOOKUP(A531,'Message ID'!A:O,2,FALSE)</f>
        <v>电芯电压及其有效性、各AFE总压</v>
      </c>
      <c r="C531" s="284"/>
      <c r="D531" s="284"/>
      <c r="E531" s="93">
        <v>1012</v>
      </c>
      <c r="F531" s="277"/>
      <c r="G531" s="276"/>
      <c r="H531" s="276"/>
      <c r="I531" s="276"/>
      <c r="J531" s="276"/>
      <c r="K531" s="276"/>
      <c r="L531" s="276"/>
      <c r="M531" s="276"/>
      <c r="N531" s="93">
        <f>N532*416+N533*416+N534*32</f>
        <v>2400</v>
      </c>
      <c r="O531" s="285"/>
      <c r="P531" s="276"/>
      <c r="Q531" s="276"/>
      <c r="R531" s="284"/>
      <c r="S531" s="284"/>
      <c r="T531" s="99"/>
      <c r="U531" s="286"/>
      <c r="V531" s="286"/>
      <c r="W531" s="287"/>
      <c r="X531" s="287"/>
      <c r="Y531" s="284"/>
      <c r="Z531" s="287"/>
      <c r="AA531" s="287"/>
    </row>
    <row r="532" spans="1:28" ht="37.15" hidden="1" outlineLevel="1" x14ac:dyDescent="0.35">
      <c r="A532" s="71"/>
      <c r="B532" s="69"/>
      <c r="C532" s="368" t="s">
        <v>1048</v>
      </c>
      <c r="D532" s="266" t="s">
        <v>1372</v>
      </c>
      <c r="E532" s="220" t="s">
        <v>197</v>
      </c>
      <c r="F532" s="70">
        <v>0</v>
      </c>
      <c r="G532" s="68">
        <v>1</v>
      </c>
      <c r="H532" s="68">
        <v>1</v>
      </c>
      <c r="I532" s="68">
        <v>0</v>
      </c>
      <c r="J532" s="68">
        <v>0</v>
      </c>
      <c r="K532" s="224">
        <v>1</v>
      </c>
      <c r="L532" s="68">
        <v>0</v>
      </c>
      <c r="M532" s="69" t="s">
        <v>938</v>
      </c>
      <c r="N532" s="68">
        <f t="shared" si="135"/>
        <v>1</v>
      </c>
      <c r="O532" s="72"/>
      <c r="P532" s="69"/>
      <c r="Q532" s="69"/>
      <c r="R532" s="369" t="s">
        <v>198</v>
      </c>
      <c r="S532" s="71" t="s">
        <v>1044</v>
      </c>
      <c r="T532" s="80" t="s">
        <v>1149</v>
      </c>
      <c r="U532" s="67" t="s">
        <v>352</v>
      </c>
      <c r="V532" s="67" t="s">
        <v>352</v>
      </c>
      <c r="W532" s="360" t="s">
        <v>2199</v>
      </c>
      <c r="X532" s="65"/>
      <c r="Y532" s="266" t="s">
        <v>1372</v>
      </c>
      <c r="Z532" s="65"/>
      <c r="AA532" s="65"/>
    </row>
    <row r="533" spans="1:28" ht="37.15" hidden="1" outlineLevel="1" x14ac:dyDescent="0.35">
      <c r="A533" s="71"/>
      <c r="B533" s="69"/>
      <c r="C533" s="279" t="s">
        <v>1049</v>
      </c>
      <c r="D533" s="71" t="s">
        <v>1488</v>
      </c>
      <c r="E533" s="220" t="s">
        <v>199</v>
      </c>
      <c r="F533" s="223">
        <f>52*8</f>
        <v>416</v>
      </c>
      <c r="G533" s="68">
        <v>16</v>
      </c>
      <c r="H533" s="68">
        <v>1</v>
      </c>
      <c r="I533" s="68">
        <v>0</v>
      </c>
      <c r="J533" s="68">
        <v>0</v>
      </c>
      <c r="K533" s="224">
        <v>5000</v>
      </c>
      <c r="L533" s="68">
        <v>0</v>
      </c>
      <c r="M533" s="69" t="s">
        <v>115</v>
      </c>
      <c r="N533" s="68">
        <f t="shared" si="135"/>
        <v>4</v>
      </c>
      <c r="O533" s="72"/>
      <c r="P533" s="69"/>
      <c r="Q533" s="69" t="s">
        <v>1098</v>
      </c>
      <c r="R533" s="71" t="s">
        <v>200</v>
      </c>
      <c r="S533" s="71" t="s">
        <v>1045</v>
      </c>
      <c r="T533" s="80" t="s">
        <v>1148</v>
      </c>
      <c r="U533" s="67" t="s">
        <v>352</v>
      </c>
      <c r="V533" s="67" t="s">
        <v>352</v>
      </c>
      <c r="W533" s="360" t="s">
        <v>2200</v>
      </c>
      <c r="X533" s="65"/>
      <c r="Y533" s="71" t="s">
        <v>1488</v>
      </c>
      <c r="Z533" s="65"/>
      <c r="AA533" s="65"/>
    </row>
    <row r="534" spans="1:28" ht="24.75" hidden="1" outlineLevel="1" x14ac:dyDescent="0.35">
      <c r="A534" s="79"/>
      <c r="B534" s="79"/>
      <c r="C534" s="80" t="s">
        <v>1050</v>
      </c>
      <c r="D534" s="80" t="s">
        <v>1489</v>
      </c>
      <c r="E534" s="221" t="s">
        <v>1246</v>
      </c>
      <c r="F534" s="223">
        <f>884*8</f>
        <v>7072</v>
      </c>
      <c r="G534" s="68">
        <v>32</v>
      </c>
      <c r="H534" s="68">
        <v>1</v>
      </c>
      <c r="I534" s="68">
        <v>0</v>
      </c>
      <c r="J534" s="68">
        <v>0</v>
      </c>
      <c r="K534" s="68">
        <f>(POWER(2,G534)-1)*H534+I534</f>
        <v>4294967295</v>
      </c>
      <c r="L534" s="68">
        <v>0</v>
      </c>
      <c r="M534" s="69" t="s">
        <v>354</v>
      </c>
      <c r="N534" s="68">
        <f t="shared" ref="N534:N586" si="151">LEN(K534)</f>
        <v>10</v>
      </c>
      <c r="O534" s="68"/>
      <c r="P534" s="68"/>
      <c r="Q534" s="68"/>
      <c r="R534" s="79"/>
      <c r="S534" s="80" t="s">
        <v>1046</v>
      </c>
      <c r="T534" s="246" t="s">
        <v>632</v>
      </c>
      <c r="U534" s="81" t="s">
        <v>352</v>
      </c>
      <c r="V534" s="81" t="s">
        <v>352</v>
      </c>
      <c r="W534" s="360" t="s">
        <v>2200</v>
      </c>
      <c r="X534" s="79"/>
      <c r="Y534" s="80" t="s">
        <v>1489</v>
      </c>
      <c r="Z534" s="79"/>
      <c r="AA534" s="79"/>
    </row>
    <row r="535" spans="1:28" ht="24.75" collapsed="1" x14ac:dyDescent="0.35">
      <c r="A535" s="358" t="s">
        <v>1040</v>
      </c>
      <c r="B535" s="359" t="str">
        <f>VLOOKUP(A535,'Message ID'!A:O,2,FALSE)</f>
        <v>电芯温度、极柱温度、Pack正负极连接件温度、PCB板温及其有效性</v>
      </c>
      <c r="C535" s="74"/>
      <c r="D535" s="74"/>
      <c r="E535" s="239">
        <v>1204</v>
      </c>
      <c r="F535" s="237"/>
      <c r="G535" s="238"/>
      <c r="H535" s="238"/>
      <c r="I535" s="238"/>
      <c r="J535" s="238"/>
      <c r="K535" s="238"/>
      <c r="L535" s="238"/>
      <c r="M535" s="238"/>
      <c r="N535" s="239">
        <f>N536*416+N537*64+N538*16+N539*32+N540*32</f>
        <v>2672</v>
      </c>
      <c r="O535" s="240"/>
      <c r="P535" s="238"/>
      <c r="Q535" s="238"/>
      <c r="R535" s="74"/>
      <c r="S535" s="74"/>
      <c r="T535" s="241"/>
      <c r="U535" s="242"/>
      <c r="V535" s="242"/>
      <c r="W535" s="243"/>
      <c r="X535" s="243"/>
      <c r="Y535" s="74"/>
      <c r="Z535" s="243"/>
      <c r="AA535" s="243"/>
    </row>
    <row r="536" spans="1:28" ht="53.55" hidden="1" customHeight="1" outlineLevel="1" x14ac:dyDescent="0.35">
      <c r="A536" s="40"/>
      <c r="B536" s="41"/>
      <c r="C536" s="158" t="s">
        <v>1059</v>
      </c>
      <c r="D536" s="40" t="s">
        <v>1362</v>
      </c>
      <c r="E536" s="229" t="s">
        <v>1060</v>
      </c>
      <c r="F536" s="43">
        <v>0</v>
      </c>
      <c r="G536" s="44">
        <v>16</v>
      </c>
      <c r="H536" s="44">
        <v>0.1</v>
      </c>
      <c r="I536" s="44">
        <v>-40</v>
      </c>
      <c r="J536" s="44">
        <v>-40</v>
      </c>
      <c r="K536" s="213">
        <v>125.1</v>
      </c>
      <c r="L536" s="44">
        <v>0</v>
      </c>
      <c r="M536" s="41" t="s">
        <v>113</v>
      </c>
      <c r="N536" s="44">
        <f t="shared" si="151"/>
        <v>5</v>
      </c>
      <c r="O536" s="49"/>
      <c r="P536" s="41"/>
      <c r="Q536" s="41" t="s">
        <v>1098</v>
      </c>
      <c r="R536" s="120" t="s">
        <v>1062</v>
      </c>
      <c r="S536" s="40" t="s">
        <v>1047</v>
      </c>
      <c r="T536" s="46" t="s">
        <v>1228</v>
      </c>
      <c r="U536" s="47" t="s">
        <v>352</v>
      </c>
      <c r="V536" s="47" t="s">
        <v>352</v>
      </c>
      <c r="W536" s="327" t="s">
        <v>2200</v>
      </c>
      <c r="X536" s="48"/>
      <c r="Y536" s="40" t="s">
        <v>1362</v>
      </c>
      <c r="Z536" s="48"/>
      <c r="AA536" s="48"/>
    </row>
    <row r="537" spans="1:28" ht="24.75" hidden="1" outlineLevel="1" x14ac:dyDescent="0.35">
      <c r="A537" s="50"/>
      <c r="B537" s="50"/>
      <c r="C537" s="158" t="s">
        <v>1575</v>
      </c>
      <c r="D537" s="40" t="s">
        <v>1576</v>
      </c>
      <c r="E537" s="229" t="s">
        <v>1577</v>
      </c>
      <c r="F537" s="227">
        <f>832*8</f>
        <v>6656</v>
      </c>
      <c r="G537" s="44">
        <v>16</v>
      </c>
      <c r="H537" s="44">
        <v>0.1</v>
      </c>
      <c r="I537" s="44">
        <v>-40</v>
      </c>
      <c r="J537" s="44">
        <v>-40</v>
      </c>
      <c r="K537" s="213">
        <v>125.1</v>
      </c>
      <c r="L537" s="44">
        <v>0</v>
      </c>
      <c r="M537" s="41" t="s">
        <v>113</v>
      </c>
      <c r="N537" s="44">
        <f t="shared" si="151"/>
        <v>5</v>
      </c>
      <c r="O537" s="49"/>
      <c r="P537" s="41"/>
      <c r="Q537" s="41" t="s">
        <v>1098</v>
      </c>
      <c r="R537" s="119"/>
      <c r="S537" s="40" t="s">
        <v>1580</v>
      </c>
      <c r="T537" s="47" t="s">
        <v>352</v>
      </c>
      <c r="U537" s="47" t="s">
        <v>352</v>
      </c>
      <c r="V537" s="47" t="s">
        <v>352</v>
      </c>
      <c r="W537" s="327" t="s">
        <v>2200</v>
      </c>
      <c r="X537" s="48"/>
      <c r="Y537" s="40" t="s">
        <v>1576</v>
      </c>
      <c r="Z537" s="48"/>
      <c r="AA537" s="48"/>
    </row>
    <row r="538" spans="1:28" ht="24.75" hidden="1" outlineLevel="1" x14ac:dyDescent="0.35">
      <c r="A538" s="354"/>
      <c r="B538" s="354"/>
      <c r="C538" s="172" t="s">
        <v>1067</v>
      </c>
      <c r="D538" s="55" t="s">
        <v>1363</v>
      </c>
      <c r="E538" s="355" t="s">
        <v>1578</v>
      </c>
      <c r="F538" s="356">
        <f>1088*8</f>
        <v>8704</v>
      </c>
      <c r="G538" s="59">
        <v>16</v>
      </c>
      <c r="H538" s="59">
        <v>0.1</v>
      </c>
      <c r="I538" s="59">
        <v>-40</v>
      </c>
      <c r="J538" s="59">
        <v>-40</v>
      </c>
      <c r="K538" s="357">
        <v>125.1</v>
      </c>
      <c r="L538" s="59">
        <v>0</v>
      </c>
      <c r="M538" s="57" t="s">
        <v>113</v>
      </c>
      <c r="N538" s="59">
        <f t="shared" si="151"/>
        <v>5</v>
      </c>
      <c r="O538" s="56"/>
      <c r="P538" s="57"/>
      <c r="Q538" s="57" t="s">
        <v>1098</v>
      </c>
      <c r="R538" s="282"/>
      <c r="S538" s="55" t="s">
        <v>1053</v>
      </c>
      <c r="T538" s="58" t="s">
        <v>352</v>
      </c>
      <c r="U538" s="58" t="s">
        <v>352</v>
      </c>
      <c r="V538" s="58" t="s">
        <v>352</v>
      </c>
      <c r="W538" s="349" t="s">
        <v>2200</v>
      </c>
      <c r="X538" s="60"/>
      <c r="Y538" s="55" t="s">
        <v>1363</v>
      </c>
      <c r="Z538" s="60"/>
      <c r="AA538" s="60"/>
    </row>
    <row r="539" spans="1:28" ht="24.75" hidden="1" outlineLevel="1" x14ac:dyDescent="0.35">
      <c r="A539" s="79"/>
      <c r="B539" s="79"/>
      <c r="C539" s="279" t="s">
        <v>1051</v>
      </c>
      <c r="D539" s="71" t="s">
        <v>1364</v>
      </c>
      <c r="E539" s="220" t="s">
        <v>1579</v>
      </c>
      <c r="F539" s="223">
        <f>1120*8</f>
        <v>8960</v>
      </c>
      <c r="G539" s="68">
        <v>1</v>
      </c>
      <c r="H539" s="68">
        <v>1</v>
      </c>
      <c r="I539" s="68">
        <v>0</v>
      </c>
      <c r="J539" s="68">
        <v>0</v>
      </c>
      <c r="K539" s="68">
        <f t="shared" ref="K539" si="152">(POWER(2,G539)-1)*H539+I539</f>
        <v>1</v>
      </c>
      <c r="L539" s="68">
        <v>0</v>
      </c>
      <c r="M539" s="69" t="s">
        <v>938</v>
      </c>
      <c r="N539" s="68">
        <f t="shared" si="151"/>
        <v>1</v>
      </c>
      <c r="O539" s="72"/>
      <c r="P539" s="69"/>
      <c r="Q539" s="69"/>
      <c r="R539" s="288"/>
      <c r="S539" s="71" t="s">
        <v>1624</v>
      </c>
      <c r="T539" s="81" t="s">
        <v>352</v>
      </c>
      <c r="U539" s="81" t="s">
        <v>352</v>
      </c>
      <c r="V539" s="81" t="s">
        <v>352</v>
      </c>
      <c r="W539" s="360" t="s">
        <v>2199</v>
      </c>
      <c r="X539" s="79"/>
      <c r="Y539" s="71" t="s">
        <v>1364</v>
      </c>
      <c r="Z539" s="79"/>
      <c r="AA539" s="79"/>
    </row>
    <row r="540" spans="1:28" ht="24.75" hidden="1" outlineLevel="1" x14ac:dyDescent="0.35">
      <c r="A540" s="79"/>
      <c r="B540" s="79"/>
      <c r="C540" s="279" t="s">
        <v>1052</v>
      </c>
      <c r="D540" s="71" t="s">
        <v>1365</v>
      </c>
      <c r="E540" s="220" t="s">
        <v>1625</v>
      </c>
      <c r="F540" s="223">
        <f>1124*8</f>
        <v>8992</v>
      </c>
      <c r="G540" s="68">
        <v>16</v>
      </c>
      <c r="H540" s="68">
        <v>0.1</v>
      </c>
      <c r="I540" s="68">
        <v>-40</v>
      </c>
      <c r="J540" s="68">
        <v>-40</v>
      </c>
      <c r="K540" s="224">
        <v>125.1</v>
      </c>
      <c r="L540" s="68">
        <v>0</v>
      </c>
      <c r="M540" s="69" t="s">
        <v>742</v>
      </c>
      <c r="N540" s="68">
        <f t="shared" si="151"/>
        <v>5</v>
      </c>
      <c r="O540" s="72"/>
      <c r="P540" s="69"/>
      <c r="Q540" s="69"/>
      <c r="R540" s="288"/>
      <c r="S540" s="71" t="s">
        <v>1623</v>
      </c>
      <c r="T540" s="81" t="s">
        <v>352</v>
      </c>
      <c r="U540" s="81" t="s">
        <v>352</v>
      </c>
      <c r="V540" s="81" t="s">
        <v>352</v>
      </c>
      <c r="W540" s="360" t="s">
        <v>2200</v>
      </c>
      <c r="X540" s="79"/>
      <c r="Y540" s="71" t="s">
        <v>1365</v>
      </c>
      <c r="Z540" s="79"/>
      <c r="AA540" s="79"/>
    </row>
    <row r="541" spans="1:28" ht="24.75" hidden="1" outlineLevel="1" x14ac:dyDescent="0.35">
      <c r="A541" s="79"/>
      <c r="B541" s="79"/>
      <c r="C541" s="279" t="s">
        <v>2271</v>
      </c>
      <c r="D541" s="71" t="s">
        <v>2273</v>
      </c>
      <c r="E541" s="220" t="s">
        <v>2274</v>
      </c>
      <c r="F541" s="223">
        <f>1188*8</f>
        <v>9504</v>
      </c>
      <c r="G541" s="68">
        <v>16</v>
      </c>
      <c r="H541" s="68">
        <v>0.1</v>
      </c>
      <c r="I541" s="68">
        <v>-40</v>
      </c>
      <c r="J541" s="68">
        <v>-40</v>
      </c>
      <c r="K541" s="224">
        <v>125.1</v>
      </c>
      <c r="L541" s="68">
        <v>0</v>
      </c>
      <c r="M541" s="69" t="s">
        <v>1605</v>
      </c>
      <c r="N541" s="68">
        <f t="shared" si="151"/>
        <v>5</v>
      </c>
      <c r="O541" s="72"/>
      <c r="P541" s="69"/>
      <c r="Q541" s="69" t="s">
        <v>1098</v>
      </c>
      <c r="R541" s="288"/>
      <c r="S541" s="71" t="s">
        <v>2272</v>
      </c>
      <c r="T541" s="81" t="s">
        <v>632</v>
      </c>
      <c r="U541" s="81" t="s">
        <v>632</v>
      </c>
      <c r="V541" s="81" t="s">
        <v>632</v>
      </c>
      <c r="W541" s="360" t="s">
        <v>2200</v>
      </c>
      <c r="X541" s="79"/>
      <c r="Y541" s="71" t="s">
        <v>2273</v>
      </c>
      <c r="Z541" s="79"/>
      <c r="AA541" s="79"/>
    </row>
    <row r="542" spans="1:28" collapsed="1" x14ac:dyDescent="0.35">
      <c r="A542" s="358" t="s">
        <v>1087</v>
      </c>
      <c r="B542" s="359" t="str">
        <f>VLOOKUP(A542,'Message ID'!A:O,2,FALSE)</f>
        <v>模型调试信息</v>
      </c>
      <c r="C542" s="74"/>
      <c r="D542" s="74"/>
      <c r="E542" s="239">
        <v>64</v>
      </c>
      <c r="F542" s="237"/>
      <c r="G542" s="238"/>
      <c r="H542" s="238"/>
      <c r="I542" s="238"/>
      <c r="J542" s="238"/>
      <c r="K542" s="238"/>
      <c r="L542" s="238"/>
      <c r="M542" s="238"/>
      <c r="N542" s="239">
        <f>SUM(N543:N567)</f>
        <v>77</v>
      </c>
      <c r="O542" s="240"/>
      <c r="P542" s="238"/>
      <c r="Q542" s="238"/>
      <c r="R542" s="74"/>
      <c r="S542" s="74"/>
      <c r="T542" s="241"/>
      <c r="U542" s="242"/>
      <c r="V542" s="242"/>
      <c r="W542" s="243"/>
      <c r="X542" s="243"/>
      <c r="Y542" s="74"/>
      <c r="Z542" s="243"/>
      <c r="AA542" s="243"/>
    </row>
    <row r="543" spans="1:28" ht="24.75" hidden="1" outlineLevel="1" x14ac:dyDescent="0.35">
      <c r="A543" s="354"/>
      <c r="B543" s="354"/>
      <c r="C543" s="172" t="s">
        <v>1091</v>
      </c>
      <c r="D543" s="55" t="s">
        <v>1373</v>
      </c>
      <c r="E543" s="59">
        <f>IF(INT((F543 + G543-1) / 8) + 1 = INT(F543 / 8) + 1, INT(F543 / 8) + 1, INT(F543 / 8) + 1 &amp; "-" &amp; INT((F543 + G543 - 1) / 8) + 1)</f>
        <v>1</v>
      </c>
      <c r="F543" s="296">
        <v>0</v>
      </c>
      <c r="G543" s="59">
        <v>1</v>
      </c>
      <c r="H543" s="59">
        <v>1</v>
      </c>
      <c r="I543" s="59">
        <v>0</v>
      </c>
      <c r="J543" s="59">
        <v>0</v>
      </c>
      <c r="K543" s="59">
        <f>(POWER(2,G543)-1)*H543+I543</f>
        <v>1</v>
      </c>
      <c r="L543" s="59">
        <v>0</v>
      </c>
      <c r="M543" s="57" t="s">
        <v>1094</v>
      </c>
      <c r="N543" s="59">
        <f t="shared" si="151"/>
        <v>1</v>
      </c>
      <c r="O543" s="56"/>
      <c r="P543" s="57"/>
      <c r="Q543" s="57"/>
      <c r="R543" s="282"/>
      <c r="S543" s="172" t="s">
        <v>1091</v>
      </c>
      <c r="T543" s="58" t="s">
        <v>352</v>
      </c>
      <c r="U543" s="58" t="s">
        <v>352</v>
      </c>
      <c r="V543" s="58" t="s">
        <v>352</v>
      </c>
      <c r="W543" s="60"/>
      <c r="X543" s="60"/>
      <c r="Y543" s="55" t="s">
        <v>1373</v>
      </c>
      <c r="Z543" s="60"/>
      <c r="AA543" s="60"/>
    </row>
    <row r="544" spans="1:28" ht="24.75" hidden="1" outlineLevel="1" x14ac:dyDescent="0.35">
      <c r="A544" s="105"/>
      <c r="B544" s="105"/>
      <c r="C544" s="279" t="s">
        <v>1510</v>
      </c>
      <c r="D544" s="71" t="s">
        <v>1375</v>
      </c>
      <c r="E544" s="68">
        <f t="shared" ref="E544:E545" si="153">IF(INT((F544 + G544-1) / 8) + 1 = INT(F544 / 8) + 1, INT(F544 / 8) + 1, INT(F544 / 8) + 1 &amp; "-" &amp; INT((F544 + G544 - 1) / 8) + 1)</f>
        <v>1</v>
      </c>
      <c r="F544" s="70">
        <f>F543+G543</f>
        <v>1</v>
      </c>
      <c r="G544" s="68">
        <v>1</v>
      </c>
      <c r="H544" s="68">
        <v>1</v>
      </c>
      <c r="I544" s="68">
        <v>0</v>
      </c>
      <c r="J544" s="68">
        <v>0</v>
      </c>
      <c r="K544" s="68">
        <f t="shared" ref="K544:K560" si="154">(POWER(2,G544)-1)*H544+I544</f>
        <v>1</v>
      </c>
      <c r="L544" s="68">
        <v>0</v>
      </c>
      <c r="M544" s="69" t="s">
        <v>1094</v>
      </c>
      <c r="N544" s="68">
        <f t="shared" si="151"/>
        <v>1</v>
      </c>
      <c r="O544" s="72"/>
      <c r="P544" s="69"/>
      <c r="Q544" s="69"/>
      <c r="R544" s="288"/>
      <c r="S544" s="279" t="s">
        <v>1510</v>
      </c>
      <c r="T544" s="67" t="s">
        <v>352</v>
      </c>
      <c r="U544" s="67" t="s">
        <v>352</v>
      </c>
      <c r="V544" s="67" t="s">
        <v>352</v>
      </c>
      <c r="W544" s="65"/>
      <c r="X544" s="65"/>
      <c r="Y544" s="71" t="s">
        <v>1375</v>
      </c>
      <c r="Z544" s="65"/>
      <c r="AA544" s="65"/>
    </row>
    <row r="545" spans="1:27" ht="24.75" hidden="1" outlineLevel="1" x14ac:dyDescent="0.35">
      <c r="A545" s="79"/>
      <c r="B545" s="79"/>
      <c r="C545" s="279" t="s">
        <v>1511</v>
      </c>
      <c r="D545" s="71" t="s">
        <v>1374</v>
      </c>
      <c r="E545" s="68">
        <f t="shared" si="153"/>
        <v>1</v>
      </c>
      <c r="F545" s="70">
        <f t="shared" ref="F545:F547" si="155">F544+G544</f>
        <v>2</v>
      </c>
      <c r="G545" s="68">
        <v>1</v>
      </c>
      <c r="H545" s="68">
        <v>1</v>
      </c>
      <c r="I545" s="68">
        <v>0</v>
      </c>
      <c r="J545" s="68">
        <v>0</v>
      </c>
      <c r="K545" s="68">
        <f t="shared" si="154"/>
        <v>1</v>
      </c>
      <c r="L545" s="68">
        <v>0</v>
      </c>
      <c r="M545" s="69" t="s">
        <v>938</v>
      </c>
      <c r="N545" s="68">
        <f t="shared" si="151"/>
        <v>1</v>
      </c>
      <c r="O545" s="72"/>
      <c r="P545" s="69"/>
      <c r="Q545" s="69"/>
      <c r="R545" s="288"/>
      <c r="S545" s="279" t="s">
        <v>1511</v>
      </c>
      <c r="T545" s="81" t="s">
        <v>352</v>
      </c>
      <c r="U545" s="81" t="s">
        <v>352</v>
      </c>
      <c r="V545" s="81" t="s">
        <v>352</v>
      </c>
      <c r="W545" s="79"/>
      <c r="X545" s="79"/>
      <c r="Y545" s="71" t="s">
        <v>1374</v>
      </c>
      <c r="Z545" s="79"/>
      <c r="AA545" s="79"/>
    </row>
    <row r="546" spans="1:27" ht="24.75" hidden="1" outlineLevel="1" x14ac:dyDescent="0.35">
      <c r="A546" s="79"/>
      <c r="B546" s="79"/>
      <c r="C546" s="279" t="s">
        <v>1512</v>
      </c>
      <c r="D546" s="71" t="s">
        <v>1513</v>
      </c>
      <c r="E546" s="68">
        <f>IF(INT((F546 + G546-1) / 8) + 1 = INT(F546 / 8) + 1, INT(F546 / 8) + 1, INT(F546 / 8) + 1 &amp; "-" &amp; INT((F546 + G546 - 1) / 8) + 1)</f>
        <v>1</v>
      </c>
      <c r="F546" s="70">
        <f t="shared" si="155"/>
        <v>3</v>
      </c>
      <c r="G546" s="68">
        <v>1</v>
      </c>
      <c r="H546" s="68">
        <v>1</v>
      </c>
      <c r="I546" s="68">
        <v>0</v>
      </c>
      <c r="J546" s="68">
        <v>0</v>
      </c>
      <c r="K546" s="68">
        <f>(POWER(2,G546)-1)*H546+I546</f>
        <v>1</v>
      </c>
      <c r="L546" s="68">
        <v>0</v>
      </c>
      <c r="M546" s="69" t="s">
        <v>938</v>
      </c>
      <c r="N546" s="68">
        <f t="shared" si="151"/>
        <v>1</v>
      </c>
      <c r="O546" s="72"/>
      <c r="P546" s="69"/>
      <c r="Q546" s="69"/>
      <c r="R546" s="288"/>
      <c r="S546" s="279" t="s">
        <v>1512</v>
      </c>
      <c r="T546" s="67" t="s">
        <v>352</v>
      </c>
      <c r="U546" s="67" t="s">
        <v>352</v>
      </c>
      <c r="V546" s="67" t="s">
        <v>352</v>
      </c>
      <c r="W546" s="79"/>
      <c r="X546" s="79"/>
      <c r="Y546" s="71" t="s">
        <v>1513</v>
      </c>
      <c r="Z546" s="79"/>
      <c r="AA546" s="79"/>
    </row>
    <row r="547" spans="1:27" s="231" customFormat="1" ht="24.75" hidden="1" outlineLevel="1" x14ac:dyDescent="0.35">
      <c r="A547" s="219"/>
      <c r="B547" s="219"/>
      <c r="C547" s="302" t="s">
        <v>948</v>
      </c>
      <c r="D547" s="222" t="s">
        <v>1267</v>
      </c>
      <c r="E547" s="224">
        <f t="shared" ref="E547" si="156">IF(INT((F547 + G547-1) / 8) + 1 = INT(F547 / 8) + 1, INT(F547 / 8) + 1, INT(F547 / 8) + 1 &amp; "-" &amp; INT((F547 + G547 - 1) / 8) + 1)</f>
        <v>1</v>
      </c>
      <c r="F547" s="223">
        <f t="shared" si="155"/>
        <v>4</v>
      </c>
      <c r="G547" s="224">
        <v>4</v>
      </c>
      <c r="H547" s="224">
        <v>1</v>
      </c>
      <c r="I547" s="224">
        <v>0</v>
      </c>
      <c r="J547" s="224">
        <v>0</v>
      </c>
      <c r="K547" s="224">
        <f t="shared" ref="K547" si="157">(POWER(2,G547)-1)*H547+I547</f>
        <v>15</v>
      </c>
      <c r="L547" s="224">
        <v>0</v>
      </c>
      <c r="M547" s="220" t="s">
        <v>352</v>
      </c>
      <c r="N547" s="224">
        <v>0</v>
      </c>
      <c r="O547" s="303"/>
      <c r="P547" s="220"/>
      <c r="Q547" s="220"/>
      <c r="R547" s="304"/>
      <c r="S547" s="302" t="s">
        <v>352</v>
      </c>
      <c r="T547" s="380" t="s">
        <v>352</v>
      </c>
      <c r="U547" s="380" t="s">
        <v>352</v>
      </c>
      <c r="V547" s="380" t="s">
        <v>352</v>
      </c>
      <c r="W547" s="219"/>
      <c r="X547" s="219"/>
      <c r="Y547" s="222" t="s">
        <v>1267</v>
      </c>
      <c r="Z547" s="219"/>
      <c r="AA547" s="219"/>
    </row>
    <row r="548" spans="1:27" ht="24.75" hidden="1" outlineLevel="1" x14ac:dyDescent="0.35">
      <c r="A548" s="105"/>
      <c r="B548" s="105"/>
      <c r="C548" s="279" t="s">
        <v>1092</v>
      </c>
      <c r="D548" s="71" t="s">
        <v>1376</v>
      </c>
      <c r="E548" s="68">
        <f t="shared" ref="E548:E566" si="158">IF(INT((F548 + G548-1) / 8) + 1 = INT(F548 / 8) + 1, INT(F548 / 8) + 1, INT(F548 / 8) + 1 &amp; "-" &amp; INT((F548 + G548 - 1) / 8) + 1)</f>
        <v>2</v>
      </c>
      <c r="F548" s="70">
        <f t="shared" ref="F548:F566" si="159">F547+G547</f>
        <v>8</v>
      </c>
      <c r="G548" s="68">
        <v>8</v>
      </c>
      <c r="H548" s="68">
        <v>1</v>
      </c>
      <c r="I548" s="68">
        <v>0</v>
      </c>
      <c r="J548" s="68">
        <v>0</v>
      </c>
      <c r="K548" s="68">
        <f t="shared" si="154"/>
        <v>255</v>
      </c>
      <c r="L548" s="68">
        <v>0</v>
      </c>
      <c r="M548" s="69" t="s">
        <v>932</v>
      </c>
      <c r="N548" s="68">
        <f t="shared" si="151"/>
        <v>3</v>
      </c>
      <c r="O548" s="72" t="s">
        <v>1378</v>
      </c>
      <c r="P548" s="69"/>
      <c r="Q548" s="69"/>
      <c r="R548" s="288"/>
      <c r="S548" s="279" t="s">
        <v>1092</v>
      </c>
      <c r="T548" s="81" t="s">
        <v>352</v>
      </c>
      <c r="U548" s="81" t="s">
        <v>352</v>
      </c>
      <c r="V548" s="81" t="s">
        <v>352</v>
      </c>
      <c r="W548" s="65"/>
      <c r="X548" s="65"/>
      <c r="Y548" s="71" t="s">
        <v>1376</v>
      </c>
      <c r="Z548" s="65"/>
      <c r="AA548" s="65"/>
    </row>
    <row r="549" spans="1:27" ht="24.75" hidden="1" outlineLevel="1" x14ac:dyDescent="0.35">
      <c r="A549" s="79"/>
      <c r="B549" s="79"/>
      <c r="C549" s="279" t="s">
        <v>1093</v>
      </c>
      <c r="D549" s="71" t="s">
        <v>1377</v>
      </c>
      <c r="E549" s="68">
        <f t="shared" si="158"/>
        <v>3</v>
      </c>
      <c r="F549" s="70">
        <f t="shared" si="159"/>
        <v>16</v>
      </c>
      <c r="G549" s="68">
        <v>8</v>
      </c>
      <c r="H549" s="68">
        <v>1</v>
      </c>
      <c r="I549" s="68">
        <v>0</v>
      </c>
      <c r="J549" s="68">
        <v>0</v>
      </c>
      <c r="K549" s="68">
        <f t="shared" si="154"/>
        <v>255</v>
      </c>
      <c r="L549" s="68">
        <v>0</v>
      </c>
      <c r="M549" s="69" t="s">
        <v>932</v>
      </c>
      <c r="N549" s="68">
        <f t="shared" si="151"/>
        <v>3</v>
      </c>
      <c r="O549" s="72"/>
      <c r="P549" s="69"/>
      <c r="Q549" s="69"/>
      <c r="R549" s="288"/>
      <c r="S549" s="279" t="s">
        <v>1093</v>
      </c>
      <c r="T549" s="67" t="s">
        <v>352</v>
      </c>
      <c r="U549" s="67" t="s">
        <v>352</v>
      </c>
      <c r="V549" s="67" t="s">
        <v>352</v>
      </c>
      <c r="W549" s="79"/>
      <c r="X549" s="79"/>
      <c r="Y549" s="71" t="s">
        <v>1377</v>
      </c>
      <c r="Z549" s="79"/>
      <c r="AA549" s="79"/>
    </row>
    <row r="550" spans="1:27" ht="24.75" hidden="1" outlineLevel="1" x14ac:dyDescent="0.35">
      <c r="A550" s="79"/>
      <c r="B550" s="79"/>
      <c r="C550" s="279" t="s">
        <v>1519</v>
      </c>
      <c r="D550" s="71" t="s">
        <v>1687</v>
      </c>
      <c r="E550" s="68" t="str">
        <f t="shared" si="158"/>
        <v>4-5</v>
      </c>
      <c r="F550" s="70">
        <f t="shared" si="159"/>
        <v>24</v>
      </c>
      <c r="G550" s="68">
        <v>16</v>
      </c>
      <c r="H550" s="68">
        <v>0.1</v>
      </c>
      <c r="I550" s="68">
        <v>0</v>
      </c>
      <c r="J550" s="68">
        <v>0</v>
      </c>
      <c r="K550" s="68">
        <f t="shared" si="154"/>
        <v>6553.5</v>
      </c>
      <c r="L550" s="68">
        <v>0</v>
      </c>
      <c r="M550" s="69" t="s">
        <v>355</v>
      </c>
      <c r="N550" s="68">
        <f t="shared" si="151"/>
        <v>6</v>
      </c>
      <c r="O550" s="72"/>
      <c r="P550" s="69"/>
      <c r="Q550" s="69"/>
      <c r="R550" s="288"/>
      <c r="S550" s="279" t="s">
        <v>1519</v>
      </c>
      <c r="T550" s="67" t="s">
        <v>352</v>
      </c>
      <c r="U550" s="67" t="s">
        <v>352</v>
      </c>
      <c r="V550" s="67" t="s">
        <v>352</v>
      </c>
      <c r="W550" s="79"/>
      <c r="X550" s="79"/>
      <c r="Y550" s="71" t="s">
        <v>1687</v>
      </c>
      <c r="Z550" s="79"/>
      <c r="AA550" s="79"/>
    </row>
    <row r="551" spans="1:27" ht="24.75" hidden="1" outlineLevel="1" x14ac:dyDescent="0.35">
      <c r="A551" s="79"/>
      <c r="B551" s="79"/>
      <c r="C551" s="279" t="s">
        <v>1514</v>
      </c>
      <c r="D551" s="71" t="s">
        <v>1686</v>
      </c>
      <c r="E551" s="68" t="str">
        <f t="shared" si="158"/>
        <v>6-7</v>
      </c>
      <c r="F551" s="70">
        <f t="shared" si="159"/>
        <v>40</v>
      </c>
      <c r="G551" s="68">
        <v>16</v>
      </c>
      <c r="H551" s="68">
        <v>0.1</v>
      </c>
      <c r="I551" s="68">
        <v>0</v>
      </c>
      <c r="J551" s="68">
        <v>0</v>
      </c>
      <c r="K551" s="68">
        <f t="shared" si="154"/>
        <v>6553.5</v>
      </c>
      <c r="L551" s="68">
        <v>0</v>
      </c>
      <c r="M551" s="69" t="s">
        <v>355</v>
      </c>
      <c r="N551" s="68">
        <f t="shared" si="151"/>
        <v>6</v>
      </c>
      <c r="O551" s="72"/>
      <c r="P551" s="69"/>
      <c r="Q551" s="69"/>
      <c r="R551" s="288"/>
      <c r="S551" s="279" t="s">
        <v>1514</v>
      </c>
      <c r="T551" s="67" t="s">
        <v>352</v>
      </c>
      <c r="U551" s="67" t="s">
        <v>352</v>
      </c>
      <c r="V551" s="67" t="s">
        <v>352</v>
      </c>
      <c r="W551" s="79"/>
      <c r="X551" s="79"/>
      <c r="Y551" s="71" t="s">
        <v>1686</v>
      </c>
      <c r="Z551" s="79"/>
      <c r="AA551" s="79"/>
    </row>
    <row r="552" spans="1:27" ht="24.75" hidden="1" outlineLevel="1" x14ac:dyDescent="0.35">
      <c r="A552" s="79"/>
      <c r="B552" s="79"/>
      <c r="C552" s="279" t="s">
        <v>1515</v>
      </c>
      <c r="D552" s="71" t="s">
        <v>1685</v>
      </c>
      <c r="E552" s="68" t="str">
        <f t="shared" si="158"/>
        <v>8-9</v>
      </c>
      <c r="F552" s="70">
        <f t="shared" si="159"/>
        <v>56</v>
      </c>
      <c r="G552" s="68">
        <v>16</v>
      </c>
      <c r="H552" s="68">
        <v>1</v>
      </c>
      <c r="I552" s="68">
        <v>0</v>
      </c>
      <c r="J552" s="68">
        <v>0</v>
      </c>
      <c r="K552" s="68">
        <f t="shared" si="154"/>
        <v>65535</v>
      </c>
      <c r="L552" s="68">
        <v>0</v>
      </c>
      <c r="M552" s="69" t="s">
        <v>354</v>
      </c>
      <c r="N552" s="68">
        <f t="shared" si="151"/>
        <v>5</v>
      </c>
      <c r="O552" s="72"/>
      <c r="P552" s="69"/>
      <c r="Q552" s="69"/>
      <c r="R552" s="288"/>
      <c r="S552" s="279" t="s">
        <v>1515</v>
      </c>
      <c r="T552" s="67" t="s">
        <v>352</v>
      </c>
      <c r="U552" s="67" t="s">
        <v>352</v>
      </c>
      <c r="V552" s="67" t="s">
        <v>352</v>
      </c>
      <c r="W552" s="79"/>
      <c r="X552" s="79"/>
      <c r="Y552" s="71" t="s">
        <v>1685</v>
      </c>
      <c r="Z552" s="79"/>
      <c r="AA552" s="79"/>
    </row>
    <row r="553" spans="1:27" ht="24.75" hidden="1" outlineLevel="1" x14ac:dyDescent="0.35">
      <c r="A553" s="79"/>
      <c r="B553" s="79"/>
      <c r="C553" s="279" t="s">
        <v>1516</v>
      </c>
      <c r="D553" s="71" t="s">
        <v>1682</v>
      </c>
      <c r="E553" s="68" t="str">
        <f t="shared" si="158"/>
        <v>10-11</v>
      </c>
      <c r="F553" s="70">
        <f t="shared" si="159"/>
        <v>72</v>
      </c>
      <c r="G553" s="68">
        <v>16</v>
      </c>
      <c r="H553" s="68">
        <v>0.1</v>
      </c>
      <c r="I553" s="68">
        <v>0</v>
      </c>
      <c r="J553" s="68">
        <v>0</v>
      </c>
      <c r="K553" s="68">
        <f t="shared" si="154"/>
        <v>6553.5</v>
      </c>
      <c r="L553" s="68">
        <v>0</v>
      </c>
      <c r="M553" s="69" t="s">
        <v>1522</v>
      </c>
      <c r="N553" s="68">
        <f t="shared" si="151"/>
        <v>6</v>
      </c>
      <c r="O553" s="72"/>
      <c r="P553" s="69"/>
      <c r="Q553" s="69"/>
      <c r="R553" s="288"/>
      <c r="S553" s="279" t="s">
        <v>1516</v>
      </c>
      <c r="T553" s="67" t="s">
        <v>352</v>
      </c>
      <c r="U553" s="67" t="s">
        <v>352</v>
      </c>
      <c r="V553" s="67" t="s">
        <v>352</v>
      </c>
      <c r="W553" s="79"/>
      <c r="X553" s="79"/>
      <c r="Y553" s="71" t="s">
        <v>1682</v>
      </c>
      <c r="Z553" s="79"/>
      <c r="AA553" s="79"/>
    </row>
    <row r="554" spans="1:27" ht="24.75" hidden="1" outlineLevel="1" x14ac:dyDescent="0.35">
      <c r="A554" s="79"/>
      <c r="B554" s="79"/>
      <c r="C554" s="279" t="s">
        <v>1517</v>
      </c>
      <c r="D554" s="71" t="s">
        <v>1683</v>
      </c>
      <c r="E554" s="68" t="str">
        <f t="shared" si="158"/>
        <v>12-13</v>
      </c>
      <c r="F554" s="70">
        <f t="shared" si="159"/>
        <v>88</v>
      </c>
      <c r="G554" s="68">
        <v>16</v>
      </c>
      <c r="H554" s="68">
        <v>0.1</v>
      </c>
      <c r="I554" s="68">
        <v>0</v>
      </c>
      <c r="J554" s="68">
        <v>0</v>
      </c>
      <c r="K554" s="68">
        <f t="shared" si="154"/>
        <v>6553.5</v>
      </c>
      <c r="L554" s="68">
        <v>0</v>
      </c>
      <c r="M554" s="69" t="s">
        <v>1522</v>
      </c>
      <c r="N554" s="68">
        <f t="shared" si="151"/>
        <v>6</v>
      </c>
      <c r="O554" s="72"/>
      <c r="P554" s="69"/>
      <c r="Q554" s="69"/>
      <c r="R554" s="288"/>
      <c r="S554" s="279" t="s">
        <v>1517</v>
      </c>
      <c r="T554" s="67" t="s">
        <v>352</v>
      </c>
      <c r="U554" s="67" t="s">
        <v>352</v>
      </c>
      <c r="V554" s="67" t="s">
        <v>352</v>
      </c>
      <c r="W554" s="79"/>
      <c r="X554" s="79"/>
      <c r="Y554" s="71" t="s">
        <v>1683</v>
      </c>
      <c r="Z554" s="79"/>
      <c r="AA554" s="79"/>
    </row>
    <row r="555" spans="1:27" ht="24.75" hidden="1" outlineLevel="1" x14ac:dyDescent="0.35">
      <c r="A555" s="79"/>
      <c r="B555" s="79"/>
      <c r="C555" s="279" t="s">
        <v>1518</v>
      </c>
      <c r="D555" s="71" t="s">
        <v>1684</v>
      </c>
      <c r="E555" s="68" t="str">
        <f t="shared" si="158"/>
        <v>14-15</v>
      </c>
      <c r="F555" s="70">
        <f t="shared" si="159"/>
        <v>104</v>
      </c>
      <c r="G555" s="68">
        <v>16</v>
      </c>
      <c r="H555" s="68">
        <v>0.1</v>
      </c>
      <c r="I555" s="68">
        <v>0</v>
      </c>
      <c r="J555" s="68">
        <v>0</v>
      </c>
      <c r="K555" s="68">
        <f t="shared" si="154"/>
        <v>6553.5</v>
      </c>
      <c r="L555" s="68">
        <v>0</v>
      </c>
      <c r="M555" s="69" t="s">
        <v>1522</v>
      </c>
      <c r="N555" s="68">
        <f t="shared" si="151"/>
        <v>6</v>
      </c>
      <c r="O555" s="72"/>
      <c r="P555" s="69"/>
      <c r="Q555" s="69"/>
      <c r="R555" s="288"/>
      <c r="S555" s="279" t="s">
        <v>1518</v>
      </c>
      <c r="T555" s="67" t="s">
        <v>352</v>
      </c>
      <c r="U555" s="67" t="s">
        <v>352</v>
      </c>
      <c r="V555" s="67" t="s">
        <v>352</v>
      </c>
      <c r="W555" s="79"/>
      <c r="X555" s="79"/>
      <c r="Y555" s="71" t="s">
        <v>1684</v>
      </c>
      <c r="Z555" s="79"/>
      <c r="AA555" s="79"/>
    </row>
    <row r="556" spans="1:27" ht="24.75" hidden="1" outlineLevel="1" x14ac:dyDescent="0.35">
      <c r="A556" s="79"/>
      <c r="B556" s="79"/>
      <c r="C556" s="279" t="s">
        <v>1520</v>
      </c>
      <c r="D556" s="71" t="s">
        <v>1521</v>
      </c>
      <c r="E556" s="68">
        <f t="shared" si="158"/>
        <v>16</v>
      </c>
      <c r="F556" s="70">
        <f t="shared" si="159"/>
        <v>120</v>
      </c>
      <c r="G556" s="68">
        <v>8</v>
      </c>
      <c r="H556" s="68">
        <v>1</v>
      </c>
      <c r="I556" s="68">
        <v>0</v>
      </c>
      <c r="J556" s="68">
        <v>0</v>
      </c>
      <c r="K556" s="68">
        <f t="shared" si="154"/>
        <v>255</v>
      </c>
      <c r="L556" s="68">
        <v>0</v>
      </c>
      <c r="M556" s="69" t="s">
        <v>932</v>
      </c>
      <c r="N556" s="68">
        <f t="shared" si="151"/>
        <v>3</v>
      </c>
      <c r="O556" s="72"/>
      <c r="P556" s="69"/>
      <c r="Q556" s="69"/>
      <c r="R556" s="288"/>
      <c r="S556" s="279" t="s">
        <v>1520</v>
      </c>
      <c r="T556" s="67" t="s">
        <v>352</v>
      </c>
      <c r="U556" s="67" t="s">
        <v>352</v>
      </c>
      <c r="V556" s="67" t="s">
        <v>352</v>
      </c>
      <c r="W556" s="79"/>
      <c r="X556" s="79"/>
      <c r="Y556" s="71" t="s">
        <v>1521</v>
      </c>
      <c r="Z556" s="79"/>
      <c r="AA556" s="79"/>
    </row>
    <row r="557" spans="1:27" ht="37.15" hidden="1" outlineLevel="1" x14ac:dyDescent="0.35">
      <c r="A557" s="79"/>
      <c r="B557" s="79"/>
      <c r="C557" s="279" t="s">
        <v>1759</v>
      </c>
      <c r="D557" s="80" t="s">
        <v>1771</v>
      </c>
      <c r="E557" s="68">
        <f t="shared" si="158"/>
        <v>17</v>
      </c>
      <c r="F557" s="70">
        <f t="shared" si="159"/>
        <v>128</v>
      </c>
      <c r="G557" s="68">
        <v>2</v>
      </c>
      <c r="H557" s="68">
        <v>1</v>
      </c>
      <c r="I557" s="68">
        <v>0</v>
      </c>
      <c r="J557" s="68">
        <v>0</v>
      </c>
      <c r="K557" s="68">
        <f t="shared" ref="K557:K558" si="160">(POWER(2,G557)-1)*H557+I557</f>
        <v>3</v>
      </c>
      <c r="L557" s="68">
        <v>0</v>
      </c>
      <c r="M557" s="69" t="s">
        <v>932</v>
      </c>
      <c r="N557" s="68">
        <f>LEN(K557)</f>
        <v>1</v>
      </c>
      <c r="O557" s="72" t="s">
        <v>1760</v>
      </c>
      <c r="P557" s="69"/>
      <c r="Q557" s="69"/>
      <c r="R557" s="288"/>
      <c r="S557" s="279" t="s">
        <v>1759</v>
      </c>
      <c r="T557" s="67" t="s">
        <v>352</v>
      </c>
      <c r="U557" s="67" t="s">
        <v>352</v>
      </c>
      <c r="V557" s="67" t="s">
        <v>352</v>
      </c>
      <c r="W557" s="79"/>
      <c r="X557" s="79"/>
      <c r="Y557" s="80" t="s">
        <v>1771</v>
      </c>
      <c r="Z557" s="79"/>
      <c r="AA557" s="79"/>
    </row>
    <row r="558" spans="1:27" ht="37.15" hidden="1" outlineLevel="1" x14ac:dyDescent="0.35">
      <c r="A558" s="79"/>
      <c r="B558" s="79"/>
      <c r="C558" s="279" t="s">
        <v>1761</v>
      </c>
      <c r="D558" s="80" t="s">
        <v>1770</v>
      </c>
      <c r="E558" s="68">
        <f t="shared" si="158"/>
        <v>17</v>
      </c>
      <c r="F558" s="70">
        <f t="shared" si="159"/>
        <v>130</v>
      </c>
      <c r="G558" s="68">
        <v>2</v>
      </c>
      <c r="H558" s="68">
        <v>1</v>
      </c>
      <c r="I558" s="68">
        <v>0</v>
      </c>
      <c r="J558" s="68">
        <v>0</v>
      </c>
      <c r="K558" s="68">
        <f t="shared" si="160"/>
        <v>3</v>
      </c>
      <c r="L558" s="68">
        <v>0</v>
      </c>
      <c r="M558" s="69" t="s">
        <v>932</v>
      </c>
      <c r="N558" s="68">
        <f>LEN(K558)</f>
        <v>1</v>
      </c>
      <c r="O558" s="72" t="s">
        <v>1760</v>
      </c>
      <c r="P558" s="69"/>
      <c r="Q558" s="69"/>
      <c r="R558" s="288"/>
      <c r="S558" s="279" t="s">
        <v>1761</v>
      </c>
      <c r="T558" s="67" t="s">
        <v>352</v>
      </c>
      <c r="U558" s="67" t="s">
        <v>352</v>
      </c>
      <c r="V558" s="67" t="s">
        <v>352</v>
      </c>
      <c r="W558" s="79"/>
      <c r="X558" s="79"/>
      <c r="Y558" s="80" t="s">
        <v>1770</v>
      </c>
      <c r="Z558" s="79"/>
      <c r="AA558" s="79"/>
    </row>
    <row r="559" spans="1:27" ht="24.75" hidden="1" outlineLevel="1" x14ac:dyDescent="0.35">
      <c r="A559" s="79"/>
      <c r="B559" s="79"/>
      <c r="C559" s="279" t="s">
        <v>1609</v>
      </c>
      <c r="D559" s="71" t="s">
        <v>1610</v>
      </c>
      <c r="E559" s="68">
        <f t="shared" si="158"/>
        <v>17</v>
      </c>
      <c r="F559" s="70">
        <f t="shared" si="159"/>
        <v>132</v>
      </c>
      <c r="G559" s="68">
        <v>1</v>
      </c>
      <c r="H559" s="68">
        <v>1</v>
      </c>
      <c r="I559" s="68">
        <v>0</v>
      </c>
      <c r="J559" s="68">
        <v>0</v>
      </c>
      <c r="K559" s="68">
        <f t="shared" si="154"/>
        <v>1</v>
      </c>
      <c r="L559" s="68">
        <v>0</v>
      </c>
      <c r="M559" s="69" t="s">
        <v>1094</v>
      </c>
      <c r="N559" s="68">
        <f t="shared" si="151"/>
        <v>1</v>
      </c>
      <c r="O559" s="72" t="s">
        <v>1611</v>
      </c>
      <c r="P559" s="69"/>
      <c r="Q559" s="69"/>
      <c r="R559" s="288"/>
      <c r="S559" s="279" t="s">
        <v>1609</v>
      </c>
      <c r="T559" s="67" t="s">
        <v>632</v>
      </c>
      <c r="U559" s="67" t="s">
        <v>632</v>
      </c>
      <c r="V559" s="67" t="s">
        <v>632</v>
      </c>
      <c r="W559" s="79"/>
      <c r="X559" s="79"/>
      <c r="Y559" s="71" t="s">
        <v>1610</v>
      </c>
      <c r="Z559" s="79"/>
      <c r="AA559" s="79"/>
    </row>
    <row r="560" spans="1:27" ht="24.75" hidden="1" outlineLevel="1" x14ac:dyDescent="0.35">
      <c r="A560" s="79"/>
      <c r="B560" s="79"/>
      <c r="C560" s="279" t="s">
        <v>1678</v>
      </c>
      <c r="D560" s="71" t="s">
        <v>1679</v>
      </c>
      <c r="E560" s="68">
        <f t="shared" si="158"/>
        <v>17</v>
      </c>
      <c r="F560" s="70">
        <f t="shared" si="159"/>
        <v>133</v>
      </c>
      <c r="G560" s="68">
        <v>1</v>
      </c>
      <c r="H560" s="68">
        <v>1</v>
      </c>
      <c r="I560" s="68">
        <v>0</v>
      </c>
      <c r="J560" s="68">
        <v>0</v>
      </c>
      <c r="K560" s="68">
        <f t="shared" si="154"/>
        <v>1</v>
      </c>
      <c r="L560" s="68">
        <v>0</v>
      </c>
      <c r="M560" s="69" t="s">
        <v>1094</v>
      </c>
      <c r="N560" s="68">
        <f t="shared" si="151"/>
        <v>1</v>
      </c>
      <c r="O560" s="72"/>
      <c r="P560" s="69"/>
      <c r="Q560" s="69"/>
      <c r="R560" s="288"/>
      <c r="S560" s="279" t="s">
        <v>1677</v>
      </c>
      <c r="T560" s="67" t="s">
        <v>632</v>
      </c>
      <c r="U560" s="67" t="s">
        <v>632</v>
      </c>
      <c r="V560" s="67" t="s">
        <v>632</v>
      </c>
      <c r="W560" s="79"/>
      <c r="X560" s="79"/>
      <c r="Y560" s="71" t="s">
        <v>1679</v>
      </c>
      <c r="Z560" s="79"/>
      <c r="AA560" s="79"/>
    </row>
    <row r="561" spans="1:27" s="231" customFormat="1" ht="24.75" hidden="1" outlineLevel="1" x14ac:dyDescent="0.35">
      <c r="A561" s="219"/>
      <c r="B561" s="219"/>
      <c r="C561" s="302" t="s">
        <v>1193</v>
      </c>
      <c r="D561" s="222" t="s">
        <v>1425</v>
      </c>
      <c r="E561" s="224">
        <f t="shared" si="158"/>
        <v>17</v>
      </c>
      <c r="F561" s="223">
        <f t="shared" si="159"/>
        <v>134</v>
      </c>
      <c r="G561" s="224">
        <v>2</v>
      </c>
      <c r="H561" s="224">
        <v>1</v>
      </c>
      <c r="I561" s="224">
        <v>0</v>
      </c>
      <c r="J561" s="224">
        <v>0</v>
      </c>
      <c r="K561" s="224">
        <f t="shared" ref="K561:K567" si="161">(POWER(2,G561)-1)*H561+I561</f>
        <v>3</v>
      </c>
      <c r="L561" s="224">
        <v>0</v>
      </c>
      <c r="M561" s="220" t="s">
        <v>352</v>
      </c>
      <c r="N561" s="224">
        <v>0</v>
      </c>
      <c r="O561" s="303"/>
      <c r="P561" s="220"/>
      <c r="Q561" s="220"/>
      <c r="R561" s="304"/>
      <c r="S561" s="302" t="s">
        <v>352</v>
      </c>
      <c r="T561" s="380" t="s">
        <v>352</v>
      </c>
      <c r="U561" s="380" t="s">
        <v>352</v>
      </c>
      <c r="V561" s="380" t="s">
        <v>352</v>
      </c>
      <c r="W561" s="219"/>
      <c r="X561" s="219"/>
      <c r="Y561" s="222" t="s">
        <v>1425</v>
      </c>
      <c r="Z561" s="219"/>
      <c r="AA561" s="219"/>
    </row>
    <row r="562" spans="1:27" ht="24.75" hidden="1" outlineLevel="1" x14ac:dyDescent="0.35">
      <c r="A562" s="79"/>
      <c r="B562" s="79"/>
      <c r="C562" s="279" t="s">
        <v>1680</v>
      </c>
      <c r="D562" s="71" t="s">
        <v>1681</v>
      </c>
      <c r="E562" s="68" t="str">
        <f t="shared" si="158"/>
        <v>18-21</v>
      </c>
      <c r="F562" s="70">
        <f t="shared" si="159"/>
        <v>136</v>
      </c>
      <c r="G562" s="68">
        <v>32</v>
      </c>
      <c r="H562" s="68">
        <v>1E-3</v>
      </c>
      <c r="I562" s="68">
        <v>-2000</v>
      </c>
      <c r="J562" s="68">
        <v>-2000</v>
      </c>
      <c r="K562" s="68">
        <f t="shared" si="161"/>
        <v>4292967.2949999999</v>
      </c>
      <c r="L562" s="68">
        <v>0</v>
      </c>
      <c r="M562" s="69" t="s">
        <v>1653</v>
      </c>
      <c r="N562" s="68">
        <f>LEN(K562)</f>
        <v>11</v>
      </c>
      <c r="O562" s="72"/>
      <c r="P562" s="69"/>
      <c r="Q562" s="69"/>
      <c r="R562" s="288"/>
      <c r="S562" s="279" t="s">
        <v>1680</v>
      </c>
      <c r="T562" s="67" t="s">
        <v>632</v>
      </c>
      <c r="U562" s="67" t="s">
        <v>632</v>
      </c>
      <c r="V562" s="67" t="s">
        <v>632</v>
      </c>
      <c r="W562" s="79"/>
      <c r="X562" s="79"/>
      <c r="Y562" s="71" t="s">
        <v>1681</v>
      </c>
      <c r="Z562" s="79"/>
      <c r="AA562" s="79"/>
    </row>
    <row r="563" spans="1:27" ht="37.15" hidden="1" outlineLevel="1" x14ac:dyDescent="0.35">
      <c r="A563" s="79"/>
      <c r="B563" s="79"/>
      <c r="C563" s="279" t="s">
        <v>1762</v>
      </c>
      <c r="D563" s="71" t="s">
        <v>1769</v>
      </c>
      <c r="E563" s="68">
        <f t="shared" si="158"/>
        <v>22</v>
      </c>
      <c r="F563" s="70">
        <f t="shared" si="159"/>
        <v>168</v>
      </c>
      <c r="G563" s="68">
        <v>2</v>
      </c>
      <c r="H563" s="68">
        <v>1</v>
      </c>
      <c r="I563" s="68">
        <v>0</v>
      </c>
      <c r="J563" s="68">
        <v>0</v>
      </c>
      <c r="K563" s="68">
        <f t="shared" si="161"/>
        <v>3</v>
      </c>
      <c r="L563" s="68">
        <v>0</v>
      </c>
      <c r="M563" s="69" t="s">
        <v>932</v>
      </c>
      <c r="N563" s="68">
        <f t="shared" ref="N563:N564" si="162">LEN(K563)</f>
        <v>1</v>
      </c>
      <c r="O563" s="72" t="s">
        <v>1760</v>
      </c>
      <c r="P563" s="69"/>
      <c r="Q563" s="69"/>
      <c r="R563" s="288"/>
      <c r="S563" s="279" t="s">
        <v>1762</v>
      </c>
      <c r="T563" s="67" t="s">
        <v>632</v>
      </c>
      <c r="U563" s="67" t="s">
        <v>632</v>
      </c>
      <c r="V563" s="67" t="s">
        <v>632</v>
      </c>
      <c r="W563" s="79"/>
      <c r="X563" s="79"/>
      <c r="Y563" s="71" t="s">
        <v>1769</v>
      </c>
      <c r="Z563" s="79"/>
      <c r="AA563" s="79"/>
    </row>
    <row r="564" spans="1:27" ht="37.15" hidden="1" outlineLevel="1" x14ac:dyDescent="0.35">
      <c r="A564" s="79"/>
      <c r="B564" s="79"/>
      <c r="C564" s="279" t="s">
        <v>1763</v>
      </c>
      <c r="D564" s="71" t="s">
        <v>1768</v>
      </c>
      <c r="E564" s="68">
        <f t="shared" si="158"/>
        <v>22</v>
      </c>
      <c r="F564" s="70">
        <f t="shared" si="159"/>
        <v>170</v>
      </c>
      <c r="G564" s="68">
        <v>2</v>
      </c>
      <c r="H564" s="68">
        <v>1</v>
      </c>
      <c r="I564" s="68">
        <v>0</v>
      </c>
      <c r="J564" s="68">
        <v>0</v>
      </c>
      <c r="K564" s="68">
        <f t="shared" si="161"/>
        <v>3</v>
      </c>
      <c r="L564" s="68">
        <v>0</v>
      </c>
      <c r="M564" s="69" t="s">
        <v>932</v>
      </c>
      <c r="N564" s="68">
        <f t="shared" si="162"/>
        <v>1</v>
      </c>
      <c r="O564" s="72" t="s">
        <v>1760</v>
      </c>
      <c r="P564" s="69"/>
      <c r="Q564" s="69"/>
      <c r="R564" s="288"/>
      <c r="S564" s="279" t="s">
        <v>1763</v>
      </c>
      <c r="T564" s="67" t="s">
        <v>632</v>
      </c>
      <c r="U564" s="67" t="s">
        <v>632</v>
      </c>
      <c r="V564" s="67" t="s">
        <v>632</v>
      </c>
      <c r="W564" s="79"/>
      <c r="X564" s="79"/>
      <c r="Y564" s="71" t="s">
        <v>1768</v>
      </c>
      <c r="Z564" s="79"/>
      <c r="AA564" s="79"/>
    </row>
    <row r="565" spans="1:27" ht="37.15" hidden="1" outlineLevel="1" x14ac:dyDescent="0.35">
      <c r="A565" s="79"/>
      <c r="B565" s="79"/>
      <c r="C565" s="279" t="s">
        <v>1764</v>
      </c>
      <c r="D565" s="80" t="s">
        <v>1766</v>
      </c>
      <c r="E565" s="68">
        <f t="shared" si="158"/>
        <v>22</v>
      </c>
      <c r="F565" s="70">
        <f t="shared" si="159"/>
        <v>172</v>
      </c>
      <c r="G565" s="68">
        <v>2</v>
      </c>
      <c r="H565" s="68">
        <v>1</v>
      </c>
      <c r="I565" s="68">
        <v>0</v>
      </c>
      <c r="J565" s="68">
        <v>0</v>
      </c>
      <c r="K565" s="68">
        <f t="shared" ref="K565" si="163">(POWER(2,G565)-1)*H565+I565</f>
        <v>3</v>
      </c>
      <c r="L565" s="68">
        <v>0</v>
      </c>
      <c r="M565" s="69" t="s">
        <v>932</v>
      </c>
      <c r="N565" s="68">
        <f>LEN(K565)</f>
        <v>1</v>
      </c>
      <c r="O565" s="72" t="s">
        <v>1760</v>
      </c>
      <c r="P565" s="69"/>
      <c r="Q565" s="69"/>
      <c r="R565" s="288"/>
      <c r="S565" s="279" t="s">
        <v>1764</v>
      </c>
      <c r="T565" s="67" t="s">
        <v>352</v>
      </c>
      <c r="U565" s="67" t="s">
        <v>352</v>
      </c>
      <c r="V565" s="67" t="s">
        <v>352</v>
      </c>
      <c r="W565" s="79"/>
      <c r="X565" s="79"/>
      <c r="Y565" s="80" t="s">
        <v>1766</v>
      </c>
      <c r="Z565" s="79"/>
      <c r="AA565" s="79"/>
    </row>
    <row r="566" spans="1:27" ht="37.15" hidden="1" outlineLevel="1" x14ac:dyDescent="0.35">
      <c r="A566" s="79"/>
      <c r="B566" s="79"/>
      <c r="C566" s="279" t="s">
        <v>1765</v>
      </c>
      <c r="D566" s="71" t="s">
        <v>1767</v>
      </c>
      <c r="E566" s="68">
        <f t="shared" si="158"/>
        <v>22</v>
      </c>
      <c r="F566" s="70">
        <f t="shared" si="159"/>
        <v>174</v>
      </c>
      <c r="G566" s="68">
        <v>2</v>
      </c>
      <c r="H566" s="68">
        <v>1</v>
      </c>
      <c r="I566" s="68">
        <v>0</v>
      </c>
      <c r="J566" s="68">
        <v>0</v>
      </c>
      <c r="K566" s="68">
        <f t="shared" si="161"/>
        <v>3</v>
      </c>
      <c r="L566" s="68">
        <v>0</v>
      </c>
      <c r="M566" s="69" t="s">
        <v>932</v>
      </c>
      <c r="N566" s="68">
        <f>LEN(K566)</f>
        <v>1</v>
      </c>
      <c r="O566" s="72" t="s">
        <v>1760</v>
      </c>
      <c r="P566" s="69"/>
      <c r="Q566" s="69"/>
      <c r="R566" s="288"/>
      <c r="S566" s="279" t="s">
        <v>1765</v>
      </c>
      <c r="T566" s="67" t="s">
        <v>352</v>
      </c>
      <c r="U566" s="67" t="s">
        <v>352</v>
      </c>
      <c r="V566" s="67" t="s">
        <v>352</v>
      </c>
      <c r="W566" s="79"/>
      <c r="X566" s="79"/>
      <c r="Y566" s="71" t="s">
        <v>1767</v>
      </c>
      <c r="Z566" s="79"/>
      <c r="AA566" s="79"/>
    </row>
    <row r="567" spans="1:27" ht="136.15" hidden="1" outlineLevel="1" x14ac:dyDescent="0.35">
      <c r="A567" s="79"/>
      <c r="B567" s="79"/>
      <c r="C567" s="279" t="s">
        <v>1774</v>
      </c>
      <c r="D567" s="71" t="s">
        <v>1772</v>
      </c>
      <c r="E567" s="68" t="str">
        <f t="shared" ref="E567" si="164">IF(INT((F567 + G567-1) / 8) + 1 = INT(F567 / 8) + 1, INT(F567 / 8) + 1, INT(F567 / 8) + 1 &amp; "-" &amp; INT((F567 + G567 - 1) / 8) + 1)</f>
        <v>23-26</v>
      </c>
      <c r="F567" s="70">
        <f t="shared" ref="F567" si="165">F566+G566</f>
        <v>176</v>
      </c>
      <c r="G567" s="68">
        <v>32</v>
      </c>
      <c r="H567" s="68">
        <v>1</v>
      </c>
      <c r="I567" s="68">
        <v>0</v>
      </c>
      <c r="J567" s="68">
        <v>0</v>
      </c>
      <c r="K567" s="68">
        <f t="shared" si="161"/>
        <v>4294967295</v>
      </c>
      <c r="L567" s="68">
        <v>0</v>
      </c>
      <c r="M567" s="69" t="s">
        <v>1724</v>
      </c>
      <c r="N567" s="68">
        <f t="shared" ref="N567:N571" si="166">LEN(K567)</f>
        <v>10</v>
      </c>
      <c r="O567" s="72" t="s">
        <v>1773</v>
      </c>
      <c r="P567" s="69"/>
      <c r="Q567" s="69"/>
      <c r="R567" s="288"/>
      <c r="S567" s="279" t="s">
        <v>1774</v>
      </c>
      <c r="T567" s="67" t="s">
        <v>632</v>
      </c>
      <c r="U567" s="67" t="s">
        <v>632</v>
      </c>
      <c r="V567" s="67" t="s">
        <v>632</v>
      </c>
      <c r="W567" s="79"/>
      <c r="X567" s="79"/>
      <c r="Y567" s="71" t="s">
        <v>1772</v>
      </c>
      <c r="Z567" s="79"/>
      <c r="AA567" s="79"/>
    </row>
    <row r="568" spans="1:27" ht="24.75" hidden="1" outlineLevel="1" x14ac:dyDescent="0.35">
      <c r="A568" s="79"/>
      <c r="B568" s="79"/>
      <c r="C568" s="279" t="s">
        <v>2234</v>
      </c>
      <c r="D568" s="71" t="s">
        <v>2233</v>
      </c>
      <c r="E568" s="68" t="str">
        <f t="shared" ref="E568" si="167">IF(INT((F568 + G568-1) / 8) + 1 = INT(F568 / 8) + 1, INT(F568 / 8) + 1, INT(F568 / 8) + 1 &amp; "-" &amp; INT((F568 + G568 - 1) / 8) + 1)</f>
        <v>27-30</v>
      </c>
      <c r="F568" s="70">
        <f t="shared" ref="F568" si="168">F567+G567</f>
        <v>208</v>
      </c>
      <c r="G568" s="68">
        <v>32</v>
      </c>
      <c r="H568" s="68">
        <v>1</v>
      </c>
      <c r="I568" s="68">
        <v>0</v>
      </c>
      <c r="J568" s="68">
        <v>0</v>
      </c>
      <c r="K568" s="68">
        <f>(POWER(2,G568)-1)*H568+I568</f>
        <v>4294967295</v>
      </c>
      <c r="L568" s="68">
        <v>0</v>
      </c>
      <c r="M568" s="69" t="s">
        <v>932</v>
      </c>
      <c r="N568" s="68">
        <f t="shared" si="166"/>
        <v>10</v>
      </c>
      <c r="O568" s="72"/>
      <c r="P568" s="69"/>
      <c r="Q568" s="69"/>
      <c r="R568" s="288"/>
      <c r="S568" s="279" t="s">
        <v>2234</v>
      </c>
      <c r="T568" s="67" t="s">
        <v>632</v>
      </c>
      <c r="U568" s="67" t="s">
        <v>632</v>
      </c>
      <c r="V568" s="67" t="s">
        <v>632</v>
      </c>
      <c r="W568" s="79"/>
      <c r="X568" s="79"/>
      <c r="Y568" s="71" t="s">
        <v>2233</v>
      </c>
      <c r="Z568" s="79"/>
      <c r="AA568" s="79"/>
    </row>
    <row r="569" spans="1:27" ht="86.65" hidden="1" outlineLevel="1" x14ac:dyDescent="0.35">
      <c r="A569" s="392"/>
      <c r="B569" s="392"/>
      <c r="C569" s="393" t="s">
        <v>2315</v>
      </c>
      <c r="D569" s="394" t="s">
        <v>2317</v>
      </c>
      <c r="E569" s="68">
        <f t="shared" ref="E569:E570" si="169">IF(INT((F569 + G569-1) / 8) + 1 = INT(F569 / 8) + 1, INT(F569 / 8) + 1, INT(F569 / 8) + 1 &amp; "-" &amp; INT((F569 + G569 - 1) / 8) + 1)</f>
        <v>31</v>
      </c>
      <c r="F569" s="70">
        <f t="shared" ref="F569:F570" si="170">F568+G568</f>
        <v>240</v>
      </c>
      <c r="G569" s="395">
        <v>8</v>
      </c>
      <c r="H569" s="395">
        <v>1</v>
      </c>
      <c r="I569" s="395">
        <v>0</v>
      </c>
      <c r="J569" s="395">
        <v>0</v>
      </c>
      <c r="K569" s="395">
        <f>(POWER(2,G569)-1)*H569+I569</f>
        <v>255</v>
      </c>
      <c r="L569" s="395">
        <v>0</v>
      </c>
      <c r="M569" s="396" t="s">
        <v>932</v>
      </c>
      <c r="N569" s="395">
        <f t="shared" si="166"/>
        <v>3</v>
      </c>
      <c r="O569" s="397" t="s">
        <v>2319</v>
      </c>
      <c r="P569" s="396"/>
      <c r="Q569" s="396"/>
      <c r="R569" s="398"/>
      <c r="S569" s="393" t="s">
        <v>2315</v>
      </c>
      <c r="T569" s="399" t="s">
        <v>632</v>
      </c>
      <c r="U569" s="399" t="s">
        <v>632</v>
      </c>
      <c r="V569" s="399" t="s">
        <v>632</v>
      </c>
      <c r="W569" s="392"/>
      <c r="X569" s="392"/>
      <c r="Y569" s="394" t="s">
        <v>2317</v>
      </c>
      <c r="Z569" s="392"/>
      <c r="AA569" s="392"/>
    </row>
    <row r="570" spans="1:27" ht="49.5" hidden="1" outlineLevel="1" x14ac:dyDescent="0.35">
      <c r="A570" s="392"/>
      <c r="B570" s="392"/>
      <c r="C570" s="393" t="s">
        <v>2316</v>
      </c>
      <c r="D570" s="394" t="s">
        <v>2318</v>
      </c>
      <c r="E570" s="68">
        <f t="shared" si="169"/>
        <v>32</v>
      </c>
      <c r="F570" s="70">
        <f t="shared" si="170"/>
        <v>248</v>
      </c>
      <c r="G570" s="395">
        <v>8</v>
      </c>
      <c r="H570" s="395">
        <v>1</v>
      </c>
      <c r="I570" s="395">
        <v>0</v>
      </c>
      <c r="J570" s="395">
        <v>0</v>
      </c>
      <c r="K570" s="395">
        <f>(POWER(2,G570)-1)*H570+I570</f>
        <v>255</v>
      </c>
      <c r="L570" s="395">
        <v>0</v>
      </c>
      <c r="M570" s="396" t="s">
        <v>932</v>
      </c>
      <c r="N570" s="395">
        <f t="shared" si="166"/>
        <v>3</v>
      </c>
      <c r="O570" s="397" t="s">
        <v>2320</v>
      </c>
      <c r="P570" s="396"/>
      <c r="Q570" s="396"/>
      <c r="R570" s="398"/>
      <c r="S570" s="393" t="s">
        <v>2316</v>
      </c>
      <c r="T570" s="399" t="s">
        <v>632</v>
      </c>
      <c r="U570" s="399" t="s">
        <v>632</v>
      </c>
      <c r="V570" s="399" t="s">
        <v>632</v>
      </c>
      <c r="W570" s="392"/>
      <c r="X570" s="392"/>
      <c r="Y570" s="394" t="s">
        <v>2318</v>
      </c>
      <c r="Z570" s="392"/>
      <c r="AA570" s="392"/>
    </row>
    <row r="571" spans="1:27" ht="24.75" hidden="1" outlineLevel="1" x14ac:dyDescent="0.35">
      <c r="A571" s="392"/>
      <c r="B571" s="392"/>
      <c r="C571" s="393" t="s">
        <v>2464</v>
      </c>
      <c r="D571" s="394" t="s">
        <v>2465</v>
      </c>
      <c r="E571" s="224" t="s">
        <v>2466</v>
      </c>
      <c r="F571" s="70">
        <f t="shared" ref="F571" si="171">F570+G570</f>
        <v>256</v>
      </c>
      <c r="G571" s="395">
        <v>8</v>
      </c>
      <c r="H571" s="395">
        <v>1</v>
      </c>
      <c r="I571" s="395">
        <v>0</v>
      </c>
      <c r="J571" s="395">
        <v>0</v>
      </c>
      <c r="K571" s="395">
        <f>(POWER(2,G571)-1)*H571+I571</f>
        <v>255</v>
      </c>
      <c r="L571" s="395">
        <v>0</v>
      </c>
      <c r="M571" s="396" t="s">
        <v>1724</v>
      </c>
      <c r="N571" s="395">
        <f t="shared" si="166"/>
        <v>3</v>
      </c>
      <c r="O571" s="397"/>
      <c r="P571" s="396"/>
      <c r="Q571" s="396"/>
      <c r="R571" s="398"/>
      <c r="S571" s="393" t="s">
        <v>2464</v>
      </c>
      <c r="T571" s="399" t="s">
        <v>632</v>
      </c>
      <c r="U571" s="399" t="s">
        <v>632</v>
      </c>
      <c r="V571" s="399" t="s">
        <v>632</v>
      </c>
      <c r="W571" s="429" t="s">
        <v>2200</v>
      </c>
      <c r="X571" s="392"/>
      <c r="Y571" s="394" t="s">
        <v>2465</v>
      </c>
      <c r="Z571" s="392"/>
      <c r="AA571" s="392"/>
    </row>
    <row r="572" spans="1:27" collapsed="1" x14ac:dyDescent="0.35">
      <c r="A572" s="370" t="s">
        <v>1137</v>
      </c>
      <c r="B572" s="371" t="str">
        <f>VLOOKUP(A572,'Message ID'!A:O,2,FALSE)</f>
        <v>单芯计算的SOC以及各簇SOC结果</v>
      </c>
      <c r="C572" s="372"/>
      <c r="D572" s="372"/>
      <c r="E572" s="373">
        <v>120</v>
      </c>
      <c r="F572" s="374"/>
      <c r="G572" s="375"/>
      <c r="H572" s="375"/>
      <c r="I572" s="375"/>
      <c r="J572" s="375"/>
      <c r="K572" s="375"/>
      <c r="L572" s="375"/>
      <c r="M572" s="375"/>
      <c r="N572" s="373">
        <f>SUM(N573:N577)</f>
        <v>344</v>
      </c>
      <c r="O572" s="376"/>
      <c r="P572" s="375"/>
      <c r="Q572" s="375"/>
      <c r="R572" s="372"/>
      <c r="S572" s="372"/>
      <c r="T572" s="377"/>
      <c r="U572" s="378"/>
      <c r="V572" s="378"/>
      <c r="W572" s="379"/>
      <c r="X572" s="379"/>
      <c r="Y572" s="372"/>
      <c r="Z572" s="379"/>
      <c r="AA572" s="379"/>
    </row>
    <row r="573" spans="1:27" ht="49.5" hidden="1" outlineLevel="1" x14ac:dyDescent="0.35">
      <c r="A573" s="173"/>
      <c r="B573" s="173"/>
      <c r="C573" s="174" t="s">
        <v>1212</v>
      </c>
      <c r="D573" s="77" t="s">
        <v>1379</v>
      </c>
      <c r="E573" s="249" t="s">
        <v>1208</v>
      </c>
      <c r="F573" s="103">
        <v>0</v>
      </c>
      <c r="G573" s="104">
        <v>16</v>
      </c>
      <c r="H573" s="104">
        <v>0.01</v>
      </c>
      <c r="I573" s="104">
        <v>0</v>
      </c>
      <c r="J573" s="104">
        <v>0</v>
      </c>
      <c r="K573" s="249">
        <v>100.01</v>
      </c>
      <c r="L573" s="104">
        <v>0</v>
      </c>
      <c r="M573" s="78" t="s">
        <v>1478</v>
      </c>
      <c r="N573" s="104">
        <f>LEN(K573)*16</f>
        <v>96</v>
      </c>
      <c r="O573" s="274"/>
      <c r="P573" s="78"/>
      <c r="Q573" s="78"/>
      <c r="R573" s="283" t="s">
        <v>1360</v>
      </c>
      <c r="S573" s="174" t="s">
        <v>2222</v>
      </c>
      <c r="T573" s="76" t="s">
        <v>352</v>
      </c>
      <c r="U573" s="76" t="s">
        <v>352</v>
      </c>
      <c r="V573" s="76" t="s">
        <v>352</v>
      </c>
      <c r="W573" s="361" t="s">
        <v>2198</v>
      </c>
      <c r="X573" s="75"/>
      <c r="Y573" s="77" t="s">
        <v>1379</v>
      </c>
      <c r="Z573" s="75"/>
      <c r="AA573" s="75"/>
    </row>
    <row r="574" spans="1:27" ht="61.9" hidden="1" outlineLevel="1" x14ac:dyDescent="0.35">
      <c r="A574" s="50"/>
      <c r="B574" s="50"/>
      <c r="C574" s="158" t="s">
        <v>1213</v>
      </c>
      <c r="D574" s="40" t="s">
        <v>1380</v>
      </c>
      <c r="E574" s="213" t="s">
        <v>1209</v>
      </c>
      <c r="F574" s="227">
        <v>256</v>
      </c>
      <c r="G574" s="44">
        <v>8</v>
      </c>
      <c r="H574" s="44">
        <v>1</v>
      </c>
      <c r="I574" s="44">
        <v>0</v>
      </c>
      <c r="J574" s="44">
        <v>0</v>
      </c>
      <c r="K574" s="213">
        <v>10</v>
      </c>
      <c r="L574" s="44">
        <v>0</v>
      </c>
      <c r="M574" s="41" t="s">
        <v>932</v>
      </c>
      <c r="N574" s="44">
        <f>LEN(K574)*16</f>
        <v>32</v>
      </c>
      <c r="O574" s="49"/>
      <c r="P574" s="41"/>
      <c r="Q574" s="41"/>
      <c r="R574" s="120" t="s">
        <v>1361</v>
      </c>
      <c r="S574" s="158" t="s">
        <v>2223</v>
      </c>
      <c r="T574" s="47" t="s">
        <v>352</v>
      </c>
      <c r="U574" s="47" t="s">
        <v>352</v>
      </c>
      <c r="V574" s="47" t="s">
        <v>352</v>
      </c>
      <c r="W574" s="328" t="s">
        <v>2198</v>
      </c>
      <c r="X574" s="48"/>
      <c r="Y574" s="40" t="s">
        <v>1380</v>
      </c>
      <c r="Z574" s="48"/>
      <c r="AA574" s="48"/>
    </row>
    <row r="575" spans="1:27" ht="24.75" hidden="1" outlineLevel="1" x14ac:dyDescent="0.35">
      <c r="A575" s="50"/>
      <c r="B575" s="50"/>
      <c r="C575" s="158" t="s">
        <v>1198</v>
      </c>
      <c r="D575" s="40" t="s">
        <v>1366</v>
      </c>
      <c r="E575" s="213" t="s">
        <v>1181</v>
      </c>
      <c r="F575" s="227">
        <v>384</v>
      </c>
      <c r="G575" s="44">
        <v>16</v>
      </c>
      <c r="H575" s="44">
        <v>0.01</v>
      </c>
      <c r="I575" s="44">
        <v>0</v>
      </c>
      <c r="J575" s="44">
        <v>0</v>
      </c>
      <c r="K575" s="213">
        <v>100.01</v>
      </c>
      <c r="L575" s="44">
        <v>0</v>
      </c>
      <c r="M575" s="41" t="s">
        <v>1478</v>
      </c>
      <c r="N575" s="44">
        <f>LEN(K575)*12</f>
        <v>72</v>
      </c>
      <c r="O575" s="49"/>
      <c r="P575" s="41"/>
      <c r="Q575" s="41"/>
      <c r="R575" s="119"/>
      <c r="S575" s="158" t="s">
        <v>1189</v>
      </c>
      <c r="T575" s="47" t="s">
        <v>352</v>
      </c>
      <c r="U575" s="47" t="s">
        <v>352</v>
      </c>
      <c r="V575" s="47" t="s">
        <v>352</v>
      </c>
      <c r="W575" s="327" t="s">
        <v>2200</v>
      </c>
      <c r="X575" s="48"/>
      <c r="Y575" s="40" t="s">
        <v>1366</v>
      </c>
      <c r="Z575" s="48"/>
      <c r="AA575" s="48"/>
    </row>
    <row r="576" spans="1:27" ht="24.75" hidden="1" outlineLevel="1" x14ac:dyDescent="0.35">
      <c r="A576" s="50"/>
      <c r="B576" s="50"/>
      <c r="C576" s="158" t="s">
        <v>1199</v>
      </c>
      <c r="D576" s="40" t="s">
        <v>1367</v>
      </c>
      <c r="E576" s="213" t="s">
        <v>1182</v>
      </c>
      <c r="F576" s="227">
        <v>576</v>
      </c>
      <c r="G576" s="44">
        <v>16</v>
      </c>
      <c r="H576" s="44">
        <v>0.01</v>
      </c>
      <c r="I576" s="44">
        <v>0</v>
      </c>
      <c r="J576" s="44">
        <v>0</v>
      </c>
      <c r="K576" s="213">
        <v>100.01</v>
      </c>
      <c r="L576" s="44">
        <v>0</v>
      </c>
      <c r="M576" s="41" t="s">
        <v>1478</v>
      </c>
      <c r="N576" s="44">
        <f>LEN(K576)*12</f>
        <v>72</v>
      </c>
      <c r="O576" s="49"/>
      <c r="P576" s="41"/>
      <c r="Q576" s="41"/>
      <c r="R576" s="119"/>
      <c r="S576" s="158" t="s">
        <v>1190</v>
      </c>
      <c r="T576" s="47" t="s">
        <v>352</v>
      </c>
      <c r="U576" s="47" t="s">
        <v>352</v>
      </c>
      <c r="V576" s="47" t="s">
        <v>352</v>
      </c>
      <c r="W576" s="327" t="s">
        <v>2200</v>
      </c>
      <c r="X576" s="48"/>
      <c r="Y576" s="40" t="s">
        <v>1367</v>
      </c>
      <c r="Z576" s="48"/>
      <c r="AA576" s="48"/>
    </row>
    <row r="577" spans="1:27" ht="24.75" hidden="1" outlineLevel="1" x14ac:dyDescent="0.35">
      <c r="A577" s="50"/>
      <c r="B577" s="50"/>
      <c r="C577" s="158" t="s">
        <v>1200</v>
      </c>
      <c r="D577" s="40" t="s">
        <v>1368</v>
      </c>
      <c r="E577" s="213" t="s">
        <v>1183</v>
      </c>
      <c r="F577" s="227">
        <v>768</v>
      </c>
      <c r="G577" s="44">
        <v>16</v>
      </c>
      <c r="H577" s="44">
        <v>0.01</v>
      </c>
      <c r="I577" s="44">
        <v>0</v>
      </c>
      <c r="J577" s="44">
        <v>0</v>
      </c>
      <c r="K577" s="213">
        <v>100.01</v>
      </c>
      <c r="L577" s="44">
        <v>0</v>
      </c>
      <c r="M577" s="41" t="s">
        <v>1478</v>
      </c>
      <c r="N577" s="44">
        <f>LEN(K577)*12</f>
        <v>72</v>
      </c>
      <c r="O577" s="49"/>
      <c r="P577" s="41"/>
      <c r="Q577" s="41"/>
      <c r="R577" s="119"/>
      <c r="S577" s="158" t="s">
        <v>1191</v>
      </c>
      <c r="T577" s="47" t="s">
        <v>352</v>
      </c>
      <c r="U577" s="47" t="s">
        <v>352</v>
      </c>
      <c r="V577" s="47" t="s">
        <v>352</v>
      </c>
      <c r="W577" s="327" t="s">
        <v>2200</v>
      </c>
      <c r="X577" s="48"/>
      <c r="Y577" s="40" t="s">
        <v>1368</v>
      </c>
      <c r="Z577" s="48"/>
      <c r="AA577" s="48"/>
    </row>
    <row r="578" spans="1:27" collapsed="1" x14ac:dyDescent="0.35">
      <c r="A578" s="32" t="s">
        <v>1138</v>
      </c>
      <c r="B578" s="155" t="str">
        <f>VLOOKUP(A578,'Message ID'!A:O,2,FALSE)</f>
        <v>单芯计算的SOH以及各簇SOH结果</v>
      </c>
      <c r="C578" s="34"/>
      <c r="D578" s="34"/>
      <c r="E578" s="90">
        <v>168</v>
      </c>
      <c r="F578" s="35"/>
      <c r="G578" s="36"/>
      <c r="H578" s="36"/>
      <c r="I578" s="36"/>
      <c r="J578" s="36"/>
      <c r="K578" s="36"/>
      <c r="L578" s="36"/>
      <c r="M578" s="36"/>
      <c r="N578" s="90">
        <f>SUM(N579:N584)</f>
        <v>504</v>
      </c>
      <c r="O578" s="37"/>
      <c r="P578" s="36"/>
      <c r="Q578" s="36"/>
      <c r="R578" s="34"/>
      <c r="S578" s="34"/>
      <c r="T578" s="128"/>
      <c r="U578" s="38"/>
      <c r="V578" s="38"/>
      <c r="W578" s="39"/>
      <c r="X578" s="39"/>
      <c r="Y578" s="34"/>
      <c r="Z578" s="39"/>
      <c r="AA578" s="39"/>
    </row>
    <row r="579" spans="1:27" ht="49.5" hidden="1" outlineLevel="1" x14ac:dyDescent="0.35">
      <c r="A579" s="50"/>
      <c r="B579" s="50"/>
      <c r="C579" s="158" t="s">
        <v>1214</v>
      </c>
      <c r="D579" s="40" t="s">
        <v>1381</v>
      </c>
      <c r="E579" s="213" t="s">
        <v>1208</v>
      </c>
      <c r="F579" s="43">
        <v>0</v>
      </c>
      <c r="G579" s="44">
        <v>16</v>
      </c>
      <c r="H579" s="44">
        <v>0.1</v>
      </c>
      <c r="I579" s="44">
        <v>0</v>
      </c>
      <c r="J579" s="44">
        <v>0</v>
      </c>
      <c r="K579" s="213">
        <v>1500.1</v>
      </c>
      <c r="L579" s="44">
        <v>0</v>
      </c>
      <c r="M579" s="41" t="s">
        <v>164</v>
      </c>
      <c r="N579" s="44">
        <f>LEN(K579)*16</f>
        <v>96</v>
      </c>
      <c r="O579" s="49"/>
      <c r="P579" s="41"/>
      <c r="Q579" s="41"/>
      <c r="R579" s="120" t="s">
        <v>1357</v>
      </c>
      <c r="S579" s="158" t="s">
        <v>2224</v>
      </c>
      <c r="T579" s="47" t="s">
        <v>352</v>
      </c>
      <c r="U579" s="47" t="s">
        <v>352</v>
      </c>
      <c r="V579" s="47" t="s">
        <v>352</v>
      </c>
      <c r="W579" s="328" t="s">
        <v>2198</v>
      </c>
      <c r="X579" s="48"/>
      <c r="Y579" s="40" t="s">
        <v>1381</v>
      </c>
      <c r="Z579" s="48"/>
      <c r="AA579" s="48"/>
    </row>
    <row r="580" spans="1:27" ht="49.5" hidden="1" outlineLevel="1" x14ac:dyDescent="0.35">
      <c r="A580" s="50"/>
      <c r="B580" s="50"/>
      <c r="C580" s="158" t="s">
        <v>1215</v>
      </c>
      <c r="D580" s="40" t="s">
        <v>1382</v>
      </c>
      <c r="E580" s="213" t="s">
        <v>1210</v>
      </c>
      <c r="F580" s="227">
        <v>256</v>
      </c>
      <c r="G580" s="44">
        <v>16</v>
      </c>
      <c r="H580" s="44">
        <v>0.1</v>
      </c>
      <c r="I580" s="44">
        <v>0</v>
      </c>
      <c r="J580" s="44">
        <v>0</v>
      </c>
      <c r="K580" s="213">
        <v>1500.1</v>
      </c>
      <c r="L580" s="44">
        <v>0</v>
      </c>
      <c r="M580" s="41" t="s">
        <v>164</v>
      </c>
      <c r="N580" s="44">
        <f>LEN(K580)*16</f>
        <v>96</v>
      </c>
      <c r="O580" s="49"/>
      <c r="P580" s="41"/>
      <c r="Q580" s="41"/>
      <c r="R580" s="120" t="s">
        <v>1358</v>
      </c>
      <c r="S580" s="158" t="s">
        <v>2225</v>
      </c>
      <c r="T580" s="47" t="s">
        <v>352</v>
      </c>
      <c r="U580" s="47" t="s">
        <v>352</v>
      </c>
      <c r="V580" s="47" t="s">
        <v>352</v>
      </c>
      <c r="W580" s="328" t="s">
        <v>2198</v>
      </c>
      <c r="X580" s="48"/>
      <c r="Y580" s="40" t="s">
        <v>1382</v>
      </c>
      <c r="Z580" s="48"/>
      <c r="AA580" s="48"/>
    </row>
    <row r="581" spans="1:27" ht="49.5" hidden="1" outlineLevel="1" x14ac:dyDescent="0.35">
      <c r="A581" s="50"/>
      <c r="B581" s="50"/>
      <c r="C581" s="158" t="s">
        <v>1216</v>
      </c>
      <c r="D581" s="40" t="s">
        <v>1383</v>
      </c>
      <c r="E581" s="213" t="s">
        <v>1211</v>
      </c>
      <c r="F581" s="227">
        <v>512</v>
      </c>
      <c r="G581" s="44">
        <v>16</v>
      </c>
      <c r="H581" s="44">
        <v>0.1</v>
      </c>
      <c r="I581" s="44">
        <v>0</v>
      </c>
      <c r="J581" s="44">
        <v>0</v>
      </c>
      <c r="K581" s="213">
        <v>1500.1</v>
      </c>
      <c r="L581" s="44">
        <v>0</v>
      </c>
      <c r="M581" s="41" t="s">
        <v>164</v>
      </c>
      <c r="N581" s="44">
        <f>LEN(K581)*16</f>
        <v>96</v>
      </c>
      <c r="O581" s="49"/>
      <c r="P581" s="41"/>
      <c r="Q581" s="41"/>
      <c r="R581" s="120" t="s">
        <v>1359</v>
      </c>
      <c r="S581" s="158" t="s">
        <v>2226</v>
      </c>
      <c r="T581" s="47" t="s">
        <v>352</v>
      </c>
      <c r="U581" s="47" t="s">
        <v>352</v>
      </c>
      <c r="V581" s="47" t="s">
        <v>352</v>
      </c>
      <c r="W581" s="328" t="s">
        <v>2198</v>
      </c>
      <c r="X581" s="48"/>
      <c r="Y581" s="40" t="s">
        <v>1383</v>
      </c>
      <c r="Z581" s="48"/>
      <c r="AA581" s="48"/>
    </row>
    <row r="582" spans="1:27" ht="24.75" hidden="1" outlineLevel="1" x14ac:dyDescent="0.35">
      <c r="A582" s="50"/>
      <c r="B582" s="50"/>
      <c r="C582" s="158" t="s">
        <v>1195</v>
      </c>
      <c r="D582" s="40" t="s">
        <v>1369</v>
      </c>
      <c r="E582" s="213" t="s">
        <v>1183</v>
      </c>
      <c r="F582" s="227">
        <v>768</v>
      </c>
      <c r="G582" s="44">
        <v>16</v>
      </c>
      <c r="H582" s="44">
        <v>0.1</v>
      </c>
      <c r="I582" s="44">
        <v>0</v>
      </c>
      <c r="J582" s="44">
        <v>0</v>
      </c>
      <c r="K582" s="213">
        <v>1500.1</v>
      </c>
      <c r="L582" s="44">
        <v>0</v>
      </c>
      <c r="M582" s="41" t="s">
        <v>164</v>
      </c>
      <c r="N582" s="44">
        <f>LEN(K582)*12</f>
        <v>72</v>
      </c>
      <c r="O582" s="49"/>
      <c r="P582" s="41"/>
      <c r="Q582" s="41"/>
      <c r="R582" s="119"/>
      <c r="S582" s="158" t="s">
        <v>1184</v>
      </c>
      <c r="T582" s="47" t="s">
        <v>352</v>
      </c>
      <c r="U582" s="47" t="s">
        <v>352</v>
      </c>
      <c r="V582" s="47" t="s">
        <v>352</v>
      </c>
      <c r="W582" s="327" t="s">
        <v>2200</v>
      </c>
      <c r="X582" s="48"/>
      <c r="Y582" s="40" t="s">
        <v>1369</v>
      </c>
      <c r="Z582" s="48"/>
      <c r="AA582" s="48"/>
    </row>
    <row r="583" spans="1:27" ht="24.75" hidden="1" outlineLevel="1" x14ac:dyDescent="0.35">
      <c r="A583" s="50"/>
      <c r="B583" s="50"/>
      <c r="C583" s="158" t="s">
        <v>1196</v>
      </c>
      <c r="D583" s="40" t="s">
        <v>1370</v>
      </c>
      <c r="E583" s="213" t="s">
        <v>1187</v>
      </c>
      <c r="F583" s="227">
        <v>960</v>
      </c>
      <c r="G583" s="44">
        <v>16</v>
      </c>
      <c r="H583" s="44">
        <v>0.1</v>
      </c>
      <c r="I583" s="44">
        <v>0</v>
      </c>
      <c r="J583" s="44">
        <v>0</v>
      </c>
      <c r="K583" s="213">
        <v>1500.1</v>
      </c>
      <c r="L583" s="44">
        <v>0</v>
      </c>
      <c r="M583" s="41" t="s">
        <v>164</v>
      </c>
      <c r="N583" s="44">
        <f>LEN(K583)*12</f>
        <v>72</v>
      </c>
      <c r="O583" s="49"/>
      <c r="P583" s="41"/>
      <c r="Q583" s="41"/>
      <c r="R583" s="119"/>
      <c r="S583" s="158" t="s">
        <v>1185</v>
      </c>
      <c r="T583" s="47" t="s">
        <v>352</v>
      </c>
      <c r="U583" s="47" t="s">
        <v>352</v>
      </c>
      <c r="V583" s="47" t="s">
        <v>352</v>
      </c>
      <c r="W583" s="327" t="s">
        <v>2200</v>
      </c>
      <c r="X583" s="48"/>
      <c r="Y583" s="40" t="s">
        <v>1370</v>
      </c>
      <c r="Z583" s="48"/>
      <c r="AA583" s="48"/>
    </row>
    <row r="584" spans="1:27" ht="24.75" hidden="1" outlineLevel="1" x14ac:dyDescent="0.35">
      <c r="A584" s="50"/>
      <c r="B584" s="50"/>
      <c r="C584" s="158" t="s">
        <v>1197</v>
      </c>
      <c r="D584" s="40" t="s">
        <v>1371</v>
      </c>
      <c r="E584" s="213" t="s">
        <v>1188</v>
      </c>
      <c r="F584" s="227">
        <v>1152</v>
      </c>
      <c r="G584" s="44">
        <v>16</v>
      </c>
      <c r="H584" s="44">
        <v>0.1</v>
      </c>
      <c r="I584" s="44">
        <v>0</v>
      </c>
      <c r="J584" s="44">
        <v>0</v>
      </c>
      <c r="K584" s="213">
        <v>1500.1</v>
      </c>
      <c r="L584" s="44">
        <v>0</v>
      </c>
      <c r="M584" s="41" t="s">
        <v>164</v>
      </c>
      <c r="N584" s="44">
        <f>LEN(K584)*12</f>
        <v>72</v>
      </c>
      <c r="O584" s="49"/>
      <c r="P584" s="41"/>
      <c r="Q584" s="41"/>
      <c r="R584" s="119"/>
      <c r="S584" s="158" t="s">
        <v>1186</v>
      </c>
      <c r="T584" s="47" t="s">
        <v>352</v>
      </c>
      <c r="U584" s="47" t="s">
        <v>352</v>
      </c>
      <c r="V584" s="47" t="s">
        <v>352</v>
      </c>
      <c r="W584" s="327" t="s">
        <v>2200</v>
      </c>
      <c r="X584" s="48"/>
      <c r="Y584" s="40" t="s">
        <v>1371</v>
      </c>
      <c r="Z584" s="48"/>
      <c r="AA584" s="48"/>
    </row>
    <row r="585" spans="1:27" collapsed="1" x14ac:dyDescent="0.35">
      <c r="A585" s="32" t="s">
        <v>1140</v>
      </c>
      <c r="B585" s="53" t="str">
        <f>VLOOKUP(A585,'Message ID'!A:O,2,FALSE)</f>
        <v>BBMS_A核的故障列表</v>
      </c>
      <c r="C585" s="34"/>
      <c r="D585" s="34"/>
      <c r="E585" s="90">
        <v>25</v>
      </c>
      <c r="F585" s="36"/>
      <c r="G585" s="36"/>
      <c r="H585" s="36"/>
      <c r="I585" s="36"/>
      <c r="J585" s="36"/>
      <c r="K585" s="36"/>
      <c r="L585" s="36"/>
      <c r="M585" s="36"/>
      <c r="N585" s="90">
        <f>N586*200</f>
        <v>200</v>
      </c>
      <c r="O585" s="34"/>
      <c r="P585" s="36"/>
      <c r="Q585" s="36"/>
      <c r="R585" s="34"/>
      <c r="S585" s="34"/>
      <c r="T585" s="128"/>
      <c r="U585" s="38"/>
      <c r="V585" s="38"/>
      <c r="W585" s="39"/>
      <c r="X585" s="39"/>
      <c r="Y585" s="34"/>
      <c r="Z585" s="39"/>
      <c r="AA585" s="39"/>
    </row>
    <row r="586" spans="1:27" ht="24.75" hidden="1" outlineLevel="1" x14ac:dyDescent="0.35">
      <c r="A586" s="47"/>
      <c r="B586" s="47"/>
      <c r="C586" s="46" t="s">
        <v>1146</v>
      </c>
      <c r="D586" s="46" t="s">
        <v>1147</v>
      </c>
      <c r="E586" s="247" t="s">
        <v>205</v>
      </c>
      <c r="F586" s="44">
        <v>0</v>
      </c>
      <c r="G586" s="44">
        <v>1</v>
      </c>
      <c r="H586" s="44">
        <v>1</v>
      </c>
      <c r="I586" s="44">
        <v>0</v>
      </c>
      <c r="J586" s="44">
        <v>0</v>
      </c>
      <c r="K586" s="44">
        <f>(POWER(2,G586)-1)*H586+I586</f>
        <v>1</v>
      </c>
      <c r="L586" s="44">
        <v>0</v>
      </c>
      <c r="M586" s="44" t="s">
        <v>352</v>
      </c>
      <c r="N586" s="44">
        <f t="shared" si="151"/>
        <v>1</v>
      </c>
      <c r="O586" s="46" t="s">
        <v>276</v>
      </c>
      <c r="P586" s="44"/>
      <c r="Q586" s="44" t="s">
        <v>1098</v>
      </c>
      <c r="R586" s="48"/>
      <c r="S586" s="46" t="s">
        <v>601</v>
      </c>
      <c r="T586" s="47" t="s">
        <v>352</v>
      </c>
      <c r="U586" s="47" t="s">
        <v>352</v>
      </c>
      <c r="V586" s="47" t="s">
        <v>352</v>
      </c>
      <c r="W586" s="327" t="s">
        <v>2199</v>
      </c>
      <c r="X586" s="48"/>
      <c r="Y586" s="46" t="s">
        <v>1147</v>
      </c>
      <c r="Z586" s="48"/>
      <c r="AA586" s="48"/>
    </row>
    <row r="587" spans="1:27" collapsed="1" x14ac:dyDescent="0.35">
      <c r="A587" s="32" t="s">
        <v>1241</v>
      </c>
      <c r="B587" s="53" t="s">
        <v>1244</v>
      </c>
      <c r="C587" s="34"/>
      <c r="D587" s="34"/>
      <c r="E587" s="90">
        <v>25</v>
      </c>
      <c r="F587" s="36"/>
      <c r="G587" s="36"/>
      <c r="H587" s="36"/>
      <c r="I587" s="36"/>
      <c r="J587" s="36"/>
      <c r="K587" s="36"/>
      <c r="L587" s="36"/>
      <c r="M587" s="36"/>
      <c r="N587" s="90">
        <f>N588*200</f>
        <v>200</v>
      </c>
      <c r="O587" s="34"/>
      <c r="P587" s="36"/>
      <c r="Q587" s="36"/>
      <c r="R587" s="34"/>
      <c r="S587" s="34"/>
      <c r="T587" s="128"/>
      <c r="U587" s="38"/>
      <c r="V587" s="38"/>
      <c r="W587" s="39"/>
      <c r="X587" s="39"/>
      <c r="Y587" s="34"/>
      <c r="Z587" s="39"/>
      <c r="AA587" s="39"/>
    </row>
    <row r="588" spans="1:27" ht="24.75" hidden="1" outlineLevel="1" x14ac:dyDescent="0.35">
      <c r="A588" s="47"/>
      <c r="B588" s="47"/>
      <c r="C588" s="46" t="s">
        <v>1486</v>
      </c>
      <c r="D588" s="46" t="s">
        <v>1245</v>
      </c>
      <c r="E588" s="247" t="s">
        <v>205</v>
      </c>
      <c r="F588" s="44">
        <v>0</v>
      </c>
      <c r="G588" s="44">
        <v>1</v>
      </c>
      <c r="H588" s="44">
        <v>1</v>
      </c>
      <c r="I588" s="44">
        <v>0</v>
      </c>
      <c r="J588" s="44">
        <v>0</v>
      </c>
      <c r="K588" s="44">
        <f>(POWER(2,G588)-1)*H588+I588</f>
        <v>1</v>
      </c>
      <c r="L588" s="44">
        <v>0</v>
      </c>
      <c r="M588" s="44" t="s">
        <v>352</v>
      </c>
      <c r="N588" s="44">
        <f t="shared" ref="N588" si="172">LEN(K588)</f>
        <v>1</v>
      </c>
      <c r="O588" s="46"/>
      <c r="P588" s="44"/>
      <c r="Q588" s="44"/>
      <c r="R588" s="48"/>
      <c r="S588" s="46" t="s">
        <v>352</v>
      </c>
      <c r="T588" s="47" t="s">
        <v>1487</v>
      </c>
      <c r="U588" s="47" t="s">
        <v>1487</v>
      </c>
      <c r="V588" s="47" t="s">
        <v>1487</v>
      </c>
      <c r="W588" s="327" t="s">
        <v>2199</v>
      </c>
      <c r="X588" s="48"/>
      <c r="Y588" s="46" t="s">
        <v>1245</v>
      </c>
      <c r="Z588" s="48"/>
      <c r="AA588" s="48"/>
    </row>
    <row r="589" spans="1:27" collapsed="1" x14ac:dyDescent="0.35">
      <c r="A589" s="400" t="s">
        <v>2328</v>
      </c>
      <c r="B589" s="253" t="s">
        <v>2330</v>
      </c>
      <c r="C589" s="254"/>
      <c r="D589" s="254"/>
      <c r="E589" s="256">
        <v>5</v>
      </c>
      <c r="F589" s="255"/>
      <c r="G589" s="255"/>
      <c r="H589" s="255"/>
      <c r="I589" s="255"/>
      <c r="J589" s="255"/>
      <c r="K589" s="255"/>
      <c r="L589" s="255"/>
      <c r="M589" s="255"/>
      <c r="N589" s="256">
        <f>SUM(N590:N592)</f>
        <v>13</v>
      </c>
      <c r="O589" s="254"/>
      <c r="P589" s="255"/>
      <c r="Q589" s="255"/>
      <c r="R589" s="254"/>
      <c r="S589" s="254"/>
      <c r="T589" s="257"/>
      <c r="U589" s="258"/>
      <c r="V589" s="258"/>
      <c r="W589" s="259"/>
      <c r="X589" s="259"/>
      <c r="Y589" s="254"/>
      <c r="Z589" s="259"/>
      <c r="AA589" s="259"/>
    </row>
    <row r="590" spans="1:27" ht="25.5" hidden="1" outlineLevel="1" x14ac:dyDescent="0.35">
      <c r="A590" s="67"/>
      <c r="B590" s="67"/>
      <c r="C590" s="80" t="s">
        <v>1475</v>
      </c>
      <c r="D590" s="272" t="s">
        <v>1480</v>
      </c>
      <c r="E590" s="66">
        <f>IF(INT((F590 + G590-1) / 8) + 1 = INT(F590 / 8) + 1, INT(F590 / 8) + 1, INT(F590 / 8) + 1 &amp; "-" &amp; INT((F590 + G590 - 1) / 8) + 1)</f>
        <v>1</v>
      </c>
      <c r="F590" s="68">
        <v>0</v>
      </c>
      <c r="G590" s="68">
        <v>8</v>
      </c>
      <c r="H590" s="68">
        <v>1</v>
      </c>
      <c r="I590" s="68">
        <v>0</v>
      </c>
      <c r="J590" s="68">
        <v>0</v>
      </c>
      <c r="K590" s="68">
        <f>(POWER(2,G590)-1)*H590+I590</f>
        <v>255</v>
      </c>
      <c r="L590" s="68">
        <v>0</v>
      </c>
      <c r="M590" s="68" t="s">
        <v>1479</v>
      </c>
      <c r="N590" s="224">
        <v>1</v>
      </c>
      <c r="O590" s="80"/>
      <c r="P590" s="68"/>
      <c r="Q590" s="68"/>
      <c r="R590" s="65"/>
      <c r="S590" s="67" t="s">
        <v>352</v>
      </c>
      <c r="T590" s="80" t="s">
        <v>1475</v>
      </c>
      <c r="U590" s="67" t="s">
        <v>352</v>
      </c>
      <c r="V590" s="80" t="s">
        <v>1475</v>
      </c>
      <c r="W590" s="65"/>
      <c r="X590" s="65"/>
      <c r="Y590" s="272" t="s">
        <v>1480</v>
      </c>
      <c r="Z590" s="65"/>
      <c r="AA590" s="65"/>
    </row>
    <row r="591" spans="1:27" ht="27.75" hidden="1" outlineLevel="1" x14ac:dyDescent="0.4">
      <c r="A591" s="67"/>
      <c r="B591" s="67"/>
      <c r="C591" s="80" t="s">
        <v>1476</v>
      </c>
      <c r="D591" s="273" t="s">
        <v>1481</v>
      </c>
      <c r="E591" s="66" t="str">
        <f t="shared" ref="E591:E592" si="173">IF(INT((F591 + G591-1) / 8) + 1 = INT(F591 / 8) + 1, INT(F591 / 8) + 1, INT(F591 / 8) + 1 &amp; "-" &amp; INT((F591 + G591 - 1) / 8) + 1)</f>
        <v>2-3</v>
      </c>
      <c r="F591" s="68">
        <f>F590+G590</f>
        <v>8</v>
      </c>
      <c r="G591" s="68">
        <v>16</v>
      </c>
      <c r="H591" s="68">
        <v>0.1</v>
      </c>
      <c r="I591" s="68">
        <v>0</v>
      </c>
      <c r="J591" s="68">
        <v>0</v>
      </c>
      <c r="K591" s="68">
        <f t="shared" ref="K591:K592" si="174">(POWER(2,G591)-1)*H591+I591</f>
        <v>6553.5</v>
      </c>
      <c r="L591" s="68">
        <v>0</v>
      </c>
      <c r="M591" s="68" t="s">
        <v>352</v>
      </c>
      <c r="N591" s="68">
        <f t="shared" ref="N591:N592" si="175">LEN(K591)</f>
        <v>6</v>
      </c>
      <c r="O591" s="80"/>
      <c r="P591" s="68"/>
      <c r="Q591" s="68"/>
      <c r="R591" s="65"/>
      <c r="S591" s="67" t="s">
        <v>352</v>
      </c>
      <c r="T591" s="80" t="s">
        <v>1476</v>
      </c>
      <c r="U591" s="67" t="s">
        <v>352</v>
      </c>
      <c r="V591" s="80" t="s">
        <v>1476</v>
      </c>
      <c r="W591" s="65"/>
      <c r="X591" s="65"/>
      <c r="Y591" s="273" t="s">
        <v>1481</v>
      </c>
      <c r="Z591" s="65"/>
      <c r="AA591" s="65"/>
    </row>
    <row r="592" spans="1:27" ht="25.5" hidden="1" outlineLevel="1" x14ac:dyDescent="0.35">
      <c r="A592" s="67"/>
      <c r="B592" s="67"/>
      <c r="C592" s="80" t="s">
        <v>1477</v>
      </c>
      <c r="D592" s="272" t="s">
        <v>1482</v>
      </c>
      <c r="E592" s="66" t="str">
        <f t="shared" si="173"/>
        <v>4-5</v>
      </c>
      <c r="F592" s="68">
        <f>F591+G591</f>
        <v>24</v>
      </c>
      <c r="G592" s="68">
        <v>16</v>
      </c>
      <c r="H592" s="68">
        <v>0.01</v>
      </c>
      <c r="I592" s="68">
        <v>0</v>
      </c>
      <c r="J592" s="68">
        <v>0</v>
      </c>
      <c r="K592" s="68">
        <f t="shared" si="174"/>
        <v>655.35</v>
      </c>
      <c r="L592" s="68">
        <v>0</v>
      </c>
      <c r="M592" s="68" t="s">
        <v>1478</v>
      </c>
      <c r="N592" s="68">
        <f t="shared" si="175"/>
        <v>6</v>
      </c>
      <c r="O592" s="80"/>
      <c r="P592" s="68"/>
      <c r="Q592" s="68"/>
      <c r="R592" s="65"/>
      <c r="S592" s="67" t="s">
        <v>352</v>
      </c>
      <c r="T592" s="80" t="s">
        <v>1477</v>
      </c>
      <c r="U592" s="67" t="s">
        <v>352</v>
      </c>
      <c r="V592" s="80" t="s">
        <v>1477</v>
      </c>
      <c r="W592" s="65"/>
      <c r="X592" s="65"/>
      <c r="Y592" s="272" t="s">
        <v>1482</v>
      </c>
      <c r="Z592" s="65"/>
      <c r="AA592" s="65"/>
    </row>
    <row r="593" spans="1:27" collapsed="1" x14ac:dyDescent="0.35">
      <c r="A593" s="96" t="s">
        <v>1532</v>
      </c>
      <c r="B593" s="317" t="str">
        <f>VLOOKUP(A593,'Message ID'!A:O,2,FALSE)</f>
        <v>功能安全相关信号</v>
      </c>
      <c r="C593" s="284"/>
      <c r="D593" s="284"/>
      <c r="E593" s="276">
        <v>4</v>
      </c>
      <c r="F593" s="276"/>
      <c r="G593" s="276"/>
      <c r="H593" s="276"/>
      <c r="I593" s="276"/>
      <c r="J593" s="276"/>
      <c r="K593" s="276"/>
      <c r="L593" s="276"/>
      <c r="M593" s="276"/>
      <c r="N593" s="93">
        <f>SUM(N594:N596)</f>
        <v>7</v>
      </c>
      <c r="O593" s="284"/>
      <c r="P593" s="276"/>
      <c r="Q593" s="276"/>
      <c r="R593" s="284"/>
      <c r="S593" s="284"/>
      <c r="T593" s="99"/>
      <c r="U593" s="286"/>
      <c r="V593" s="286"/>
      <c r="W593" s="259"/>
      <c r="X593" s="316"/>
      <c r="Y593" s="284"/>
      <c r="Z593" s="259"/>
      <c r="AA593" s="259"/>
    </row>
    <row r="594" spans="1:27" ht="25.5" hidden="1" outlineLevel="1" x14ac:dyDescent="0.35">
      <c r="A594" s="67"/>
      <c r="B594" s="67"/>
      <c r="C594" s="80" t="s">
        <v>1534</v>
      </c>
      <c r="D594" s="272" t="s">
        <v>1537</v>
      </c>
      <c r="E594" s="66">
        <f>IF(INT((F594 + G594-1) / 8) + 1 = INT(F594 / 8) + 1, INT(F594 / 8) + 1, INT(F594 / 8) + 1 &amp; "-" &amp; INT((F594 + G594 - 1) / 8) + 1)</f>
        <v>1</v>
      </c>
      <c r="F594" s="68">
        <v>0</v>
      </c>
      <c r="G594" s="68">
        <v>8</v>
      </c>
      <c r="H594" s="68">
        <v>1</v>
      </c>
      <c r="I594" s="68">
        <v>0</v>
      </c>
      <c r="J594" s="68">
        <v>0</v>
      </c>
      <c r="K594" s="68">
        <f>(POWER(2,G594)-1)*H594+I594</f>
        <v>255</v>
      </c>
      <c r="L594" s="68">
        <v>0</v>
      </c>
      <c r="M594" s="68" t="s">
        <v>1479</v>
      </c>
      <c r="N594" s="68">
        <v>1</v>
      </c>
      <c r="O594" s="80"/>
      <c r="P594" s="68"/>
      <c r="Q594" s="68"/>
      <c r="R594" s="65"/>
      <c r="S594" s="80" t="s">
        <v>1542</v>
      </c>
      <c r="T594" s="80" t="s">
        <v>632</v>
      </c>
      <c r="U594" s="80" t="s">
        <v>632</v>
      </c>
      <c r="V594" s="80" t="s">
        <v>1543</v>
      </c>
      <c r="W594" s="65"/>
      <c r="X594" s="65"/>
      <c r="Y594" s="272" t="s">
        <v>2210</v>
      </c>
      <c r="Z594" s="65"/>
      <c r="AA594" s="65"/>
    </row>
    <row r="595" spans="1:27" ht="27.75" hidden="1" outlineLevel="1" x14ac:dyDescent="0.4">
      <c r="A595" s="67"/>
      <c r="B595" s="67"/>
      <c r="C595" s="80" t="s">
        <v>1535</v>
      </c>
      <c r="D595" s="273" t="s">
        <v>1538</v>
      </c>
      <c r="E595" s="66">
        <f t="shared" ref="E595:E597" si="176">IF(INT((F595 + G595-1) / 8) + 1 = INT(F595 / 8) + 1, INT(F595 / 8) + 1, INT(F595 / 8) + 1 &amp; "-" &amp; INT((F595 + G595 - 1) / 8) + 1)</f>
        <v>2</v>
      </c>
      <c r="F595" s="68">
        <f>F594+G594</f>
        <v>8</v>
      </c>
      <c r="G595" s="68">
        <v>8</v>
      </c>
      <c r="H595" s="68">
        <v>1</v>
      </c>
      <c r="I595" s="68">
        <v>0</v>
      </c>
      <c r="J595" s="68">
        <v>0</v>
      </c>
      <c r="K595" s="68">
        <f t="shared" ref="K595:K597" si="177">(POWER(2,G595)-1)*H595+I595</f>
        <v>255</v>
      </c>
      <c r="L595" s="68">
        <v>0</v>
      </c>
      <c r="M595" s="68" t="s">
        <v>352</v>
      </c>
      <c r="N595" s="68">
        <f t="shared" ref="N595:N597" si="178">LEN(K595)</f>
        <v>3</v>
      </c>
      <c r="O595" s="80"/>
      <c r="P595" s="68"/>
      <c r="Q595" s="68"/>
      <c r="R595" s="65"/>
      <c r="S595" s="80" t="s">
        <v>1540</v>
      </c>
      <c r="T595" s="80" t="s">
        <v>632</v>
      </c>
      <c r="U595" s="80" t="s">
        <v>352</v>
      </c>
      <c r="V595" s="80" t="s">
        <v>1541</v>
      </c>
      <c r="W595" s="65"/>
      <c r="X595" s="65"/>
      <c r="Y595" s="273" t="s">
        <v>2211</v>
      </c>
      <c r="Z595" s="65"/>
      <c r="AA595" s="65"/>
    </row>
    <row r="596" spans="1:27" ht="25.5" hidden="1" outlineLevel="1" x14ac:dyDescent="0.35">
      <c r="A596" s="67"/>
      <c r="B596" s="67"/>
      <c r="C596" s="80" t="s">
        <v>1536</v>
      </c>
      <c r="D596" s="272" t="s">
        <v>1539</v>
      </c>
      <c r="E596" s="66">
        <f t="shared" si="176"/>
        <v>3</v>
      </c>
      <c r="F596" s="68">
        <f>F595+G595</f>
        <v>16</v>
      </c>
      <c r="G596" s="68">
        <v>8</v>
      </c>
      <c r="H596" s="68">
        <v>1</v>
      </c>
      <c r="I596" s="68">
        <v>0</v>
      </c>
      <c r="J596" s="68">
        <v>0</v>
      </c>
      <c r="K596" s="68">
        <f t="shared" si="177"/>
        <v>255</v>
      </c>
      <c r="L596" s="68">
        <v>0</v>
      </c>
      <c r="M596" s="68" t="s">
        <v>352</v>
      </c>
      <c r="N596" s="68">
        <f t="shared" si="178"/>
        <v>3</v>
      </c>
      <c r="O596" s="80"/>
      <c r="P596" s="68"/>
      <c r="Q596" s="68"/>
      <c r="R596" s="65"/>
      <c r="S596" s="80" t="s">
        <v>1544</v>
      </c>
      <c r="T596" s="80" t="s">
        <v>632</v>
      </c>
      <c r="U596" s="80" t="s">
        <v>632</v>
      </c>
      <c r="V596" s="80" t="s">
        <v>1545</v>
      </c>
      <c r="W596" s="65"/>
      <c r="X596" s="65"/>
      <c r="Y596" s="272" t="s">
        <v>2212</v>
      </c>
      <c r="Z596" s="65"/>
      <c r="AA596" s="65"/>
    </row>
    <row r="597" spans="1:27" ht="24.75" hidden="1" outlineLevel="1" x14ac:dyDescent="0.35">
      <c r="A597" s="40"/>
      <c r="B597" s="49"/>
      <c r="C597" s="46" t="s">
        <v>1878</v>
      </c>
      <c r="D597" s="46" t="s">
        <v>1879</v>
      </c>
      <c r="E597" s="42">
        <f t="shared" si="176"/>
        <v>4</v>
      </c>
      <c r="F597" s="43">
        <f t="shared" ref="F597" si="179">F596+G596</f>
        <v>24</v>
      </c>
      <c r="G597" s="44">
        <v>4</v>
      </c>
      <c r="H597" s="44">
        <v>1</v>
      </c>
      <c r="I597" s="44">
        <v>0</v>
      </c>
      <c r="J597" s="44">
        <v>0</v>
      </c>
      <c r="K597" s="44">
        <f t="shared" si="177"/>
        <v>15</v>
      </c>
      <c r="L597" s="44">
        <v>0</v>
      </c>
      <c r="M597" s="41" t="s">
        <v>932</v>
      </c>
      <c r="N597" s="44">
        <f t="shared" si="178"/>
        <v>2</v>
      </c>
      <c r="O597" s="49"/>
      <c r="P597" s="41"/>
      <c r="Q597" s="41"/>
      <c r="R597" s="280" t="s">
        <v>1880</v>
      </c>
      <c r="S597" s="40" t="s">
        <v>632</v>
      </c>
      <c r="T597" s="47" t="s">
        <v>632</v>
      </c>
      <c r="U597" s="47" t="s">
        <v>632</v>
      </c>
      <c r="V597" s="47" t="s">
        <v>632</v>
      </c>
      <c r="W597" s="48"/>
      <c r="X597" s="48"/>
      <c r="Y597" s="46" t="s">
        <v>1879</v>
      </c>
      <c r="Z597" s="48"/>
      <c r="AA597" s="48"/>
    </row>
    <row r="598" spans="1:27" collapsed="1" x14ac:dyDescent="0.35">
      <c r="A598" s="309" t="s">
        <v>1751</v>
      </c>
      <c r="B598" s="310" t="str">
        <f>VLOOKUP(A598,'Message ID'!A:O,2,FALSE)</f>
        <v>A核控制命令</v>
      </c>
      <c r="C598" s="311"/>
      <c r="D598" s="311"/>
      <c r="E598" s="312">
        <v>5</v>
      </c>
      <c r="F598" s="313"/>
      <c r="G598" s="313"/>
      <c r="H598" s="313"/>
      <c r="I598" s="313"/>
      <c r="J598" s="313"/>
      <c r="K598" s="313"/>
      <c r="L598" s="313"/>
      <c r="M598" s="313"/>
      <c r="N598" s="312">
        <f>SUM(N599:N599)</f>
        <v>5</v>
      </c>
      <c r="O598" s="311"/>
      <c r="P598" s="313"/>
      <c r="Q598" s="313"/>
      <c r="R598" s="311"/>
      <c r="S598" s="311"/>
      <c r="T598" s="314"/>
      <c r="U598" s="315"/>
      <c r="V598" s="315"/>
      <c r="W598" s="259"/>
      <c r="X598" s="259"/>
      <c r="Y598" s="311"/>
      <c r="Z598" s="259"/>
      <c r="AA598" s="259"/>
    </row>
    <row r="599" spans="1:27" ht="37.15" hidden="1" outlineLevel="1" x14ac:dyDescent="0.35">
      <c r="A599" s="67"/>
      <c r="B599" s="67"/>
      <c r="C599" s="80" t="s">
        <v>1755</v>
      </c>
      <c r="D599" s="272" t="s">
        <v>1775</v>
      </c>
      <c r="E599" s="66" t="str">
        <f>IF(INT((F599 + G599-1) / 8) + 1 = INT(F599 / 8) + 1, INT(F599 / 8) + 1, INT(F599 / 8) + 1 &amp; "-" &amp; INT((F599 + G599 - 1) / 8) + 1)</f>
        <v>1-2</v>
      </c>
      <c r="F599" s="68">
        <v>0</v>
      </c>
      <c r="G599" s="68">
        <v>16</v>
      </c>
      <c r="H599" s="68">
        <v>1</v>
      </c>
      <c r="I599" s="68">
        <v>0</v>
      </c>
      <c r="J599" s="68">
        <v>0</v>
      </c>
      <c r="K599" s="68">
        <f>(POWER(2,G599)-1)*H599+I599</f>
        <v>65535</v>
      </c>
      <c r="L599" s="68">
        <v>0</v>
      </c>
      <c r="M599" s="68" t="s">
        <v>932</v>
      </c>
      <c r="N599" s="68">
        <f>LEN(K599)</f>
        <v>5</v>
      </c>
      <c r="O599" s="80" t="s">
        <v>1756</v>
      </c>
      <c r="P599" s="68"/>
      <c r="Q599" s="68"/>
      <c r="R599" s="65"/>
      <c r="S599" s="80" t="s">
        <v>2216</v>
      </c>
      <c r="T599" s="80" t="s">
        <v>632</v>
      </c>
      <c r="U599" s="80" t="s">
        <v>1757</v>
      </c>
      <c r="V599" s="80" t="s">
        <v>632</v>
      </c>
      <c r="W599" s="65"/>
      <c r="X599" s="65"/>
      <c r="Y599" s="272" t="s">
        <v>1775</v>
      </c>
      <c r="Z599" s="65"/>
      <c r="AA599" s="65"/>
    </row>
    <row r="600" spans="1:27" ht="43.05" hidden="1" customHeight="1" outlineLevel="1" x14ac:dyDescent="0.35">
      <c r="A600" s="67"/>
      <c r="B600" s="67"/>
      <c r="C600" s="80" t="s">
        <v>1893</v>
      </c>
      <c r="D600" s="272" t="s">
        <v>2214</v>
      </c>
      <c r="E600" s="66">
        <f>IF(INT((F600 + G600-1) / 8) + 1 = INT(F600 / 8) + 1, INT(F600 / 8) + 1, INT(F600 / 8) + 1 &amp; "-" &amp; INT((F600 + G600 - 1) / 8) + 1)</f>
        <v>3</v>
      </c>
      <c r="F600" s="68">
        <f>F599+G599</f>
        <v>16</v>
      </c>
      <c r="G600" s="68">
        <v>8</v>
      </c>
      <c r="H600" s="68">
        <v>1</v>
      </c>
      <c r="I600" s="68">
        <v>0</v>
      </c>
      <c r="J600" s="68">
        <v>0</v>
      </c>
      <c r="K600" s="68">
        <f>(POWER(2,G600)-1)*H600+I600</f>
        <v>255</v>
      </c>
      <c r="L600" s="68">
        <v>0</v>
      </c>
      <c r="M600" s="68" t="s">
        <v>1479</v>
      </c>
      <c r="N600" s="68">
        <f>LEN(K600)</f>
        <v>3</v>
      </c>
      <c r="O600" s="80" t="s">
        <v>1894</v>
      </c>
      <c r="P600" s="68"/>
      <c r="Q600" s="68"/>
      <c r="R600" s="65"/>
      <c r="S600" s="80" t="s">
        <v>2217</v>
      </c>
      <c r="T600" s="80" t="s">
        <v>632</v>
      </c>
      <c r="U600" s="80" t="s">
        <v>1895</v>
      </c>
      <c r="V600" s="80" t="s">
        <v>1896</v>
      </c>
      <c r="W600" s="65"/>
      <c r="X600" s="65"/>
      <c r="Y600" s="272" t="s">
        <v>2183</v>
      </c>
      <c r="Z600" s="65"/>
      <c r="AA600" s="65"/>
    </row>
    <row r="601" spans="1:27" ht="69.5" hidden="1" customHeight="1" outlineLevel="1" x14ac:dyDescent="0.35">
      <c r="A601" s="289"/>
      <c r="B601" s="289"/>
      <c r="C601" s="235" t="s">
        <v>1897</v>
      </c>
      <c r="D601" s="405" t="s">
        <v>2215</v>
      </c>
      <c r="E601" s="171">
        <f>IF(INT((F601 + G601-1) / 8) + 1 = INT(F601 / 8) + 1, INT(F601 / 8) + 1, INT(F601 / 8) + 1 &amp; "-" &amp; INT((F601 + G601 - 1) / 8) + 1)</f>
        <v>4</v>
      </c>
      <c r="F601" s="236">
        <f t="shared" ref="F601:F602" si="180">F600+G600</f>
        <v>24</v>
      </c>
      <c r="G601" s="236">
        <v>8</v>
      </c>
      <c r="H601" s="236">
        <v>1</v>
      </c>
      <c r="I601" s="236">
        <v>0</v>
      </c>
      <c r="J601" s="236">
        <v>0</v>
      </c>
      <c r="K601" s="236">
        <f>(POWER(2,G601)-1)*H601+I601</f>
        <v>255</v>
      </c>
      <c r="L601" s="236">
        <v>0</v>
      </c>
      <c r="M601" s="236" t="s">
        <v>932</v>
      </c>
      <c r="N601" s="236">
        <f>LEN(K601)</f>
        <v>3</v>
      </c>
      <c r="O601" s="235" t="s">
        <v>1898</v>
      </c>
      <c r="P601" s="236"/>
      <c r="Q601" s="236"/>
      <c r="R601" s="306"/>
      <c r="S601" s="235" t="s">
        <v>2218</v>
      </c>
      <c r="T601" s="235" t="s">
        <v>632</v>
      </c>
      <c r="U601" s="235" t="s">
        <v>1899</v>
      </c>
      <c r="V601" s="235" t="s">
        <v>632</v>
      </c>
      <c r="W601" s="306"/>
      <c r="X601" s="306"/>
      <c r="Y601" s="405" t="s">
        <v>1745</v>
      </c>
      <c r="Z601" s="306"/>
      <c r="AA601" s="306"/>
    </row>
    <row r="602" spans="1:27" s="409" customFormat="1" ht="24.75" hidden="1" outlineLevel="1" x14ac:dyDescent="0.35">
      <c r="A602" s="281"/>
      <c r="B602" s="407"/>
      <c r="C602" s="235" t="s">
        <v>1878</v>
      </c>
      <c r="D602" s="235" t="s">
        <v>1879</v>
      </c>
      <c r="E602" s="171">
        <f>IF(INT((F602 + G602-1) / 8) + 1 = INT(F602 / 8) + 1, INT(F602 / 8) + 1, INT(F602 / 8) + 1 &amp; "-" &amp; INT((F602 + G602 - 1) / 8) + 1)</f>
        <v>5</v>
      </c>
      <c r="F602" s="236">
        <f t="shared" si="180"/>
        <v>32</v>
      </c>
      <c r="G602" s="236">
        <v>4</v>
      </c>
      <c r="H602" s="236">
        <v>1</v>
      </c>
      <c r="I602" s="236">
        <v>0</v>
      </c>
      <c r="J602" s="236">
        <v>0</v>
      </c>
      <c r="K602" s="236">
        <f t="shared" ref="K602" si="181">(POWER(2,G602)-1)*H602+I602</f>
        <v>15</v>
      </c>
      <c r="L602" s="236">
        <v>0</v>
      </c>
      <c r="M602" s="170" t="s">
        <v>932</v>
      </c>
      <c r="N602" s="236">
        <f t="shared" ref="N602" si="182">LEN(K602)</f>
        <v>2</v>
      </c>
      <c r="O602" s="407"/>
      <c r="P602" s="170"/>
      <c r="Q602" s="170"/>
      <c r="R602" s="408" t="s">
        <v>1880</v>
      </c>
      <c r="S602" s="281" t="s">
        <v>632</v>
      </c>
      <c r="T602" s="289" t="s">
        <v>632</v>
      </c>
      <c r="U602" s="289" t="s">
        <v>632</v>
      </c>
      <c r="V602" s="289" t="s">
        <v>632</v>
      </c>
      <c r="W602" s="306"/>
      <c r="X602" s="306"/>
      <c r="Y602" s="235" t="s">
        <v>1879</v>
      </c>
      <c r="Z602" s="306"/>
      <c r="AA602" s="306"/>
    </row>
    <row r="603" spans="1:27" ht="27" customHeight="1" collapsed="1" x14ac:dyDescent="0.35">
      <c r="A603" s="96" t="s">
        <v>2345</v>
      </c>
      <c r="B603" s="317" t="s">
        <v>2364</v>
      </c>
      <c r="C603" s="284"/>
      <c r="D603" s="284"/>
      <c r="E603" s="93">
        <v>2</v>
      </c>
      <c r="F603" s="276"/>
      <c r="G603" s="276"/>
      <c r="H603" s="276"/>
      <c r="I603" s="276"/>
      <c r="J603" s="276"/>
      <c r="K603" s="276"/>
      <c r="L603" s="276"/>
      <c r="M603" s="276"/>
      <c r="N603" s="93">
        <f>SUM(N604:N604)</f>
        <v>3</v>
      </c>
      <c r="O603" s="284"/>
      <c r="P603" s="276"/>
      <c r="Q603" s="276"/>
      <c r="R603" s="284"/>
      <c r="S603" s="284"/>
      <c r="T603" s="99"/>
      <c r="U603" s="286"/>
      <c r="V603" s="286"/>
      <c r="W603" s="287"/>
      <c r="X603" s="287"/>
      <c r="Y603" s="284"/>
      <c r="Z603" s="287"/>
      <c r="AA603" s="287"/>
    </row>
    <row r="604" spans="1:27" ht="25.5" hidden="1" outlineLevel="1" x14ac:dyDescent="0.35">
      <c r="A604" s="399"/>
      <c r="B604" s="399"/>
      <c r="C604" s="414" t="s">
        <v>2348</v>
      </c>
      <c r="D604" s="415" t="s">
        <v>2347</v>
      </c>
      <c r="E604" s="416">
        <f>IF(INT((F604 + G604-1) / 8) + 1 = INT(F604 / 8) + 1, INT(F604 / 8) + 1, INT(F604 / 8) + 1 &amp; "-" &amp; INT((F604 + G604 - 1) / 8) + 1)</f>
        <v>1</v>
      </c>
      <c r="F604" s="395">
        <v>0</v>
      </c>
      <c r="G604" s="395">
        <v>8</v>
      </c>
      <c r="H604" s="395">
        <v>1</v>
      </c>
      <c r="I604" s="395">
        <v>0</v>
      </c>
      <c r="J604" s="395">
        <v>0</v>
      </c>
      <c r="K604" s="395">
        <f>(POWER(2,G604)-1)*H604+I604</f>
        <v>255</v>
      </c>
      <c r="L604" s="395">
        <v>0</v>
      </c>
      <c r="M604" s="395" t="s">
        <v>932</v>
      </c>
      <c r="N604" s="395">
        <f>LEN(K604)</f>
        <v>3</v>
      </c>
      <c r="O604" s="414" t="s">
        <v>2351</v>
      </c>
      <c r="P604" s="395"/>
      <c r="Q604" s="395"/>
      <c r="R604" s="417"/>
      <c r="S604" s="414" t="s">
        <v>632</v>
      </c>
      <c r="T604" s="414" t="s">
        <v>2354</v>
      </c>
      <c r="U604" s="414" t="s">
        <v>2354</v>
      </c>
      <c r="V604" s="414" t="s">
        <v>2353</v>
      </c>
      <c r="W604" s="417"/>
      <c r="X604" s="417"/>
      <c r="Y604" s="415" t="s">
        <v>2347</v>
      </c>
      <c r="Z604" s="417"/>
      <c r="AA604" s="417"/>
    </row>
    <row r="605" spans="1:27" ht="43.05" hidden="1" customHeight="1" outlineLevel="1" x14ac:dyDescent="0.35">
      <c r="A605" s="67"/>
      <c r="B605" s="67"/>
      <c r="C605" s="80" t="s">
        <v>2350</v>
      </c>
      <c r="D605" s="272" t="s">
        <v>2349</v>
      </c>
      <c r="E605" s="66">
        <f>IF(INT((F605 + G605-1) / 8) + 1 = INT(F605 / 8) + 1, INT(F605 / 8) + 1, INT(F605 / 8) + 1 &amp; "-" &amp; INT((F605 + G605 - 1) / 8) + 1)</f>
        <v>2</v>
      </c>
      <c r="F605" s="68">
        <f>F604+G604</f>
        <v>8</v>
      </c>
      <c r="G605" s="68">
        <v>8</v>
      </c>
      <c r="H605" s="68">
        <v>1</v>
      </c>
      <c r="I605" s="68">
        <v>0</v>
      </c>
      <c r="J605" s="68">
        <v>0</v>
      </c>
      <c r="K605" s="68">
        <f>(POWER(2,G605)-1)*H605+I605</f>
        <v>255</v>
      </c>
      <c r="L605" s="68">
        <v>0</v>
      </c>
      <c r="M605" s="68" t="s">
        <v>932</v>
      </c>
      <c r="N605" s="68">
        <f>LEN(K605)</f>
        <v>3</v>
      </c>
      <c r="O605" s="80" t="s">
        <v>2352</v>
      </c>
      <c r="P605" s="68"/>
      <c r="Q605" s="68"/>
      <c r="R605" s="65"/>
      <c r="S605" s="80" t="s">
        <v>632</v>
      </c>
      <c r="T605" s="80" t="s">
        <v>632</v>
      </c>
      <c r="U605" s="80" t="s">
        <v>632</v>
      </c>
      <c r="V605" s="80" t="s">
        <v>632</v>
      </c>
      <c r="W605" s="65"/>
      <c r="X605" s="65"/>
      <c r="Y605" s="272" t="s">
        <v>2349</v>
      </c>
      <c r="Z605" s="65"/>
      <c r="AA605" s="65"/>
    </row>
  </sheetData>
  <autoFilter ref="A1:AA601" xr:uid="{00000000-0009-0000-0000-000005000000}"/>
  <phoneticPr fontId="50" type="noConversion"/>
  <conditionalFormatting sqref="C149:C150">
    <cfRule type="duplicateValues" dxfId="862" priority="2944" stopIfTrue="1"/>
  </conditionalFormatting>
  <conditionalFormatting sqref="C153">
    <cfRule type="duplicateValues" dxfId="861" priority="2926" stopIfTrue="1"/>
  </conditionalFormatting>
  <conditionalFormatting sqref="C172:C187 C154:C165 C189:C191 C193:C195">
    <cfRule type="duplicateValues" dxfId="860" priority="2920" stopIfTrue="1"/>
  </conditionalFormatting>
  <conditionalFormatting sqref="C188">
    <cfRule type="duplicateValues" dxfId="859" priority="1744" stopIfTrue="1"/>
  </conditionalFormatting>
  <conditionalFormatting sqref="C192">
    <cfRule type="duplicateValues" dxfId="858" priority="1741" stopIfTrue="1"/>
  </conditionalFormatting>
  <conditionalFormatting sqref="C202:C205">
    <cfRule type="duplicateValues" dxfId="857" priority="2927" stopIfTrue="1"/>
  </conditionalFormatting>
  <conditionalFormatting sqref="C211:C212 C213:D214">
    <cfRule type="cellIs" dxfId="856" priority="1885" stopIfTrue="1" operator="notEqual">
      <formula>#REF!</formula>
    </cfRule>
    <cfRule type="cellIs" dxfId="855" priority="1886" stopIfTrue="1" operator="notEqual">
      <formula>#REF!</formula>
    </cfRule>
  </conditionalFormatting>
  <conditionalFormatting sqref="C211:C214">
    <cfRule type="duplicateValues" dxfId="854" priority="2968" stopIfTrue="1"/>
  </conditionalFormatting>
  <conditionalFormatting sqref="C215">
    <cfRule type="duplicateValues" dxfId="853" priority="2969" stopIfTrue="1"/>
  </conditionalFormatting>
  <conditionalFormatting sqref="C216">
    <cfRule type="duplicateValues" dxfId="852" priority="2970" stopIfTrue="1"/>
  </conditionalFormatting>
  <conditionalFormatting sqref="C217:C219">
    <cfRule type="duplicateValues" dxfId="851" priority="2971" stopIfTrue="1"/>
  </conditionalFormatting>
  <conditionalFormatting sqref="C220">
    <cfRule type="duplicateValues" dxfId="850" priority="1737" stopIfTrue="1"/>
  </conditionalFormatting>
  <conditionalFormatting sqref="C221:C222">
    <cfRule type="duplicateValues" dxfId="849" priority="1750" stopIfTrue="1"/>
  </conditionalFormatting>
  <conditionalFormatting sqref="C223">
    <cfRule type="duplicateValues" dxfId="848" priority="1734" stopIfTrue="1"/>
  </conditionalFormatting>
  <conditionalFormatting sqref="C224:C225">
    <cfRule type="duplicateValues" dxfId="847" priority="1738" stopIfTrue="1"/>
  </conditionalFormatting>
  <conditionalFormatting sqref="C226:C229">
    <cfRule type="duplicateValues" dxfId="846" priority="1721" stopIfTrue="1"/>
  </conditionalFormatting>
  <conditionalFormatting sqref="C235 Q28:Q31 Q36:Q40">
    <cfRule type="cellIs" dxfId="845" priority="2620" stopIfTrue="1" operator="notEqual">
      <formula>#REF!</formula>
    </cfRule>
  </conditionalFormatting>
  <conditionalFormatting sqref="C235">
    <cfRule type="cellIs" dxfId="844" priority="2619" stopIfTrue="1" operator="notEqual">
      <formula>#REF!</formula>
    </cfRule>
  </conditionalFormatting>
  <conditionalFormatting sqref="C236">
    <cfRule type="duplicateValues" dxfId="843" priority="2988" stopIfTrue="1"/>
  </conditionalFormatting>
  <conditionalFormatting sqref="C248">
    <cfRule type="duplicateValues" dxfId="842" priority="1718" stopIfTrue="1"/>
  </conditionalFormatting>
  <conditionalFormatting sqref="C252">
    <cfRule type="duplicateValues" dxfId="841" priority="1677" stopIfTrue="1"/>
  </conditionalFormatting>
  <conditionalFormatting sqref="C263">
    <cfRule type="duplicateValues" dxfId="840" priority="1678" stopIfTrue="1"/>
  </conditionalFormatting>
  <conditionalFormatting sqref="C288">
    <cfRule type="duplicateValues" dxfId="839" priority="2595" stopIfTrue="1"/>
  </conditionalFormatting>
  <conditionalFormatting sqref="C289:C299">
    <cfRule type="duplicateValues" dxfId="838" priority="2811" stopIfTrue="1"/>
  </conditionalFormatting>
  <conditionalFormatting sqref="C300:C301">
    <cfRule type="duplicateValues" dxfId="837" priority="1894" stopIfTrue="1"/>
  </conditionalFormatting>
  <conditionalFormatting sqref="C304:C321">
    <cfRule type="duplicateValues" dxfId="836" priority="2616" stopIfTrue="1"/>
  </conditionalFormatting>
  <conditionalFormatting sqref="C323:C332">
    <cfRule type="duplicateValues" dxfId="835" priority="2615" stopIfTrue="1"/>
  </conditionalFormatting>
  <conditionalFormatting sqref="C334:C338">
    <cfRule type="duplicateValues" dxfId="834" priority="2614" stopIfTrue="1"/>
  </conditionalFormatting>
  <conditionalFormatting sqref="C339:C343">
    <cfRule type="duplicateValues" dxfId="833" priority="2588" stopIfTrue="1"/>
  </conditionalFormatting>
  <conditionalFormatting sqref="C345:C361">
    <cfRule type="duplicateValues" dxfId="832" priority="2587" stopIfTrue="1"/>
  </conditionalFormatting>
  <conditionalFormatting sqref="C362">
    <cfRule type="duplicateValues" dxfId="831" priority="2609" stopIfTrue="1"/>
  </conditionalFormatting>
  <conditionalFormatting sqref="C363:C372">
    <cfRule type="duplicateValues" dxfId="830" priority="2586" stopIfTrue="1"/>
  </conditionalFormatting>
  <conditionalFormatting sqref="C430:C431">
    <cfRule type="duplicateValues" dxfId="829" priority="2579" stopIfTrue="1"/>
  </conditionalFormatting>
  <conditionalFormatting sqref="C432:C433">
    <cfRule type="duplicateValues" dxfId="828" priority="2577" stopIfTrue="1"/>
  </conditionalFormatting>
  <conditionalFormatting sqref="C434:C435">
    <cfRule type="duplicateValues" dxfId="827" priority="2575" stopIfTrue="1"/>
  </conditionalFormatting>
  <conditionalFormatting sqref="C436:C437">
    <cfRule type="duplicateValues" dxfId="826" priority="2573" stopIfTrue="1"/>
  </conditionalFormatting>
  <conditionalFormatting sqref="C438:C439">
    <cfRule type="duplicateValues" dxfId="825" priority="2571" stopIfTrue="1"/>
  </conditionalFormatting>
  <conditionalFormatting sqref="C440:C441">
    <cfRule type="duplicateValues" dxfId="824" priority="2569" stopIfTrue="1"/>
  </conditionalFormatting>
  <conditionalFormatting sqref="C443:C444">
    <cfRule type="duplicateValues" dxfId="823" priority="2567" stopIfTrue="1"/>
  </conditionalFormatting>
  <conditionalFormatting sqref="C445:C446">
    <cfRule type="duplicateValues" dxfId="822" priority="2565" stopIfTrue="1"/>
  </conditionalFormatting>
  <conditionalFormatting sqref="C447:C448">
    <cfRule type="duplicateValues" dxfId="821" priority="2563" stopIfTrue="1"/>
  </conditionalFormatting>
  <conditionalFormatting sqref="C449:C450">
    <cfRule type="duplicateValues" dxfId="820" priority="2561" stopIfTrue="1"/>
  </conditionalFormatting>
  <conditionalFormatting sqref="C451:C452">
    <cfRule type="duplicateValues" dxfId="819" priority="2559" stopIfTrue="1"/>
  </conditionalFormatting>
  <conditionalFormatting sqref="C453">
    <cfRule type="duplicateValues" dxfId="818" priority="2757" stopIfTrue="1"/>
  </conditionalFormatting>
  <conditionalFormatting sqref="C454">
    <cfRule type="duplicateValues" dxfId="817" priority="2528" stopIfTrue="1"/>
  </conditionalFormatting>
  <conditionalFormatting sqref="C456:C457">
    <cfRule type="duplicateValues" dxfId="816" priority="2476" stopIfTrue="1"/>
  </conditionalFormatting>
  <conditionalFormatting sqref="C458:C459">
    <cfRule type="duplicateValues" dxfId="815" priority="2475" stopIfTrue="1"/>
  </conditionalFormatting>
  <conditionalFormatting sqref="C460:C461">
    <cfRule type="duplicateValues" dxfId="814" priority="2474" stopIfTrue="1"/>
  </conditionalFormatting>
  <conditionalFormatting sqref="C462">
    <cfRule type="duplicateValues" dxfId="813" priority="2459" stopIfTrue="1"/>
  </conditionalFormatting>
  <conditionalFormatting sqref="C463">
    <cfRule type="duplicateValues" dxfId="812" priority="2807" stopIfTrue="1"/>
  </conditionalFormatting>
  <conditionalFormatting sqref="C464:C465">
    <cfRule type="duplicateValues" dxfId="811" priority="2473" stopIfTrue="1"/>
  </conditionalFormatting>
  <conditionalFormatting sqref="C466:C467">
    <cfRule type="duplicateValues" dxfId="810" priority="2472" stopIfTrue="1"/>
  </conditionalFormatting>
  <conditionalFormatting sqref="C468">
    <cfRule type="duplicateValues" dxfId="809" priority="2478" stopIfTrue="1"/>
  </conditionalFormatting>
  <conditionalFormatting sqref="C469">
    <cfRule type="duplicateValues" dxfId="808" priority="2463" stopIfTrue="1"/>
  </conditionalFormatting>
  <conditionalFormatting sqref="C470:C471">
    <cfRule type="duplicateValues" dxfId="807" priority="2457" stopIfTrue="1"/>
  </conditionalFormatting>
  <conditionalFormatting sqref="C472:C474 C477">
    <cfRule type="duplicateValues" dxfId="806" priority="2766" stopIfTrue="1"/>
  </conditionalFormatting>
  <conditionalFormatting sqref="C475">
    <cfRule type="duplicateValues" dxfId="805" priority="1965" stopIfTrue="1"/>
  </conditionalFormatting>
  <conditionalFormatting sqref="C476">
    <cfRule type="duplicateValues" dxfId="804" priority="2455" stopIfTrue="1"/>
  </conditionalFormatting>
  <conditionalFormatting sqref="C478:C479">
    <cfRule type="duplicateValues" dxfId="803" priority="2454" stopIfTrue="1"/>
  </conditionalFormatting>
  <conditionalFormatting sqref="C480">
    <cfRule type="duplicateValues" dxfId="802" priority="2445" stopIfTrue="1"/>
  </conditionalFormatting>
  <conditionalFormatting sqref="C481">
    <cfRule type="duplicateValues" dxfId="801" priority="2439" stopIfTrue="1"/>
  </conditionalFormatting>
  <conditionalFormatting sqref="C482">
    <cfRule type="duplicateValues" dxfId="800" priority="2187" stopIfTrue="1"/>
  </conditionalFormatting>
  <conditionalFormatting sqref="C483">
    <cfRule type="duplicateValues" dxfId="799" priority="2186" stopIfTrue="1"/>
  </conditionalFormatting>
  <conditionalFormatting sqref="C484">
    <cfRule type="duplicateValues" dxfId="798" priority="2188" stopIfTrue="1"/>
  </conditionalFormatting>
  <conditionalFormatting sqref="C485">
    <cfRule type="duplicateValues" dxfId="797" priority="2818" stopIfTrue="1"/>
  </conditionalFormatting>
  <conditionalFormatting sqref="C486">
    <cfRule type="duplicateValues" dxfId="796" priority="2185" stopIfTrue="1"/>
  </conditionalFormatting>
  <conditionalFormatting sqref="C487">
    <cfRule type="duplicateValues" dxfId="795" priority="2184" stopIfTrue="1"/>
  </conditionalFormatting>
  <conditionalFormatting sqref="C489">
    <cfRule type="duplicateValues" dxfId="794" priority="2830" stopIfTrue="1"/>
  </conditionalFormatting>
  <conditionalFormatting sqref="C490">
    <cfRule type="duplicateValues" dxfId="793" priority="2419" stopIfTrue="1"/>
  </conditionalFormatting>
  <conditionalFormatting sqref="C491">
    <cfRule type="duplicateValues" dxfId="792" priority="2404" stopIfTrue="1"/>
  </conditionalFormatting>
  <conditionalFormatting sqref="C492:C493">
    <cfRule type="duplicateValues" dxfId="791" priority="2398" stopIfTrue="1"/>
  </conditionalFormatting>
  <conditionalFormatting sqref="C494:C495">
    <cfRule type="duplicateValues" dxfId="790" priority="2397" stopIfTrue="1"/>
  </conditionalFormatting>
  <conditionalFormatting sqref="C496:C497">
    <cfRule type="duplicateValues" dxfId="789" priority="2396" stopIfTrue="1"/>
  </conditionalFormatting>
  <conditionalFormatting sqref="C498:C499">
    <cfRule type="duplicateValues" dxfId="788" priority="2395" stopIfTrue="1"/>
  </conditionalFormatting>
  <conditionalFormatting sqref="C500">
    <cfRule type="duplicateValues" dxfId="787" priority="2400" stopIfTrue="1"/>
  </conditionalFormatting>
  <conditionalFormatting sqref="C501">
    <cfRule type="duplicateValues" dxfId="786" priority="2386" stopIfTrue="1"/>
  </conditionalFormatting>
  <conditionalFormatting sqref="C502:C503">
    <cfRule type="duplicateValues" dxfId="785" priority="2382" stopIfTrue="1"/>
  </conditionalFormatting>
  <conditionalFormatting sqref="C504:C505">
    <cfRule type="duplicateValues" dxfId="784" priority="2381" stopIfTrue="1"/>
  </conditionalFormatting>
  <conditionalFormatting sqref="C506">
    <cfRule type="duplicateValues" dxfId="783" priority="2759" stopIfTrue="1"/>
  </conditionalFormatting>
  <conditionalFormatting sqref="C507:C508">
    <cfRule type="duplicateValues" dxfId="782" priority="2380" stopIfTrue="1"/>
  </conditionalFormatting>
  <conditionalFormatting sqref="C509">
    <cfRule type="duplicateValues" dxfId="781" priority="2421" stopIfTrue="1"/>
  </conditionalFormatting>
  <conditionalFormatting sqref="C510">
    <cfRule type="duplicateValues" dxfId="780" priority="2369" stopIfTrue="1"/>
  </conditionalFormatting>
  <conditionalFormatting sqref="C511">
    <cfRule type="duplicateValues" dxfId="779" priority="2365" stopIfTrue="1"/>
  </conditionalFormatting>
  <conditionalFormatting sqref="C512:C513">
    <cfRule type="duplicateValues" dxfId="778" priority="2361" stopIfTrue="1"/>
  </conditionalFormatting>
  <conditionalFormatting sqref="C514:C515">
    <cfRule type="duplicateValues" dxfId="777" priority="2360" stopIfTrue="1"/>
  </conditionalFormatting>
  <conditionalFormatting sqref="C516:C519">
    <cfRule type="duplicateValues" dxfId="776" priority="2853" stopIfTrue="1"/>
  </conditionalFormatting>
  <conditionalFormatting sqref="C520">
    <cfRule type="duplicateValues" dxfId="775" priority="716" stopIfTrue="1"/>
  </conditionalFormatting>
  <conditionalFormatting sqref="C534">
    <cfRule type="duplicateValues" dxfId="774" priority="2246" stopIfTrue="1"/>
  </conditionalFormatting>
  <conditionalFormatting sqref="C590:C592">
    <cfRule type="cellIs" dxfId="773" priority="1937" stopIfTrue="1" operator="notEqual">
      <formula>#REF!</formula>
    </cfRule>
    <cfRule type="cellIs" dxfId="772" priority="1938" stopIfTrue="1" operator="notEqual">
      <formula>#REF!</formula>
    </cfRule>
  </conditionalFormatting>
  <conditionalFormatting sqref="C594:C596">
    <cfRule type="cellIs" dxfId="771" priority="1900" stopIfTrue="1" operator="notEqual">
      <formula>#REF!</formula>
    </cfRule>
    <cfRule type="cellIs" dxfId="770" priority="1901" stopIfTrue="1" operator="notEqual">
      <formula>#REF!</formula>
    </cfRule>
    <cfRule type="cellIs" dxfId="769" priority="1902" stopIfTrue="1" operator="notEqual">
      <formula>#REF!</formula>
    </cfRule>
    <cfRule type="cellIs" dxfId="768" priority="1903" stopIfTrue="1" operator="equal">
      <formula>#REF!</formula>
    </cfRule>
  </conditionalFormatting>
  <conditionalFormatting sqref="C597">
    <cfRule type="duplicateValues" dxfId="767" priority="1715" stopIfTrue="1"/>
  </conditionalFormatting>
  <conditionalFormatting sqref="C599">
    <cfRule type="cellIs" dxfId="766" priority="1761" stopIfTrue="1" operator="equal">
      <formula>#REF!</formula>
    </cfRule>
    <cfRule type="cellIs" dxfId="765" priority="1760" stopIfTrue="1" operator="notEqual">
      <formula>#REF!</formula>
    </cfRule>
    <cfRule type="cellIs" dxfId="764" priority="1759" stopIfTrue="1" operator="notEqual">
      <formula>#REF!</formula>
    </cfRule>
  </conditionalFormatting>
  <conditionalFormatting sqref="C599:C600">
    <cfRule type="cellIs" dxfId="763" priority="1709" stopIfTrue="1" operator="notEqual">
      <formula>#REF!</formula>
    </cfRule>
  </conditionalFormatting>
  <conditionalFormatting sqref="C600">
    <cfRule type="cellIs" dxfId="762" priority="1710" stopIfTrue="1" operator="equal">
      <formula>#REF!</formula>
    </cfRule>
    <cfRule type="cellIs" dxfId="761" priority="1708" stopIfTrue="1" operator="notEqual">
      <formula>#REF!</formula>
    </cfRule>
  </conditionalFormatting>
  <conditionalFormatting sqref="C600:C601">
    <cfRule type="cellIs" dxfId="760" priority="1697" stopIfTrue="1" operator="notEqual">
      <formula>#REF!</formula>
    </cfRule>
  </conditionalFormatting>
  <conditionalFormatting sqref="C601">
    <cfRule type="cellIs" dxfId="759" priority="1695" stopIfTrue="1" operator="notEqual">
      <formula>#REF!</formula>
    </cfRule>
    <cfRule type="cellIs" dxfId="758" priority="1698" stopIfTrue="1" operator="equal">
      <formula>#REF!</formula>
    </cfRule>
    <cfRule type="cellIs" dxfId="757" priority="1696" stopIfTrue="1" operator="notEqual">
      <formula>#REF!</formula>
    </cfRule>
  </conditionalFormatting>
  <conditionalFormatting sqref="C602">
    <cfRule type="duplicateValues" dxfId="756" priority="718" stopIfTrue="1"/>
  </conditionalFormatting>
  <conditionalFormatting sqref="C604">
    <cfRule type="cellIs" dxfId="755" priority="159" stopIfTrue="1" operator="equal">
      <formula>#REF!</formula>
    </cfRule>
    <cfRule type="cellIs" dxfId="754" priority="158" stopIfTrue="1" operator="notEqual">
      <formula>#REF!</formula>
    </cfRule>
    <cfRule type="cellIs" dxfId="753" priority="157" stopIfTrue="1" operator="notEqual">
      <formula>#REF!</formula>
    </cfRule>
  </conditionalFormatting>
  <conditionalFormatting sqref="C604:C605">
    <cfRule type="cellIs" dxfId="752" priority="146" stopIfTrue="1" operator="notEqual">
      <formula>#REF!</formula>
    </cfRule>
  </conditionalFormatting>
  <conditionalFormatting sqref="C605">
    <cfRule type="cellIs" dxfId="751" priority="144" stopIfTrue="1" operator="notEqual">
      <formula>#REF!</formula>
    </cfRule>
    <cfRule type="cellIs" dxfId="750" priority="147" stopIfTrue="1" operator="equal">
      <formula>#REF!</formula>
    </cfRule>
    <cfRule type="cellIs" dxfId="749" priority="145" stopIfTrue="1" operator="notEqual">
      <formula>#REF!</formula>
    </cfRule>
  </conditionalFormatting>
  <conditionalFormatting sqref="C5:D5 R29:R31 R36 C83:D84 C103:D104 C145 C210:C212 C213:D214 C235 C246:D247 C590:C592 Q28:Q31 Q36:Q44 R67 C121:D122 O58:O65 O20:O21 O37:O54 O56">
    <cfRule type="cellIs" dxfId="748" priority="2622" stopIfTrue="1" operator="equal">
      <formula>#REF!</formula>
    </cfRule>
  </conditionalFormatting>
  <conditionalFormatting sqref="C5:D5 R29:R31 R36 O59:O65 R67 C103:D104 C145:D145 L26:M31 L36:M36 D235 C197:D199 Y26:Y31 C14:D14 C154:D165 C170:D171 C26:D31 C36:D36 C55:D55 C57:D57 C66:D66 Y36">
    <cfRule type="cellIs" dxfId="747" priority="2624" stopIfTrue="1" operator="notEqual">
      <formula>#REF!</formula>
    </cfRule>
  </conditionalFormatting>
  <conditionalFormatting sqref="C8:D21 O17:P17">
    <cfRule type="cellIs" dxfId="746" priority="282" stopIfTrue="1" operator="equal">
      <formula>#REF!</formula>
    </cfRule>
  </conditionalFormatting>
  <conditionalFormatting sqref="C8:D21">
    <cfRule type="cellIs" dxfId="745" priority="281" stopIfTrue="1" operator="notEqual">
      <formula>#REF!</formula>
    </cfRule>
  </conditionalFormatting>
  <conditionalFormatting sqref="C16:D21">
    <cfRule type="cellIs" dxfId="744" priority="283" stopIfTrue="1" operator="notEqual">
      <formula>#REF!</formula>
    </cfRule>
  </conditionalFormatting>
  <conditionalFormatting sqref="C24:D67">
    <cfRule type="cellIs" dxfId="743" priority="12" stopIfTrue="1" operator="notEqual">
      <formula>#REF!</formula>
    </cfRule>
    <cfRule type="cellIs" dxfId="742" priority="13" stopIfTrue="1" operator="equal">
      <formula>#REF!</formula>
    </cfRule>
  </conditionalFormatting>
  <conditionalFormatting sqref="C110:D110">
    <cfRule type="cellIs" dxfId="741" priority="1919" stopIfTrue="1" operator="equal">
      <formula>#REF!</formula>
    </cfRule>
    <cfRule type="cellIs" dxfId="740" priority="1918" stopIfTrue="1" operator="notEqual">
      <formula>#REF!</formula>
    </cfRule>
    <cfRule type="cellIs" dxfId="739" priority="1916" stopIfTrue="1" operator="notEqual">
      <formula>#REF!</formula>
    </cfRule>
  </conditionalFormatting>
  <conditionalFormatting sqref="C121:D122">
    <cfRule type="cellIs" dxfId="738" priority="2190" stopIfTrue="1" operator="notEqual">
      <formula>#REF!</formula>
    </cfRule>
  </conditionalFormatting>
  <conditionalFormatting sqref="C127:D139">
    <cfRule type="cellIs" dxfId="737" priority="1851" stopIfTrue="1" operator="equal">
      <formula>#REF!</formula>
    </cfRule>
    <cfRule type="cellIs" dxfId="736" priority="1850" stopIfTrue="1" operator="notEqual">
      <formula>#REF!</formula>
    </cfRule>
  </conditionalFormatting>
  <conditionalFormatting sqref="C154:D165 O154:O165 Q159 Q161 Q163 Q165 O168 C170:D171 O170:O171">
    <cfRule type="cellIs" dxfId="735" priority="2717" stopIfTrue="1" operator="equal">
      <formula>#REF!</formula>
    </cfRule>
  </conditionalFormatting>
  <conditionalFormatting sqref="C154:D167">
    <cfRule type="cellIs" dxfId="734" priority="255" stopIfTrue="1" operator="notEqual">
      <formula>#REF!</formula>
    </cfRule>
  </conditionalFormatting>
  <conditionalFormatting sqref="C166:D167">
    <cfRule type="cellIs" dxfId="733" priority="256" stopIfTrue="1" operator="equal">
      <formula>#REF!</formula>
    </cfRule>
  </conditionalFormatting>
  <conditionalFormatting sqref="C169:D169">
    <cfRule type="cellIs" dxfId="732" priority="239" stopIfTrue="1" operator="notEqual">
      <formula>#REF!</formula>
    </cfRule>
    <cfRule type="cellIs" dxfId="731" priority="241" stopIfTrue="1" operator="notEqual">
      <formula>#REF!</formula>
    </cfRule>
    <cfRule type="cellIs" dxfId="730" priority="240" stopIfTrue="1" operator="equal">
      <formula>#REF!</formula>
    </cfRule>
  </conditionalFormatting>
  <conditionalFormatting sqref="C196:D196">
    <cfRule type="cellIs" dxfId="729" priority="1858" stopIfTrue="1" operator="notEqual">
      <formula>#REF!</formula>
    </cfRule>
  </conditionalFormatting>
  <conditionalFormatting sqref="C196:D201">
    <cfRule type="cellIs" dxfId="728" priority="1859" stopIfTrue="1" operator="equal">
      <formula>#REF!</formula>
    </cfRule>
    <cfRule type="cellIs" dxfId="727" priority="1856" stopIfTrue="1" operator="notEqual">
      <formula>#REF!</formula>
    </cfRule>
  </conditionalFormatting>
  <conditionalFormatting sqref="C206:D209">
    <cfRule type="cellIs" dxfId="726" priority="1952" stopIfTrue="1" operator="equal">
      <formula>#REF!</formula>
    </cfRule>
    <cfRule type="cellIs" dxfId="725" priority="1951" stopIfTrue="1" operator="notEqual">
      <formula>#REF!</formula>
    </cfRule>
  </conditionalFormatting>
  <conditionalFormatting sqref="C230:D233">
    <cfRule type="cellIs" dxfId="724" priority="2" stopIfTrue="1" operator="equal">
      <formula>#REF!</formula>
    </cfRule>
    <cfRule type="cellIs" dxfId="723" priority="1" stopIfTrue="1" operator="notEqual">
      <formula>#REF!</formula>
    </cfRule>
  </conditionalFormatting>
  <conditionalFormatting sqref="C235:D235 C590:C592 C210:C212 C213:D214 C5:D5 L26:M31 R29:R31 L36:M36 R36 C83:D84 C103:D104 C145:D145 C246:D247">
    <cfRule type="cellIs" dxfId="722" priority="2621" stopIfTrue="1" operator="notEqual">
      <formula>#REF!</formula>
    </cfRule>
  </conditionalFormatting>
  <conditionalFormatting sqref="C374:D386">
    <cfRule type="duplicateValues" dxfId="721" priority="721" stopIfTrue="1"/>
  </conditionalFormatting>
  <conditionalFormatting sqref="C388:D388">
    <cfRule type="duplicateValues" dxfId="720" priority="722" stopIfTrue="1"/>
  </conditionalFormatting>
  <conditionalFormatting sqref="C390:D391 C393:D394 C396:D397">
    <cfRule type="duplicateValues" dxfId="719" priority="724" stopIfTrue="1"/>
  </conditionalFormatting>
  <conditionalFormatting sqref="C392:D392 C395:D395">
    <cfRule type="duplicateValues" dxfId="718" priority="723" stopIfTrue="1"/>
  </conditionalFormatting>
  <conditionalFormatting sqref="C398:D398 C400:D401 C403:D403">
    <cfRule type="duplicateValues" dxfId="717" priority="120" stopIfTrue="1"/>
  </conditionalFormatting>
  <conditionalFormatting sqref="C399:D399 C402:D402">
    <cfRule type="duplicateValues" dxfId="716" priority="119" stopIfTrue="1"/>
  </conditionalFormatting>
  <conditionalFormatting sqref="C404:D404">
    <cfRule type="duplicateValues" dxfId="715" priority="118" stopIfTrue="1"/>
  </conditionalFormatting>
  <conditionalFormatting sqref="C405:D405 C407:D408 C410:D410">
    <cfRule type="duplicateValues" dxfId="714" priority="117" stopIfTrue="1"/>
  </conditionalFormatting>
  <conditionalFormatting sqref="C406:D406 C409:D409">
    <cfRule type="duplicateValues" dxfId="713" priority="116" stopIfTrue="1"/>
  </conditionalFormatting>
  <conditionalFormatting sqref="C411:D411">
    <cfRule type="duplicateValues" dxfId="712" priority="121" stopIfTrue="1"/>
  </conditionalFormatting>
  <conditionalFormatting sqref="C412:D413">
    <cfRule type="duplicateValues" dxfId="711" priority="122" stopIfTrue="1"/>
  </conditionalFormatting>
  <conditionalFormatting sqref="C414:D414">
    <cfRule type="duplicateValues" dxfId="710" priority="112" stopIfTrue="1"/>
  </conditionalFormatting>
  <conditionalFormatting sqref="C415:D415">
    <cfRule type="duplicateValues" dxfId="709" priority="113" stopIfTrue="1"/>
  </conditionalFormatting>
  <conditionalFormatting sqref="C416:D416">
    <cfRule type="duplicateValues" dxfId="708" priority="94" stopIfTrue="1"/>
  </conditionalFormatting>
  <conditionalFormatting sqref="C417:D418">
    <cfRule type="duplicateValues" dxfId="707" priority="95" stopIfTrue="1"/>
  </conditionalFormatting>
  <conditionalFormatting sqref="C419:D419">
    <cfRule type="duplicateValues" dxfId="706" priority="92" stopIfTrue="1"/>
  </conditionalFormatting>
  <conditionalFormatting sqref="C420:D420">
    <cfRule type="duplicateValues" dxfId="705" priority="93" stopIfTrue="1"/>
  </conditionalFormatting>
  <conditionalFormatting sqref="C421:D421">
    <cfRule type="duplicateValues" dxfId="704" priority="90" stopIfTrue="1"/>
  </conditionalFormatting>
  <conditionalFormatting sqref="C422:D423">
    <cfRule type="duplicateValues" dxfId="703" priority="91" stopIfTrue="1"/>
  </conditionalFormatting>
  <conditionalFormatting sqref="C424:D424">
    <cfRule type="duplicateValues" dxfId="702" priority="88" stopIfTrue="1"/>
  </conditionalFormatting>
  <conditionalFormatting sqref="C425:D425">
    <cfRule type="duplicateValues" dxfId="701" priority="89" stopIfTrue="1"/>
  </conditionalFormatting>
  <conditionalFormatting sqref="C426:D426">
    <cfRule type="duplicateValues" dxfId="700" priority="96" stopIfTrue="1"/>
  </conditionalFormatting>
  <conditionalFormatting sqref="C427:D428">
    <cfRule type="duplicateValues" dxfId="699" priority="97" stopIfTrue="1"/>
  </conditionalFormatting>
  <conditionalFormatting sqref="C586:D586">
    <cfRule type="cellIs" dxfId="698" priority="2209" stopIfTrue="1" operator="equal">
      <formula>#REF!</formula>
    </cfRule>
    <cfRule type="cellIs" dxfId="697" priority="2208" stopIfTrue="1" operator="notEqual">
      <formula>#REF!</formula>
    </cfRule>
    <cfRule type="cellIs" dxfId="696" priority="2202" stopIfTrue="1" operator="notEqual">
      <formula>#REF!</formula>
    </cfRule>
    <cfRule type="cellIs" dxfId="695" priority="2203" stopIfTrue="1" operator="notEqual">
      <formula>#REF!</formula>
    </cfRule>
  </conditionalFormatting>
  <conditionalFormatting sqref="C588:D588">
    <cfRule type="cellIs" dxfId="694" priority="2176" stopIfTrue="1" operator="notEqual">
      <formula>#REF!</formula>
    </cfRule>
    <cfRule type="cellIs" dxfId="693" priority="2171" stopIfTrue="1" operator="notEqual">
      <formula>#REF!</formula>
    </cfRule>
    <cfRule type="cellIs" dxfId="692" priority="2170" stopIfTrue="1" operator="notEqual">
      <formula>#REF!</formula>
    </cfRule>
    <cfRule type="cellIs" dxfId="691" priority="2177" stopIfTrue="1" operator="equal">
      <formula>#REF!</formula>
    </cfRule>
  </conditionalFormatting>
  <conditionalFormatting sqref="D145">
    <cfRule type="cellIs" dxfId="690" priority="2637" stopIfTrue="1" operator="notEqual">
      <formula>#REF!</formula>
    </cfRule>
    <cfRule type="cellIs" dxfId="689" priority="2638" stopIfTrue="1" operator="equal">
      <formula>#REF!</formula>
    </cfRule>
  </conditionalFormatting>
  <conditionalFormatting sqref="D235">
    <cfRule type="cellIs" dxfId="688" priority="2626" stopIfTrue="1" operator="equal">
      <formula>#REF!</formula>
    </cfRule>
    <cfRule type="cellIs" dxfId="687" priority="2625" stopIfTrue="1" operator="notEqual">
      <formula>#REF!</formula>
    </cfRule>
  </conditionalFormatting>
  <conditionalFormatting sqref="D288">
    <cfRule type="duplicateValues" dxfId="686" priority="2596" stopIfTrue="1"/>
  </conditionalFormatting>
  <conditionalFormatting sqref="D289:D299">
    <cfRule type="duplicateValues" dxfId="685" priority="2812" stopIfTrue="1"/>
  </conditionalFormatting>
  <conditionalFormatting sqref="D300:D301">
    <cfRule type="duplicateValues" dxfId="684" priority="1895" stopIfTrue="1"/>
  </conditionalFormatting>
  <conditionalFormatting sqref="D304:D321">
    <cfRule type="duplicateValues" dxfId="683" priority="2612" stopIfTrue="1"/>
  </conditionalFormatting>
  <conditionalFormatting sqref="D323:D332">
    <cfRule type="duplicateValues" dxfId="682" priority="2611" stopIfTrue="1"/>
  </conditionalFormatting>
  <conditionalFormatting sqref="D334:D343">
    <cfRule type="duplicateValues" dxfId="681" priority="2610" stopIfTrue="1"/>
  </conditionalFormatting>
  <conditionalFormatting sqref="D430:D431">
    <cfRule type="duplicateValues" dxfId="680" priority="2580" stopIfTrue="1"/>
  </conditionalFormatting>
  <conditionalFormatting sqref="D432:D433">
    <cfRule type="duplicateValues" dxfId="679" priority="2546" stopIfTrue="1"/>
  </conditionalFormatting>
  <conditionalFormatting sqref="D434:D435">
    <cfRule type="duplicateValues" dxfId="678" priority="2545" stopIfTrue="1"/>
  </conditionalFormatting>
  <conditionalFormatting sqref="D436:D437">
    <cfRule type="duplicateValues" dxfId="677" priority="2574" stopIfTrue="1"/>
  </conditionalFormatting>
  <conditionalFormatting sqref="D438:D439">
    <cfRule type="duplicateValues" dxfId="676" priority="2572" stopIfTrue="1"/>
  </conditionalFormatting>
  <conditionalFormatting sqref="D440:D441">
    <cfRule type="duplicateValues" dxfId="675" priority="2570" stopIfTrue="1"/>
  </conditionalFormatting>
  <conditionalFormatting sqref="D443:D454">
    <cfRule type="duplicateValues" dxfId="674" priority="2568" stopIfTrue="1"/>
  </conditionalFormatting>
  <conditionalFormatting sqref="D456:D461 D466 D468">
    <cfRule type="duplicateValues" dxfId="673" priority="2477" stopIfTrue="1"/>
  </conditionalFormatting>
  <conditionalFormatting sqref="D469">
    <cfRule type="duplicateValues" dxfId="672" priority="2462" stopIfTrue="1"/>
  </conditionalFormatting>
  <conditionalFormatting sqref="D475">
    <cfRule type="duplicateValues" dxfId="671" priority="1966" stopIfTrue="1"/>
  </conditionalFormatting>
  <conditionalFormatting sqref="D480">
    <cfRule type="duplicateValues" dxfId="670" priority="2444" stopIfTrue="1"/>
  </conditionalFormatting>
  <conditionalFormatting sqref="D485">
    <cfRule type="duplicateValues" dxfId="669" priority="1949" stopIfTrue="1"/>
  </conditionalFormatting>
  <conditionalFormatting sqref="D486:D487 D470:D474 D462 D476:D479">
    <cfRule type="duplicateValues" dxfId="668" priority="2458" stopIfTrue="1"/>
  </conditionalFormatting>
  <conditionalFormatting sqref="D490">
    <cfRule type="duplicateValues" dxfId="667" priority="2831" stopIfTrue="1"/>
  </conditionalFormatting>
  <conditionalFormatting sqref="D491">
    <cfRule type="duplicateValues" dxfId="666" priority="2403" stopIfTrue="1"/>
  </conditionalFormatting>
  <conditionalFormatting sqref="D492:D500">
    <cfRule type="duplicateValues" dxfId="665" priority="2399" stopIfTrue="1"/>
  </conditionalFormatting>
  <conditionalFormatting sqref="D501">
    <cfRule type="duplicateValues" dxfId="664" priority="2385" stopIfTrue="1"/>
  </conditionalFormatting>
  <conditionalFormatting sqref="D502:D505 D507:D509">
    <cfRule type="duplicateValues" dxfId="663" priority="2420" stopIfTrue="1"/>
  </conditionalFormatting>
  <conditionalFormatting sqref="D506 D481:D484 D463">
    <cfRule type="duplicateValues" dxfId="662" priority="2785" stopIfTrue="1"/>
  </conditionalFormatting>
  <conditionalFormatting sqref="D510">
    <cfRule type="duplicateValues" dxfId="661" priority="2368" stopIfTrue="1"/>
  </conditionalFormatting>
  <conditionalFormatting sqref="D511">
    <cfRule type="duplicateValues" dxfId="660" priority="2364" stopIfTrue="1"/>
  </conditionalFormatting>
  <conditionalFormatting sqref="D512:D519">
    <cfRule type="duplicateValues" dxfId="659" priority="2854" stopIfTrue="1"/>
  </conditionalFormatting>
  <conditionalFormatting sqref="D520">
    <cfRule type="duplicateValues" dxfId="658" priority="717" stopIfTrue="1"/>
  </conditionalFormatting>
  <conditionalFormatting sqref="D534">
    <cfRule type="duplicateValues" dxfId="657" priority="2247" stopIfTrue="1"/>
  </conditionalFormatting>
  <conditionalFormatting sqref="D547">
    <cfRule type="duplicateValues" dxfId="656" priority="1751" stopIfTrue="1"/>
  </conditionalFormatting>
  <conditionalFormatting sqref="D557:D558">
    <cfRule type="duplicateValues" dxfId="655" priority="1752" stopIfTrue="1"/>
  </conditionalFormatting>
  <conditionalFormatting sqref="D561">
    <cfRule type="duplicateValues" dxfId="654" priority="1779" stopIfTrue="1"/>
  </conditionalFormatting>
  <conditionalFormatting sqref="D565">
    <cfRule type="duplicateValues" dxfId="653" priority="1753" stopIfTrue="1"/>
  </conditionalFormatting>
  <conditionalFormatting sqref="F145 M145:O145 Q145">
    <cfRule type="cellIs" dxfId="652" priority="2641" stopIfTrue="1" operator="notEqual">
      <formula>#REF!</formula>
    </cfRule>
    <cfRule type="cellIs" dxfId="651" priority="2640" stopIfTrue="1" operator="notEqual">
      <formula>#REF!</formula>
    </cfRule>
    <cfRule type="cellIs" dxfId="650" priority="2642" stopIfTrue="1" operator="equal">
      <formula>#REF!</formula>
    </cfRule>
  </conditionalFormatting>
  <conditionalFormatting sqref="F145">
    <cfRule type="cellIs" dxfId="649" priority="2639" stopIfTrue="1" operator="notEqual">
      <formula>#REF!</formula>
    </cfRule>
  </conditionalFormatting>
  <conditionalFormatting sqref="F235:F236 M235:M236 O235:O236 Q235:Q236">
    <cfRule type="cellIs" dxfId="648" priority="2629" stopIfTrue="1" operator="notEqual">
      <formula>#REF!</formula>
    </cfRule>
    <cfRule type="cellIs" dxfId="647" priority="2630" stopIfTrue="1" operator="equal">
      <formula>#REF!</formula>
    </cfRule>
    <cfRule type="cellIs" dxfId="646" priority="2628" stopIfTrue="1" operator="notEqual">
      <formula>#REF!</formula>
    </cfRule>
  </conditionalFormatting>
  <conditionalFormatting sqref="F235:F236 M235:M236">
    <cfRule type="cellIs" dxfId="645" priority="2627" stopIfTrue="1" operator="notEqual">
      <formula>#REF!</formula>
    </cfRule>
  </conditionalFormatting>
  <conditionalFormatting sqref="F586 M586 O586 Q586">
    <cfRule type="cellIs" dxfId="644" priority="2213" stopIfTrue="1" operator="equal">
      <formula>#REF!</formula>
    </cfRule>
    <cfRule type="cellIs" dxfId="643" priority="2212" stopIfTrue="1" operator="notEqual">
      <formula>#REF!</formula>
    </cfRule>
    <cfRule type="cellIs" dxfId="642" priority="2211" stopIfTrue="1" operator="notEqual">
      <formula>#REF!</formula>
    </cfRule>
  </conditionalFormatting>
  <conditionalFormatting sqref="F586 M586">
    <cfRule type="cellIs" dxfId="641" priority="2210" stopIfTrue="1" operator="notEqual">
      <formula>#REF!</formula>
    </cfRule>
  </conditionalFormatting>
  <conditionalFormatting sqref="F588 M588 O588 Q588">
    <cfRule type="cellIs" dxfId="640" priority="2180" stopIfTrue="1" operator="notEqual">
      <formula>#REF!</formula>
    </cfRule>
    <cfRule type="cellIs" dxfId="639" priority="2181" stopIfTrue="1" operator="equal">
      <formula>#REF!</formula>
    </cfRule>
    <cfRule type="cellIs" dxfId="638" priority="2179" stopIfTrue="1" operator="notEqual">
      <formula>#REF!</formula>
    </cfRule>
  </conditionalFormatting>
  <conditionalFormatting sqref="F588 M588">
    <cfRule type="cellIs" dxfId="637" priority="2178" stopIfTrue="1" operator="notEqual">
      <formula>#REF!</formula>
    </cfRule>
  </conditionalFormatting>
  <conditionalFormatting sqref="F590:F592 M590:M592 O590:O592 Q590:Q592">
    <cfRule type="cellIs" dxfId="636" priority="1948" stopIfTrue="1" operator="equal">
      <formula>#REF!</formula>
    </cfRule>
    <cfRule type="cellIs" dxfId="635" priority="1947" stopIfTrue="1" operator="notEqual">
      <formula>#REF!</formula>
    </cfRule>
    <cfRule type="cellIs" dxfId="634" priority="1946" stopIfTrue="1" operator="notEqual">
      <formula>#REF!</formula>
    </cfRule>
  </conditionalFormatting>
  <conditionalFormatting sqref="F590:F592 M590:M592">
    <cfRule type="cellIs" dxfId="633" priority="1945" stopIfTrue="1" operator="notEqual">
      <formula>#REF!</formula>
    </cfRule>
  </conditionalFormatting>
  <conditionalFormatting sqref="F594:F596 M594:M596 O594:O596 Q594:Q596">
    <cfRule type="cellIs" dxfId="632" priority="1913" stopIfTrue="1" operator="notEqual">
      <formula>#REF!</formula>
    </cfRule>
    <cfRule type="cellIs" dxfId="631" priority="1915" stopIfTrue="1" operator="equal">
      <formula>#REF!</formula>
    </cfRule>
    <cfRule type="cellIs" dxfId="630" priority="1914" stopIfTrue="1" operator="notEqual">
      <formula>#REF!</formula>
    </cfRule>
  </conditionalFormatting>
  <conditionalFormatting sqref="F594:F596 M594:M596">
    <cfRule type="cellIs" dxfId="629" priority="1912" stopIfTrue="1" operator="notEqual">
      <formula>#REF!</formula>
    </cfRule>
  </conditionalFormatting>
  <conditionalFormatting sqref="F599 M599 O599 Q599">
    <cfRule type="cellIs" dxfId="628" priority="1768" stopIfTrue="1" operator="notEqual">
      <formula>#REF!</formula>
    </cfRule>
    <cfRule type="cellIs" dxfId="627" priority="1769" stopIfTrue="1" operator="equal">
      <formula>#REF!</formula>
    </cfRule>
    <cfRule type="cellIs" dxfId="626" priority="1767" stopIfTrue="1" operator="notEqual">
      <formula>#REF!</formula>
    </cfRule>
  </conditionalFormatting>
  <conditionalFormatting sqref="F600:F602 O600 Q600 M600">
    <cfRule type="cellIs" dxfId="625" priority="1712" stopIfTrue="1" operator="notEqual">
      <formula>#REF!</formula>
    </cfRule>
  </conditionalFormatting>
  <conditionalFormatting sqref="F600:F602">
    <cfRule type="cellIs" dxfId="624" priority="1711" stopIfTrue="1" operator="notEqual">
      <formula>#REF!</formula>
    </cfRule>
  </conditionalFormatting>
  <conditionalFormatting sqref="F604 M604 O604 Q604">
    <cfRule type="cellIs" dxfId="623" priority="161" stopIfTrue="1" operator="notEqual">
      <formula>#REF!</formula>
    </cfRule>
    <cfRule type="cellIs" dxfId="622" priority="163" stopIfTrue="1" operator="equal">
      <formula>#REF!</formula>
    </cfRule>
    <cfRule type="cellIs" dxfId="621" priority="162" stopIfTrue="1" operator="notEqual">
      <formula>#REF!</formula>
    </cfRule>
  </conditionalFormatting>
  <conditionalFormatting sqref="F604:F605 M604:M605 O604:O605 Q604:Q605">
    <cfRule type="cellIs" dxfId="620" priority="150" stopIfTrue="1" operator="notEqual">
      <formula>#REF!</formula>
    </cfRule>
  </conditionalFormatting>
  <conditionalFormatting sqref="F605 M605 O605 Q605">
    <cfRule type="cellIs" dxfId="619" priority="149" stopIfTrue="1" operator="notEqual">
      <formula>#REF!</formula>
    </cfRule>
    <cfRule type="cellIs" dxfId="618" priority="148" stopIfTrue="1" operator="notEqual">
      <formula>#REF!</formula>
    </cfRule>
    <cfRule type="cellIs" dxfId="617" priority="151" stopIfTrue="1" operator="equal">
      <formula>#REF!</formula>
    </cfRule>
  </conditionalFormatting>
  <conditionalFormatting sqref="G151:J151 L151:M151 O151">
    <cfRule type="cellIs" dxfId="616" priority="129" stopIfTrue="1" operator="notEqual">
      <formula>#REF!</formula>
    </cfRule>
    <cfRule type="cellIs" dxfId="615" priority="130" stopIfTrue="1" operator="notEqual">
      <formula>#REF!</formula>
    </cfRule>
  </conditionalFormatting>
  <conditionalFormatting sqref="G154:J165 L154:M165 Q159 Q161 Q163 Q165 O154:O165 O170:O171">
    <cfRule type="cellIs" dxfId="614" priority="2710" stopIfTrue="1" operator="notEqual">
      <formula>#REF!</formula>
    </cfRule>
  </conditionalFormatting>
  <conditionalFormatting sqref="G154:J165 L154:M165 Q159 Q161 Q163 Q165">
    <cfRule type="cellIs" dxfId="613" priority="2709" stopIfTrue="1" operator="notEqual">
      <formula>#REF!</formula>
    </cfRule>
  </conditionalFormatting>
  <conditionalFormatting sqref="G168:J171 L168:M171 O169">
    <cfRule type="cellIs" dxfId="612" priority="245" stopIfTrue="1" operator="notEqual">
      <formula>#REF!</formula>
    </cfRule>
  </conditionalFormatting>
  <conditionalFormatting sqref="G176:J176 L176:M176">
    <cfRule type="cellIs" dxfId="611" priority="2708" stopIfTrue="1" operator="notEqual">
      <formula>#REF!</formula>
    </cfRule>
    <cfRule type="cellIs" dxfId="610" priority="2707" stopIfTrue="1" operator="notEqual">
      <formula>#REF!</formula>
    </cfRule>
  </conditionalFormatting>
  <conditionalFormatting sqref="G178:J195 L178:M195">
    <cfRule type="cellIs" dxfId="609" priority="1740" stopIfTrue="1" operator="notEqual">
      <formula>#REF!</formula>
    </cfRule>
    <cfRule type="cellIs" dxfId="608" priority="1739" stopIfTrue="1" operator="notEqual">
      <formula>#REF!</formula>
    </cfRule>
  </conditionalFormatting>
  <conditionalFormatting sqref="G197:J199 L197:M199">
    <cfRule type="cellIs" dxfId="607" priority="2701" stopIfTrue="1" operator="notEqual">
      <formula>#REF!</formula>
    </cfRule>
    <cfRule type="cellIs" dxfId="606" priority="2702" stopIfTrue="1" operator="notEqual">
      <formula>#REF!</formula>
    </cfRule>
  </conditionalFormatting>
  <conditionalFormatting sqref="G211:J214 L211:M214 O211:O214">
    <cfRule type="cellIs" dxfId="605" priority="1888" stopIfTrue="1" operator="notEqual">
      <formula>#REF!</formula>
    </cfRule>
    <cfRule type="cellIs" dxfId="604" priority="1887" stopIfTrue="1" operator="notEqual">
      <formula>#REF!</formula>
    </cfRule>
  </conditionalFormatting>
  <conditionalFormatting sqref="G217:J229 L217:M229">
    <cfRule type="cellIs" dxfId="603" priority="1722" stopIfTrue="1" operator="notEqual">
      <formula>#REF!</formula>
    </cfRule>
    <cfRule type="cellIs" dxfId="602" priority="1723" stopIfTrue="1" operator="notEqual">
      <formula>#REF!</formula>
    </cfRule>
  </conditionalFormatting>
  <conditionalFormatting sqref="G248:J248 L248:M248">
    <cfRule type="cellIs" dxfId="601" priority="1719" stopIfTrue="1" operator="notEqual">
      <formula>#REF!</formula>
    </cfRule>
    <cfRule type="cellIs" dxfId="600" priority="1720" stopIfTrue="1" operator="notEqual">
      <formula>#REF!</formula>
    </cfRule>
  </conditionalFormatting>
  <conditionalFormatting sqref="L5:M5 O5">
    <cfRule type="cellIs" dxfId="599" priority="2684" stopIfTrue="1" operator="notEqual">
      <formula>#REF!</formula>
    </cfRule>
  </conditionalFormatting>
  <conditionalFormatting sqref="L5:M5">
    <cfRule type="cellIs" dxfId="598" priority="2685" stopIfTrue="1" operator="notEqual">
      <formula>#REF!</formula>
    </cfRule>
  </conditionalFormatting>
  <conditionalFormatting sqref="L14:M14">
    <cfRule type="cellIs" dxfId="597" priority="1829" stopIfTrue="1" operator="notEqual">
      <formula>#REF!</formula>
    </cfRule>
    <cfRule type="cellIs" dxfId="596" priority="1826" stopIfTrue="1" operator="notEqual">
      <formula>#REF!</formula>
    </cfRule>
  </conditionalFormatting>
  <conditionalFormatting sqref="L16:M23 O17:P17">
    <cfRule type="cellIs" dxfId="595" priority="285" stopIfTrue="1" operator="notEqual">
      <formula>#REF!</formula>
    </cfRule>
  </conditionalFormatting>
  <conditionalFormatting sqref="L55:M55">
    <cfRule type="cellIs" dxfId="594" priority="1791" stopIfTrue="1" operator="notEqual">
      <formula>#REF!</formula>
    </cfRule>
    <cfRule type="cellIs" dxfId="593" priority="1794" stopIfTrue="1" operator="notEqual">
      <formula>#REF!</formula>
    </cfRule>
  </conditionalFormatting>
  <conditionalFormatting sqref="L57:M57">
    <cfRule type="cellIs" dxfId="592" priority="1784" stopIfTrue="1" operator="notEqual">
      <formula>#REF!</formula>
    </cfRule>
    <cfRule type="cellIs" dxfId="591" priority="1787" stopIfTrue="1" operator="notEqual">
      <formula>#REF!</formula>
    </cfRule>
  </conditionalFormatting>
  <conditionalFormatting sqref="L66:M66 Q66:R66">
    <cfRule type="cellIs" dxfId="590" priority="1819" stopIfTrue="1" operator="notEqual">
      <formula>#REF!</formula>
    </cfRule>
  </conditionalFormatting>
  <conditionalFormatting sqref="L103:M104 R103:R104">
    <cfRule type="cellIs" dxfId="589" priority="1805" stopIfTrue="1" operator="notEqual">
      <formula>#REF!</formula>
    </cfRule>
  </conditionalFormatting>
  <conditionalFormatting sqref="L168:M171 G168:J171 O169">
    <cfRule type="cellIs" dxfId="588" priority="244" stopIfTrue="1" operator="notEqual">
      <formula>#REF!</formula>
    </cfRule>
  </conditionalFormatting>
  <conditionalFormatting sqref="M169:M170">
    <cfRule type="cellIs" dxfId="587" priority="243" stopIfTrue="1" operator="notEqual">
      <formula>#REF!</formula>
    </cfRule>
    <cfRule type="cellIs" dxfId="586" priority="242" stopIfTrue="1" operator="notEqual">
      <formula>#REF!</formula>
    </cfRule>
  </conditionalFormatting>
  <conditionalFormatting sqref="M202:M205">
    <cfRule type="cellIs" dxfId="585" priority="2695" stopIfTrue="1" operator="equal">
      <formula>#REF!</formula>
    </cfRule>
    <cfRule type="cellIs" dxfId="584" priority="2694" stopIfTrue="1" operator="notEqual">
      <formula>#REF!</formula>
    </cfRule>
  </conditionalFormatting>
  <conditionalFormatting sqref="M230:M233">
    <cfRule type="cellIs" dxfId="583" priority="4" stopIfTrue="1" operator="equal">
      <formula>#REF!</formula>
    </cfRule>
    <cfRule type="cellIs" dxfId="582" priority="3" stopIfTrue="1" operator="notEqual">
      <formula>#REF!</formula>
    </cfRule>
  </conditionalFormatting>
  <conditionalFormatting sqref="M599:M600 O599:O600 Q599:Q600 F599:F602">
    <cfRule type="cellIs" dxfId="581" priority="1713" stopIfTrue="1" operator="notEqual">
      <formula>#REF!</formula>
    </cfRule>
  </conditionalFormatting>
  <conditionalFormatting sqref="M600 O600 Q600 F600:F602">
    <cfRule type="cellIs" dxfId="580" priority="1714" stopIfTrue="1" operator="equal">
      <formula>#REF!</formula>
    </cfRule>
  </conditionalFormatting>
  <conditionalFormatting sqref="M600:M601">
    <cfRule type="cellIs" dxfId="579" priority="1689" stopIfTrue="1" operator="notEqual">
      <formula>#REF!</formula>
    </cfRule>
  </conditionalFormatting>
  <conditionalFormatting sqref="M601">
    <cfRule type="cellIs" dxfId="578" priority="1690" stopIfTrue="1" operator="equal">
      <formula>#REF!</formula>
    </cfRule>
    <cfRule type="cellIs" dxfId="577" priority="1687" stopIfTrue="1" operator="notEqual">
      <formula>#REF!</formula>
    </cfRule>
    <cfRule type="cellIs" dxfId="576" priority="1688" stopIfTrue="1" operator="notEqual">
      <formula>#REF!</formula>
    </cfRule>
  </conditionalFormatting>
  <conditionalFormatting sqref="M145:Q145">
    <cfRule type="cellIs" dxfId="575" priority="686" stopIfTrue="1" operator="notEqual">
      <formula>#REF!</formula>
    </cfRule>
  </conditionalFormatting>
  <conditionalFormatting sqref="O5">
    <cfRule type="cellIs" dxfId="574" priority="2686" stopIfTrue="1" operator="equal">
      <formula>#REF!</formula>
    </cfRule>
  </conditionalFormatting>
  <conditionalFormatting sqref="O8:O13">
    <cfRule type="cellIs" dxfId="573" priority="1839" stopIfTrue="1" operator="notEqual">
      <formula>#REF!</formula>
    </cfRule>
    <cfRule type="cellIs" dxfId="572" priority="1841" stopIfTrue="1" operator="equal">
      <formula>#REF!</formula>
    </cfRule>
  </conditionalFormatting>
  <conditionalFormatting sqref="O13">
    <cfRule type="cellIs" dxfId="571" priority="1842" stopIfTrue="1" operator="notEqual">
      <formula>#REF!</formula>
    </cfRule>
  </conditionalFormatting>
  <conditionalFormatting sqref="O18 L18:M23">
    <cfRule type="cellIs" dxfId="570" priority="2250" stopIfTrue="1" operator="notEqual">
      <formula>#REF!</formula>
    </cfRule>
  </conditionalFormatting>
  <conditionalFormatting sqref="O18">
    <cfRule type="cellIs" dxfId="569" priority="2249" stopIfTrue="1" operator="equal">
      <formula>#REF!</formula>
    </cfRule>
  </conditionalFormatting>
  <conditionalFormatting sqref="O18:O21">
    <cfRule type="cellIs" dxfId="568" priority="691" stopIfTrue="1" operator="notEqual">
      <formula>#REF!</formula>
    </cfRule>
  </conditionalFormatting>
  <conditionalFormatting sqref="O20:O21">
    <cfRule type="cellIs" dxfId="567" priority="2674" stopIfTrue="1" operator="notEqual">
      <formula>#REF!</formula>
    </cfRule>
  </conditionalFormatting>
  <conditionalFormatting sqref="O32:O35 Q32:Q35">
    <cfRule type="cellIs" dxfId="566" priority="15" stopIfTrue="1" operator="equal">
      <formula>#REF!</formula>
    </cfRule>
  </conditionalFormatting>
  <conditionalFormatting sqref="O37:O54 Q41:Q44 O56 O58 Q47:Q48">
    <cfRule type="cellIs" dxfId="565" priority="2693" stopIfTrue="1" operator="notEqual">
      <formula>#REF!</formula>
    </cfRule>
  </conditionalFormatting>
  <conditionalFormatting sqref="O59:O66">
    <cfRule type="cellIs" dxfId="564" priority="1778" stopIfTrue="1" operator="notEqual">
      <formula>#REF!</formula>
    </cfRule>
  </conditionalFormatting>
  <conditionalFormatting sqref="O66">
    <cfRule type="cellIs" dxfId="563" priority="1776" stopIfTrue="1" operator="equal">
      <formula>#REF!</formula>
    </cfRule>
    <cfRule type="cellIs" dxfId="562" priority="1775" stopIfTrue="1" operator="notEqual">
      <formula>#REF!</formula>
    </cfRule>
    <cfRule type="cellIs" dxfId="561" priority="1777" stopIfTrue="1" operator="notEqual">
      <formula>#REF!</formula>
    </cfRule>
  </conditionalFormatting>
  <conditionalFormatting sqref="O84">
    <cfRule type="cellIs" dxfId="560" priority="2668" stopIfTrue="1" operator="notEqual">
      <formula>#REF!</formula>
    </cfRule>
    <cfRule type="cellIs" dxfId="559" priority="2669" stopIfTrue="1" operator="equal">
      <formula>#REF!</formula>
    </cfRule>
    <cfRule type="cellIs" dxfId="558" priority="2670" stopIfTrue="1" operator="notEqual">
      <formula>#REF!</formula>
    </cfRule>
  </conditionalFormatting>
  <conditionalFormatting sqref="O121:O122">
    <cfRule type="cellIs" dxfId="557" priority="2192" stopIfTrue="1" operator="notEqual">
      <formula>#REF!</formula>
    </cfRule>
    <cfRule type="cellIs" dxfId="556" priority="2189" stopIfTrue="1" operator="equal">
      <formula>#REF!</formula>
    </cfRule>
  </conditionalFormatting>
  <conditionalFormatting sqref="O128:O131">
    <cfRule type="cellIs" dxfId="555" priority="1928" stopIfTrue="1" operator="notEqual">
      <formula>#REF!</formula>
    </cfRule>
  </conditionalFormatting>
  <conditionalFormatting sqref="O128:O139 Q132:Q139">
    <cfRule type="cellIs" dxfId="554" priority="1853" stopIfTrue="1" operator="equal">
      <formula>#REF!</formula>
    </cfRule>
    <cfRule type="cellIs" dxfId="553" priority="1852" stopIfTrue="1" operator="notEqual">
      <formula>#REF!</formula>
    </cfRule>
  </conditionalFormatting>
  <conditionalFormatting sqref="O151">
    <cfRule type="cellIs" dxfId="552" priority="131" stopIfTrue="1" operator="notEqual">
      <formula>#REF!</formula>
    </cfRule>
    <cfRule type="cellIs" dxfId="551" priority="132" stopIfTrue="1" operator="equal">
      <formula>#REF!</formula>
    </cfRule>
  </conditionalFormatting>
  <conditionalFormatting sqref="O154:O165 Q159 Q161 Q163 Q165 O170:O171 C154:D165 C170:D171 O168">
    <cfRule type="cellIs" dxfId="550" priority="2716" stopIfTrue="1" operator="notEqual">
      <formula>#REF!</formula>
    </cfRule>
  </conditionalFormatting>
  <conditionalFormatting sqref="O166:O167">
    <cfRule type="cellIs" dxfId="549" priority="253" stopIfTrue="1" operator="equal">
      <formula>#REF!</formula>
    </cfRule>
  </conditionalFormatting>
  <conditionalFormatting sqref="O166:O168">
    <cfRule type="cellIs" dxfId="548" priority="254" stopIfTrue="1" operator="notEqual">
      <formula>#REF!</formula>
    </cfRule>
  </conditionalFormatting>
  <conditionalFormatting sqref="O166:O171 C169:D171">
    <cfRule type="cellIs" dxfId="547" priority="246" stopIfTrue="1" operator="notEqual">
      <formula>#REF!</formula>
    </cfRule>
  </conditionalFormatting>
  <conditionalFormatting sqref="O169 C169:D171">
    <cfRule type="cellIs" dxfId="546" priority="247" stopIfTrue="1" operator="equal">
      <formula>#REF!</formula>
    </cfRule>
  </conditionalFormatting>
  <conditionalFormatting sqref="O207:O210">
    <cfRule type="cellIs" dxfId="545" priority="2651" stopIfTrue="1" operator="notEqual">
      <formula>#REF!</formula>
    </cfRule>
  </conditionalFormatting>
  <conditionalFormatting sqref="O207:O214">
    <cfRule type="cellIs" dxfId="544" priority="1890" stopIfTrue="1" operator="notEqual">
      <formula>#REF!</formula>
    </cfRule>
    <cfRule type="cellIs" dxfId="543" priority="1891" stopIfTrue="1" operator="equal">
      <formula>#REF!</formula>
    </cfRule>
  </conditionalFormatting>
  <conditionalFormatting sqref="O246:O247">
    <cfRule type="cellIs" dxfId="542" priority="1774" stopIfTrue="1" operator="notEqual">
      <formula>#REF!</formula>
    </cfRule>
    <cfRule type="cellIs" dxfId="541" priority="1773" stopIfTrue="1" operator="equal">
      <formula>#REF!</formula>
    </cfRule>
    <cfRule type="cellIs" dxfId="540" priority="1772" stopIfTrue="1" operator="notEqual">
      <formula>#REF!</formula>
    </cfRule>
  </conditionalFormatting>
  <conditionalFormatting sqref="O600:O601 Q600:Q601">
    <cfRule type="cellIs" dxfId="539" priority="1701" stopIfTrue="1" operator="notEqual">
      <formula>#REF!</formula>
    </cfRule>
  </conditionalFormatting>
  <conditionalFormatting sqref="O601 Q601">
    <cfRule type="cellIs" dxfId="538" priority="1702" stopIfTrue="1" operator="equal">
      <formula>#REF!</formula>
    </cfRule>
    <cfRule type="cellIs" dxfId="537" priority="1699" stopIfTrue="1" operator="notEqual">
      <formula>#REF!</formula>
    </cfRule>
    <cfRule type="cellIs" dxfId="536" priority="1700" stopIfTrue="1" operator="notEqual">
      <formula>#REF!</formula>
    </cfRule>
  </conditionalFormatting>
  <conditionalFormatting sqref="O16:P16">
    <cfRule type="cellIs" dxfId="535" priority="619" stopIfTrue="1" operator="notEqual">
      <formula>#REF!</formula>
    </cfRule>
    <cfRule type="cellIs" dxfId="534" priority="620" stopIfTrue="1" operator="notEqual">
      <formula>#REF!</formula>
    </cfRule>
  </conditionalFormatting>
  <conditionalFormatting sqref="O17:P17 L16:M17">
    <cfRule type="cellIs" dxfId="533" priority="284" stopIfTrue="1" operator="notEqual">
      <formula>#REF!</formula>
    </cfRule>
  </conditionalFormatting>
  <conditionalFormatting sqref="O17:P17">
    <cfRule type="cellIs" dxfId="532" priority="280" stopIfTrue="1" operator="notEqual">
      <formula>#REF!</formula>
    </cfRule>
  </conditionalFormatting>
  <conditionalFormatting sqref="O154:P165">
    <cfRule type="cellIs" dxfId="531" priority="299" stopIfTrue="1" operator="notEqual">
      <formula>#REF!</formula>
    </cfRule>
  </conditionalFormatting>
  <conditionalFormatting sqref="O15:Q16">
    <cfRule type="cellIs" dxfId="530" priority="617" stopIfTrue="1" operator="notEqual">
      <formula>#REF!</formula>
    </cfRule>
    <cfRule type="cellIs" dxfId="529" priority="618" stopIfTrue="1" operator="equal">
      <formula>#REF!</formula>
    </cfRule>
  </conditionalFormatting>
  <conditionalFormatting sqref="O235:Q236">
    <cfRule type="cellIs" dxfId="528" priority="682" stopIfTrue="1" operator="notEqual">
      <formula>#REF!</formula>
    </cfRule>
  </conditionalFormatting>
  <conditionalFormatting sqref="O586:Q586">
    <cfRule type="cellIs" dxfId="527" priority="672" stopIfTrue="1" operator="notEqual">
      <formula>#REF!</formula>
    </cfRule>
  </conditionalFormatting>
  <conditionalFormatting sqref="O588:Q588">
    <cfRule type="cellIs" dxfId="526" priority="668" stopIfTrue="1" operator="notEqual">
      <formula>#REF!</formula>
    </cfRule>
  </conditionalFormatting>
  <conditionalFormatting sqref="O590:Q592">
    <cfRule type="cellIs" dxfId="525" priority="664" stopIfTrue="1" operator="notEqual">
      <formula>#REF!</formula>
    </cfRule>
  </conditionalFormatting>
  <conditionalFormatting sqref="O594:Q596">
    <cfRule type="cellIs" dxfId="524" priority="660" stopIfTrue="1" operator="notEqual">
      <formula>#REF!</formula>
    </cfRule>
  </conditionalFormatting>
  <conditionalFormatting sqref="O19:R19">
    <cfRule type="cellIs" dxfId="523" priority="679" stopIfTrue="1" operator="notEqual">
      <formula>#REF!</formula>
    </cfRule>
    <cfRule type="cellIs" dxfId="522" priority="678" stopIfTrue="1" operator="equal">
      <formula>#REF!</formula>
    </cfRule>
    <cfRule type="cellIs" dxfId="521" priority="677" stopIfTrue="1" operator="notEqual">
      <formula>#REF!</formula>
    </cfRule>
  </conditionalFormatting>
  <conditionalFormatting sqref="P5:P11">
    <cfRule type="cellIs" dxfId="520" priority="641" stopIfTrue="1" operator="equal">
      <formula>#REF!</formula>
    </cfRule>
    <cfRule type="cellIs" dxfId="519" priority="640" stopIfTrue="1" operator="notEqual">
      <formula>#REF!</formula>
    </cfRule>
  </conditionalFormatting>
  <conditionalFormatting sqref="P8:P9">
    <cfRule type="cellIs" dxfId="518" priority="633" stopIfTrue="1" operator="notEqual">
      <formula>#REF!</formula>
    </cfRule>
    <cfRule type="cellIs" dxfId="517" priority="631" stopIfTrue="1" operator="notEqual">
      <formula>#REF!</formula>
    </cfRule>
  </conditionalFormatting>
  <conditionalFormatting sqref="P9">
    <cfRule type="cellIs" dxfId="516" priority="634" stopIfTrue="1" operator="notEqual">
      <formula>#REF!</formula>
    </cfRule>
    <cfRule type="cellIs" dxfId="515" priority="636" stopIfTrue="1" operator="notEqual">
      <formula>#REF!</formula>
    </cfRule>
  </conditionalFormatting>
  <conditionalFormatting sqref="P11">
    <cfRule type="cellIs" dxfId="514" priority="639" stopIfTrue="1" operator="notEqual">
      <formula>#REF!</formula>
    </cfRule>
  </conditionalFormatting>
  <conditionalFormatting sqref="P11:P12">
    <cfRule type="cellIs" dxfId="513" priority="629" stopIfTrue="1" operator="notEqual">
      <formula>#REF!</formula>
    </cfRule>
  </conditionalFormatting>
  <conditionalFormatting sqref="P12">
    <cfRule type="cellIs" dxfId="512" priority="628" stopIfTrue="1" operator="notEqual">
      <formula>#REF!</formula>
    </cfRule>
    <cfRule type="cellIs" dxfId="511" priority="630" stopIfTrue="1" operator="equal">
      <formula>#REF!</formula>
    </cfRule>
  </conditionalFormatting>
  <conditionalFormatting sqref="P12:P13">
    <cfRule type="cellIs" dxfId="510" priority="624" stopIfTrue="1" operator="notEqual">
      <formula>#REF!</formula>
    </cfRule>
  </conditionalFormatting>
  <conditionalFormatting sqref="P13">
    <cfRule type="cellIs" dxfId="509" priority="621" stopIfTrue="1" operator="notEqual">
      <formula>#REF!</formula>
    </cfRule>
    <cfRule type="cellIs" dxfId="508" priority="623" stopIfTrue="1" operator="notEqual">
      <formula>#REF!</formula>
    </cfRule>
    <cfRule type="cellIs" dxfId="507" priority="625" stopIfTrue="1" operator="equal">
      <formula>#REF!</formula>
    </cfRule>
  </conditionalFormatting>
  <conditionalFormatting sqref="P15">
    <cfRule type="cellIs" dxfId="506" priority="616" stopIfTrue="1" operator="notEqual">
      <formula>#REF!</formula>
    </cfRule>
    <cfRule type="cellIs" dxfId="505" priority="614" stopIfTrue="1" operator="notEqual">
      <formula>#REF!</formula>
    </cfRule>
    <cfRule type="cellIs" dxfId="504" priority="613" stopIfTrue="1" operator="notEqual">
      <formula>#REF!</formula>
    </cfRule>
    <cfRule type="cellIs" dxfId="503" priority="611" stopIfTrue="1" operator="notEqual">
      <formula>#REF!</formula>
    </cfRule>
  </conditionalFormatting>
  <conditionalFormatting sqref="P17">
    <cfRule type="cellIs" dxfId="502" priority="277" stopIfTrue="1" operator="notEqual">
      <formula>#REF!</formula>
    </cfRule>
    <cfRule type="cellIs" dxfId="501" priority="279" stopIfTrue="1" operator="notEqual">
      <formula>#REF!</formula>
    </cfRule>
    <cfRule type="cellIs" dxfId="500" priority="278" stopIfTrue="1" operator="equal">
      <formula>#REF!</formula>
    </cfRule>
  </conditionalFormatting>
  <conditionalFormatting sqref="P23">
    <cfRule type="cellIs" dxfId="499" priority="608" stopIfTrue="1" operator="equal">
      <formula>#REF!</formula>
    </cfRule>
    <cfRule type="cellIs" dxfId="498" priority="607" stopIfTrue="1" operator="notEqual">
      <formula>#REF!</formula>
    </cfRule>
    <cfRule type="cellIs" dxfId="497" priority="609" stopIfTrue="1" operator="notEqual">
      <formula>#REF!</formula>
    </cfRule>
  </conditionalFormatting>
  <conditionalFormatting sqref="P28">
    <cfRule type="cellIs" dxfId="496" priority="606" stopIfTrue="1" operator="notEqual">
      <formula>#REF!</formula>
    </cfRule>
    <cfRule type="cellIs" dxfId="495" priority="605" stopIfTrue="1" operator="notEqual">
      <formula>#REF!</formula>
    </cfRule>
    <cfRule type="cellIs" dxfId="494" priority="604" stopIfTrue="1" operator="equal">
      <formula>#REF!</formula>
    </cfRule>
    <cfRule type="cellIs" dxfId="493" priority="603" stopIfTrue="1" operator="notEqual">
      <formula>#REF!</formula>
    </cfRule>
  </conditionalFormatting>
  <conditionalFormatting sqref="P37">
    <cfRule type="cellIs" dxfId="492" priority="593" stopIfTrue="1" operator="equal">
      <formula>#REF!</formula>
    </cfRule>
    <cfRule type="cellIs" dxfId="491" priority="595" stopIfTrue="1" operator="notEqual">
      <formula>#REF!</formula>
    </cfRule>
    <cfRule type="cellIs" dxfId="490" priority="594" stopIfTrue="1" operator="notEqual">
      <formula>#REF!</formula>
    </cfRule>
  </conditionalFormatting>
  <conditionalFormatting sqref="P37:P38">
    <cfRule type="cellIs" dxfId="489" priority="576" stopIfTrue="1" operator="notEqual">
      <formula>#REF!</formula>
    </cfRule>
  </conditionalFormatting>
  <conditionalFormatting sqref="P38">
    <cfRule type="cellIs" dxfId="488" priority="574" stopIfTrue="1" operator="equal">
      <formula>#REF!</formula>
    </cfRule>
    <cfRule type="cellIs" dxfId="487" priority="575" stopIfTrue="1" operator="notEqual">
      <formula>#REF!</formula>
    </cfRule>
  </conditionalFormatting>
  <conditionalFormatting sqref="P38:P39">
    <cfRule type="cellIs" dxfId="486" priority="572" stopIfTrue="1" operator="notEqual">
      <formula>#REF!</formula>
    </cfRule>
  </conditionalFormatting>
  <conditionalFormatting sqref="P39">
    <cfRule type="cellIs" dxfId="485" priority="570" stopIfTrue="1" operator="equal">
      <formula>#REF!</formula>
    </cfRule>
    <cfRule type="cellIs" dxfId="484" priority="571" stopIfTrue="1" operator="notEqual">
      <formula>#REF!</formula>
    </cfRule>
  </conditionalFormatting>
  <conditionalFormatting sqref="P39:P44">
    <cfRule type="cellIs" dxfId="483" priority="528" stopIfTrue="1" operator="notEqual">
      <formula>#REF!</formula>
    </cfRule>
  </conditionalFormatting>
  <conditionalFormatting sqref="P40">
    <cfRule type="cellIs" dxfId="482" priority="525" stopIfTrue="1" operator="notEqual">
      <formula>#REF!</formula>
    </cfRule>
    <cfRule type="cellIs" dxfId="481" priority="527" stopIfTrue="1" operator="notEqual">
      <formula>#REF!</formula>
    </cfRule>
  </conditionalFormatting>
  <conditionalFormatting sqref="P40:P44">
    <cfRule type="cellIs" dxfId="480" priority="526" stopIfTrue="1" operator="equal">
      <formula>#REF!</formula>
    </cfRule>
  </conditionalFormatting>
  <conditionalFormatting sqref="P45:P46">
    <cfRule type="cellIs" dxfId="479" priority="523" stopIfTrue="1" operator="equal">
      <formula>#REF!</formula>
    </cfRule>
  </conditionalFormatting>
  <conditionalFormatting sqref="P47:P53">
    <cfRule type="cellIs" dxfId="478" priority="601" stopIfTrue="1" operator="equal">
      <formula>#REF!</formula>
    </cfRule>
    <cfRule type="cellIs" dxfId="477" priority="602" stopIfTrue="1" operator="notEqual">
      <formula>#REF!</formula>
    </cfRule>
  </conditionalFormatting>
  <conditionalFormatting sqref="P49:P53">
    <cfRule type="cellIs" dxfId="476" priority="579" stopIfTrue="1" operator="notEqual">
      <formula>#REF!</formula>
    </cfRule>
    <cfRule type="cellIs" dxfId="475" priority="596" stopIfTrue="1" operator="notEqual">
      <formula>#REF!</formula>
    </cfRule>
    <cfRule type="cellIs" dxfId="474" priority="568" stopIfTrue="1" operator="notEqual">
      <formula>#REF!</formula>
    </cfRule>
  </conditionalFormatting>
  <conditionalFormatting sqref="P50">
    <cfRule type="cellIs" dxfId="473" priority="559" stopIfTrue="1" operator="notEqual">
      <formula>#REF!</formula>
    </cfRule>
    <cfRule type="cellIs" dxfId="472" priority="560" stopIfTrue="1" operator="notEqual">
      <formula>#REF!</formula>
    </cfRule>
    <cfRule type="cellIs" dxfId="471" priority="543" stopIfTrue="1" operator="notEqual">
      <formula>#REF!</formula>
    </cfRule>
    <cfRule type="cellIs" dxfId="470" priority="544" stopIfTrue="1" operator="notEqual">
      <formula>#REF!</formula>
    </cfRule>
  </conditionalFormatting>
  <conditionalFormatting sqref="P50:P51">
    <cfRule type="cellIs" dxfId="469" priority="540" stopIfTrue="1" operator="notEqual">
      <formula>#REF!</formula>
    </cfRule>
    <cfRule type="cellIs" dxfId="468" priority="556" stopIfTrue="1" operator="notEqual">
      <formula>#REF!</formula>
    </cfRule>
  </conditionalFormatting>
  <conditionalFormatting sqref="P51">
    <cfRule type="cellIs" dxfId="467" priority="555" stopIfTrue="1" operator="notEqual">
      <formula>#REF!</formula>
    </cfRule>
    <cfRule type="cellIs" dxfId="466" priority="539" stopIfTrue="1" operator="notEqual">
      <formula>#REF!</formula>
    </cfRule>
  </conditionalFormatting>
  <conditionalFormatting sqref="P51:P53">
    <cfRule type="cellIs" dxfId="465" priority="552" stopIfTrue="1" operator="notEqual">
      <formula>#REF!</formula>
    </cfRule>
    <cfRule type="cellIs" dxfId="464" priority="536" stopIfTrue="1" operator="notEqual">
      <formula>#REF!</formula>
    </cfRule>
  </conditionalFormatting>
  <conditionalFormatting sqref="P52">
    <cfRule type="cellIs" dxfId="463" priority="535" stopIfTrue="1" operator="notEqual">
      <formula>#REF!</formula>
    </cfRule>
    <cfRule type="cellIs" dxfId="462" priority="551" stopIfTrue="1" operator="notEqual">
      <formula>#REF!</formula>
    </cfRule>
    <cfRule type="cellIs" dxfId="461" priority="567" stopIfTrue="1" operator="notEqual">
      <formula>#REF!</formula>
    </cfRule>
  </conditionalFormatting>
  <conditionalFormatting sqref="P52:P53">
    <cfRule type="cellIs" dxfId="460" priority="532" stopIfTrue="1" operator="notEqual">
      <formula>#REF!</formula>
    </cfRule>
    <cfRule type="cellIs" dxfId="459" priority="564" stopIfTrue="1" operator="notEqual">
      <formula>#REF!</formula>
    </cfRule>
    <cfRule type="cellIs" dxfId="458" priority="548" stopIfTrue="1" operator="notEqual">
      <formula>#REF!</formula>
    </cfRule>
  </conditionalFormatting>
  <conditionalFormatting sqref="P53">
    <cfRule type="cellIs" dxfId="457" priority="531" stopIfTrue="1" operator="notEqual">
      <formula>#REF!</formula>
    </cfRule>
    <cfRule type="cellIs" dxfId="456" priority="529" stopIfTrue="1" operator="notEqual">
      <formula>#REF!</formula>
    </cfRule>
    <cfRule type="cellIs" dxfId="455" priority="563" stopIfTrue="1" operator="notEqual">
      <formula>#REF!</formula>
    </cfRule>
    <cfRule type="cellIs" dxfId="454" priority="547" stopIfTrue="1" operator="notEqual">
      <formula>#REF!</formula>
    </cfRule>
  </conditionalFormatting>
  <conditionalFormatting sqref="P59:P67">
    <cfRule type="cellIs" dxfId="453" priority="482" stopIfTrue="1" operator="equal">
      <formula>#REF!</formula>
    </cfRule>
    <cfRule type="cellIs" dxfId="452" priority="483" stopIfTrue="1" operator="notEqual">
      <formula>#REF!</formula>
    </cfRule>
  </conditionalFormatting>
  <conditionalFormatting sqref="P59:P68">
    <cfRule type="cellIs" dxfId="451" priority="369" stopIfTrue="1" operator="notEqual">
      <formula>#REF!</formula>
    </cfRule>
  </conditionalFormatting>
  <conditionalFormatting sqref="P67">
    <cfRule type="cellIs" dxfId="450" priority="491" stopIfTrue="1" operator="notEqual">
      <formula>#REF!</formula>
    </cfRule>
  </conditionalFormatting>
  <conditionalFormatting sqref="P68">
    <cfRule type="cellIs" dxfId="449" priority="367" stopIfTrue="1" operator="equal">
      <formula>#REF!</formula>
    </cfRule>
    <cfRule type="cellIs" dxfId="448" priority="368" stopIfTrue="1" operator="notEqual">
      <formula>#REF!</formula>
    </cfRule>
  </conditionalFormatting>
  <conditionalFormatting sqref="P68:P69">
    <cfRule type="cellIs" dxfId="447" priority="365" stopIfTrue="1" operator="notEqual">
      <formula>#REF!</formula>
    </cfRule>
  </conditionalFormatting>
  <conditionalFormatting sqref="P69">
    <cfRule type="cellIs" dxfId="446" priority="364" stopIfTrue="1" operator="notEqual">
      <formula>#REF!</formula>
    </cfRule>
    <cfRule type="cellIs" dxfId="445" priority="363" stopIfTrue="1" operator="equal">
      <formula>#REF!</formula>
    </cfRule>
    <cfRule type="cellIs" dxfId="444" priority="362" stopIfTrue="1" operator="notEqual">
      <formula>#REF!</formula>
    </cfRule>
  </conditionalFormatting>
  <conditionalFormatting sqref="P73:P74">
    <cfRule type="cellIs" dxfId="443" priority="394" stopIfTrue="1" operator="notEqual">
      <formula>#REF!</formula>
    </cfRule>
    <cfRule type="cellIs" dxfId="442" priority="400" stopIfTrue="1" operator="notEqual">
      <formula>#REF!</formula>
    </cfRule>
    <cfRule type="cellIs" dxfId="441" priority="399" stopIfTrue="1" operator="equal">
      <formula>#REF!</formula>
    </cfRule>
  </conditionalFormatting>
  <conditionalFormatting sqref="P75">
    <cfRule type="cellIs" dxfId="440" priority="498" stopIfTrue="1" operator="notEqual">
      <formula>#REF!</formula>
    </cfRule>
    <cfRule type="cellIs" dxfId="439" priority="497" stopIfTrue="1" operator="equal">
      <formula>#REF!</formula>
    </cfRule>
    <cfRule type="cellIs" dxfId="438" priority="499" stopIfTrue="1" operator="notEqual">
      <formula>#REF!</formula>
    </cfRule>
  </conditionalFormatting>
  <conditionalFormatting sqref="P75:P76">
    <cfRule type="cellIs" dxfId="437" priority="446" stopIfTrue="1" operator="notEqual">
      <formula>#REF!</formula>
    </cfRule>
  </conditionalFormatting>
  <conditionalFormatting sqref="P76">
    <cfRule type="cellIs" dxfId="436" priority="444" stopIfTrue="1" operator="notEqual">
      <formula>#REF!</formula>
    </cfRule>
    <cfRule type="cellIs" dxfId="435" priority="445" stopIfTrue="1" operator="equal">
      <formula>#REF!</formula>
    </cfRule>
    <cfRule type="cellIs" dxfId="434" priority="447" stopIfTrue="1" operator="notEqual">
      <formula>#REF!</formula>
    </cfRule>
  </conditionalFormatting>
  <conditionalFormatting sqref="P78">
    <cfRule type="cellIs" dxfId="433" priority="495" stopIfTrue="1" operator="notEqual">
      <formula>#REF!</formula>
    </cfRule>
    <cfRule type="cellIs" dxfId="432" priority="492" stopIfTrue="1" operator="notEqual">
      <formula>#REF!</formula>
    </cfRule>
    <cfRule type="cellIs" dxfId="431" priority="493" stopIfTrue="1" operator="equal">
      <formula>#REF!</formula>
    </cfRule>
    <cfRule type="cellIs" dxfId="430" priority="494" stopIfTrue="1" operator="notEqual">
      <formula>#REF!</formula>
    </cfRule>
  </conditionalFormatting>
  <conditionalFormatting sqref="P82">
    <cfRule type="cellIs" dxfId="429" priority="512" stopIfTrue="1" operator="notEqual">
      <formula>#REF!</formula>
    </cfRule>
    <cfRule type="cellIs" dxfId="428" priority="513" stopIfTrue="1" operator="notEqual">
      <formula>#REF!</formula>
    </cfRule>
    <cfRule type="cellIs" dxfId="427" priority="511" stopIfTrue="1" operator="equal">
      <formula>#REF!</formula>
    </cfRule>
    <cfRule type="cellIs" dxfId="426" priority="510" stopIfTrue="1" operator="notEqual">
      <formula>#REF!</formula>
    </cfRule>
  </conditionalFormatting>
  <conditionalFormatting sqref="P85">
    <cfRule type="cellIs" dxfId="425" priority="441" stopIfTrue="1" operator="equal">
      <formula>#REF!</formula>
    </cfRule>
    <cfRule type="cellIs" dxfId="424" priority="443" stopIfTrue="1" operator="notEqual">
      <formula>#REF!</formula>
    </cfRule>
    <cfRule type="cellIs" dxfId="423" priority="440" stopIfTrue="1" operator="notEqual">
      <formula>#REF!</formula>
    </cfRule>
  </conditionalFormatting>
  <conditionalFormatting sqref="P85:P86">
    <cfRule type="cellIs" dxfId="422" priority="442" stopIfTrue="1" operator="notEqual">
      <formula>#REF!</formula>
    </cfRule>
  </conditionalFormatting>
  <conditionalFormatting sqref="P86">
    <cfRule type="cellIs" dxfId="421" priority="485" stopIfTrue="1" operator="equal">
      <formula>#REF!</formula>
    </cfRule>
    <cfRule type="cellIs" dxfId="420" priority="486" stopIfTrue="1" operator="notEqual">
      <formula>#REF!</formula>
    </cfRule>
    <cfRule type="cellIs" dxfId="419" priority="487" stopIfTrue="1" operator="notEqual">
      <formula>#REF!</formula>
    </cfRule>
  </conditionalFormatting>
  <conditionalFormatting sqref="P87">
    <cfRule type="cellIs" dxfId="418" priority="381" stopIfTrue="1" operator="notEqual">
      <formula>#REF!</formula>
    </cfRule>
    <cfRule type="cellIs" dxfId="417" priority="379" stopIfTrue="1" operator="equal">
      <formula>#REF!</formula>
    </cfRule>
    <cfRule type="cellIs" dxfId="416" priority="380" stopIfTrue="1" operator="notEqual">
      <formula>#REF!</formula>
    </cfRule>
  </conditionalFormatting>
  <conditionalFormatting sqref="P87:P89">
    <cfRule type="cellIs" dxfId="415" priority="373" stopIfTrue="1" operator="notEqual">
      <formula>#REF!</formula>
    </cfRule>
  </conditionalFormatting>
  <conditionalFormatting sqref="P88">
    <cfRule type="cellIs" dxfId="414" priority="372" stopIfTrue="1" operator="notEqual">
      <formula>#REF!</formula>
    </cfRule>
    <cfRule type="cellIs" dxfId="413" priority="370" stopIfTrue="1" operator="notEqual">
      <formula>#REF!</formula>
    </cfRule>
    <cfRule type="cellIs" dxfId="412" priority="371" stopIfTrue="1" operator="equal">
      <formula>#REF!</formula>
    </cfRule>
  </conditionalFormatting>
  <conditionalFormatting sqref="P89">
    <cfRule type="cellIs" dxfId="411" priority="376" stopIfTrue="1" operator="notEqual">
      <formula>#REF!</formula>
    </cfRule>
    <cfRule type="cellIs" dxfId="410" priority="377" stopIfTrue="1" operator="notEqual">
      <formula>#REF!</formula>
    </cfRule>
    <cfRule type="cellIs" dxfId="409" priority="375" stopIfTrue="1" operator="equal">
      <formula>#REF!</formula>
    </cfRule>
  </conditionalFormatting>
  <conditionalFormatting sqref="P90">
    <cfRule type="cellIs" dxfId="408" priority="393" stopIfTrue="1" operator="notEqual">
      <formula>#REF!</formula>
    </cfRule>
    <cfRule type="cellIs" dxfId="407" priority="391" stopIfTrue="1" operator="equal">
      <formula>#REF!</formula>
    </cfRule>
    <cfRule type="cellIs" dxfId="406" priority="392" stopIfTrue="1" operator="notEqual">
      <formula>#REF!</formula>
    </cfRule>
  </conditionalFormatting>
  <conditionalFormatting sqref="P90:P91">
    <cfRule type="cellIs" dxfId="405" priority="389" stopIfTrue="1" operator="notEqual">
      <formula>#REF!</formula>
    </cfRule>
  </conditionalFormatting>
  <conditionalFormatting sqref="P91">
    <cfRule type="cellIs" dxfId="404" priority="387" stopIfTrue="1" operator="equal">
      <formula>#REF!</formula>
    </cfRule>
    <cfRule type="cellIs" dxfId="403" priority="388" stopIfTrue="1" operator="notEqual">
      <formula>#REF!</formula>
    </cfRule>
  </conditionalFormatting>
  <conditionalFormatting sqref="P91:P92">
    <cfRule type="cellIs" dxfId="402" priority="385" stopIfTrue="1" operator="notEqual">
      <formula>#REF!</formula>
    </cfRule>
  </conditionalFormatting>
  <conditionalFormatting sqref="P92">
    <cfRule type="cellIs" dxfId="401" priority="383" stopIfTrue="1" operator="equal">
      <formula>#REF!</formula>
    </cfRule>
    <cfRule type="cellIs" dxfId="400" priority="384" stopIfTrue="1" operator="notEqual">
      <formula>#REF!</formula>
    </cfRule>
    <cfRule type="cellIs" dxfId="399" priority="382" stopIfTrue="1" operator="notEqual">
      <formula>#REF!</formula>
    </cfRule>
  </conditionalFormatting>
  <conditionalFormatting sqref="P97">
    <cfRule type="cellIs" dxfId="398" priority="509" stopIfTrue="1" operator="notEqual">
      <formula>#REF!</formula>
    </cfRule>
    <cfRule type="cellIs" dxfId="397" priority="506" stopIfTrue="1" operator="notEqual">
      <formula>#REF!</formula>
    </cfRule>
    <cfRule type="cellIs" dxfId="396" priority="507" stopIfTrue="1" operator="equal">
      <formula>#REF!</formula>
    </cfRule>
    <cfRule type="cellIs" dxfId="395" priority="508" stopIfTrue="1" operator="notEqual">
      <formula>#REF!</formula>
    </cfRule>
  </conditionalFormatting>
  <conditionalFormatting sqref="P102:P104">
    <cfRule type="cellIs" dxfId="394" priority="473" stopIfTrue="1" operator="equal">
      <formula>#REF!</formula>
    </cfRule>
  </conditionalFormatting>
  <conditionalFormatting sqref="P102:P106">
    <cfRule type="cellIs" dxfId="393" priority="434" stopIfTrue="1" operator="notEqual">
      <formula>#REF!</formula>
    </cfRule>
  </conditionalFormatting>
  <conditionalFormatting sqref="P105">
    <cfRule type="cellIs" dxfId="392" priority="433" stopIfTrue="1" operator="equal">
      <formula>#REF!</formula>
    </cfRule>
    <cfRule type="cellIs" dxfId="391" priority="432" stopIfTrue="1" operator="notEqual">
      <formula>#REF!</formula>
    </cfRule>
    <cfRule type="cellIs" dxfId="390" priority="435" stopIfTrue="1" operator="notEqual">
      <formula>#REF!</formula>
    </cfRule>
  </conditionalFormatting>
  <conditionalFormatting sqref="P106">
    <cfRule type="cellIs" dxfId="389" priority="438" stopIfTrue="1" operator="notEqual">
      <formula>#REF!</formula>
    </cfRule>
    <cfRule type="cellIs" dxfId="388" priority="437" stopIfTrue="1" operator="equal">
      <formula>#REF!</formula>
    </cfRule>
    <cfRule type="cellIs" dxfId="387" priority="439" stopIfTrue="1" operator="notEqual">
      <formula>#REF!</formula>
    </cfRule>
  </conditionalFormatting>
  <conditionalFormatting sqref="P110">
    <cfRule type="cellIs" dxfId="386" priority="288" stopIfTrue="1" operator="notEqual">
      <formula>#REF!</formula>
    </cfRule>
    <cfRule type="cellIs" dxfId="385" priority="286" stopIfTrue="1" operator="notEqual">
      <formula>#REF!</formula>
    </cfRule>
    <cfRule type="cellIs" dxfId="384" priority="287" stopIfTrue="1" operator="equal">
      <formula>#REF!</formula>
    </cfRule>
  </conditionalFormatting>
  <conditionalFormatting sqref="P111">
    <cfRule type="cellIs" dxfId="383" priority="326" stopIfTrue="1" operator="notEqual">
      <formula>#REF!</formula>
    </cfRule>
    <cfRule type="cellIs" dxfId="382" priority="325" stopIfTrue="1" operator="equal">
      <formula>#REF!</formula>
    </cfRule>
    <cfRule type="cellIs" dxfId="381" priority="324" stopIfTrue="1" operator="notEqual">
      <formula>#REF!</formula>
    </cfRule>
    <cfRule type="cellIs" dxfId="380" priority="323" stopIfTrue="1" operator="notEqual">
      <formula>#REF!</formula>
    </cfRule>
  </conditionalFormatting>
  <conditionalFormatting sqref="P111:P112">
    <cfRule type="cellIs" dxfId="379" priority="320" stopIfTrue="1" operator="notEqual">
      <formula>#REF!</formula>
    </cfRule>
  </conditionalFormatting>
  <conditionalFormatting sqref="P112">
    <cfRule type="cellIs" dxfId="378" priority="315" stopIfTrue="1" operator="notEqual">
      <formula>#REF!</formula>
    </cfRule>
    <cfRule type="cellIs" dxfId="377" priority="317" stopIfTrue="1" operator="notEqual">
      <formula>#REF!</formula>
    </cfRule>
    <cfRule type="cellIs" dxfId="376" priority="318" stopIfTrue="1" operator="notEqual">
      <formula>#REF!</formula>
    </cfRule>
    <cfRule type="cellIs" dxfId="375" priority="319" stopIfTrue="1" operator="equal">
      <formula>#REF!</formula>
    </cfRule>
  </conditionalFormatting>
  <conditionalFormatting sqref="P115">
    <cfRule type="cellIs" dxfId="374" priority="311" stopIfTrue="1" operator="notEqual">
      <formula>#REF!</formula>
    </cfRule>
    <cfRule type="cellIs" dxfId="373" priority="312" stopIfTrue="1" operator="notEqual">
      <formula>#REF!</formula>
    </cfRule>
    <cfRule type="cellIs" dxfId="372" priority="314" stopIfTrue="1" operator="notEqual">
      <formula>#REF!</formula>
    </cfRule>
    <cfRule type="cellIs" dxfId="371" priority="313" stopIfTrue="1" operator="equal">
      <formula>#REF!</formula>
    </cfRule>
  </conditionalFormatting>
  <conditionalFormatting sqref="P115:P116">
    <cfRule type="cellIs" dxfId="370" priority="308" stopIfTrue="1" operator="notEqual">
      <formula>#REF!</formula>
    </cfRule>
  </conditionalFormatting>
  <conditionalFormatting sqref="P116">
    <cfRule type="cellIs" dxfId="369" priority="307" stopIfTrue="1" operator="equal">
      <formula>#REF!</formula>
    </cfRule>
    <cfRule type="cellIs" dxfId="368" priority="306" stopIfTrue="1" operator="notEqual">
      <formula>#REF!</formula>
    </cfRule>
    <cfRule type="cellIs" dxfId="367" priority="305" stopIfTrue="1" operator="notEqual">
      <formula>#REF!</formula>
    </cfRule>
    <cfRule type="cellIs" dxfId="366" priority="303" stopIfTrue="1" operator="notEqual">
      <formula>#REF!</formula>
    </cfRule>
  </conditionalFormatting>
  <conditionalFormatting sqref="P119">
    <cfRule type="cellIs" dxfId="365" priority="359" stopIfTrue="1" operator="equal">
      <formula>#REF!</formula>
    </cfRule>
    <cfRule type="cellIs" dxfId="364" priority="360" stopIfTrue="1" operator="notEqual">
      <formula>#REF!</formula>
    </cfRule>
    <cfRule type="cellIs" dxfId="363" priority="361" stopIfTrue="1" operator="notEqual">
      <formula>#REF!</formula>
    </cfRule>
  </conditionalFormatting>
  <conditionalFormatting sqref="P119:P120">
    <cfRule type="cellIs" dxfId="362" priority="334" stopIfTrue="1" operator="notEqual">
      <formula>#REF!</formula>
    </cfRule>
  </conditionalFormatting>
  <conditionalFormatting sqref="P120">
    <cfRule type="cellIs" dxfId="361" priority="335" stopIfTrue="1" operator="notEqual">
      <formula>#REF!</formula>
    </cfRule>
    <cfRule type="cellIs" dxfId="360" priority="333" stopIfTrue="1" operator="equal">
      <formula>#REF!</formula>
    </cfRule>
    <cfRule type="cellIs" dxfId="359" priority="332" stopIfTrue="1" operator="notEqual">
      <formula>#REF!</formula>
    </cfRule>
  </conditionalFormatting>
  <conditionalFormatting sqref="P129:P130">
    <cfRule type="cellIs" dxfId="358" priority="301" stopIfTrue="1" operator="equal">
      <formula>#REF!</formula>
    </cfRule>
  </conditionalFormatting>
  <conditionalFormatting sqref="P129:P131">
    <cfRule type="cellIs" dxfId="357" priority="302" stopIfTrue="1" operator="notEqual">
      <formula>#REF!</formula>
    </cfRule>
  </conditionalFormatting>
  <conditionalFormatting sqref="P131">
    <cfRule type="cellIs" dxfId="356" priority="331" stopIfTrue="1" operator="equal">
      <formula>#REF!</formula>
    </cfRule>
    <cfRule type="cellIs" dxfId="355" priority="329" stopIfTrue="1" operator="notEqual">
      <formula>#REF!</formula>
    </cfRule>
    <cfRule type="cellIs" dxfId="354" priority="330" stopIfTrue="1" operator="notEqual">
      <formula>#REF!</formula>
    </cfRule>
  </conditionalFormatting>
  <conditionalFormatting sqref="P132">
    <cfRule type="cellIs" dxfId="353" priority="353" stopIfTrue="1" operator="notEqual">
      <formula>#REF!</formula>
    </cfRule>
    <cfRule type="cellIs" dxfId="352" priority="355" stopIfTrue="1" operator="equal">
      <formula>#REF!</formula>
    </cfRule>
    <cfRule type="cellIs" dxfId="351" priority="354" stopIfTrue="1" operator="notEqual">
      <formula>#REF!</formula>
    </cfRule>
  </conditionalFormatting>
  <conditionalFormatting sqref="P132:P133">
    <cfRule type="cellIs" dxfId="350" priority="349" stopIfTrue="1" operator="notEqual">
      <formula>#REF!</formula>
    </cfRule>
  </conditionalFormatting>
  <conditionalFormatting sqref="P133">
    <cfRule type="cellIs" dxfId="349" priority="348" stopIfTrue="1" operator="notEqual">
      <formula>#REF!</formula>
    </cfRule>
    <cfRule type="cellIs" dxfId="348" priority="350" stopIfTrue="1" operator="equal">
      <formula>#REF!</formula>
    </cfRule>
  </conditionalFormatting>
  <conditionalFormatting sqref="P133:P134">
    <cfRule type="cellIs" dxfId="347" priority="344" stopIfTrue="1" operator="notEqual">
      <formula>#REF!</formula>
    </cfRule>
  </conditionalFormatting>
  <conditionalFormatting sqref="P134">
    <cfRule type="cellIs" dxfId="346" priority="343" stopIfTrue="1" operator="notEqual">
      <formula>#REF!</formula>
    </cfRule>
    <cfRule type="cellIs" dxfId="345" priority="345" stopIfTrue="1" operator="equal">
      <formula>#REF!</formula>
    </cfRule>
  </conditionalFormatting>
  <conditionalFormatting sqref="P134:P139">
    <cfRule type="cellIs" dxfId="344" priority="339" stopIfTrue="1" operator="notEqual">
      <formula>#REF!</formula>
    </cfRule>
  </conditionalFormatting>
  <conditionalFormatting sqref="P135">
    <cfRule type="cellIs" dxfId="343" priority="336" stopIfTrue="1" operator="notEqual">
      <formula>#REF!</formula>
    </cfRule>
    <cfRule type="cellIs" dxfId="342" priority="338" stopIfTrue="1" operator="notEqual">
      <formula>#REF!</formula>
    </cfRule>
  </conditionalFormatting>
  <conditionalFormatting sqref="P135:P139">
    <cfRule type="cellIs" dxfId="341" priority="340" stopIfTrue="1" operator="equal">
      <formula>#REF!</formula>
    </cfRule>
  </conditionalFormatting>
  <conditionalFormatting sqref="P145">
    <cfRule type="cellIs" dxfId="340" priority="687" stopIfTrue="1" operator="equal">
      <formula>#REF!</formula>
    </cfRule>
    <cfRule type="cellIs" dxfId="339" priority="685" stopIfTrue="1" operator="notEqual">
      <formula>#REF!</formula>
    </cfRule>
    <cfRule type="cellIs" dxfId="338" priority="684" stopIfTrue="1" operator="notEqual">
      <formula>#REF!</formula>
    </cfRule>
  </conditionalFormatting>
  <conditionalFormatting sqref="P154:P165">
    <cfRule type="cellIs" dxfId="337" priority="298" stopIfTrue="1" operator="notEqual">
      <formula>#REF!</formula>
    </cfRule>
    <cfRule type="cellIs" dxfId="336" priority="297" stopIfTrue="1" operator="notEqual">
      <formula>#REF!</formula>
    </cfRule>
    <cfRule type="cellIs" dxfId="335" priority="300" stopIfTrue="1" operator="equal">
      <formula>#REF!</formula>
    </cfRule>
  </conditionalFormatting>
  <conditionalFormatting sqref="P211">
    <cfRule type="cellIs" dxfId="334" priority="296" stopIfTrue="1" operator="equal">
      <formula>#REF!</formula>
    </cfRule>
    <cfRule type="cellIs" dxfId="333" priority="294" stopIfTrue="1" operator="notEqual">
      <formula>#REF!</formula>
    </cfRule>
    <cfRule type="cellIs" dxfId="332" priority="295" stopIfTrue="1" operator="notEqual">
      <formula>#REF!</formula>
    </cfRule>
  </conditionalFormatting>
  <conditionalFormatting sqref="P211:P212">
    <cfRule type="cellIs" dxfId="331" priority="291" stopIfTrue="1" operator="notEqual">
      <formula>#REF!</formula>
    </cfRule>
  </conditionalFormatting>
  <conditionalFormatting sqref="P212">
    <cfRule type="cellIs" dxfId="330" priority="290" stopIfTrue="1" operator="notEqual">
      <formula>#REF!</formula>
    </cfRule>
    <cfRule type="cellIs" dxfId="329" priority="289" stopIfTrue="1" operator="notEqual">
      <formula>#REF!</formula>
    </cfRule>
    <cfRule type="cellIs" dxfId="328" priority="292" stopIfTrue="1" operator="equal">
      <formula>#REF!</formula>
    </cfRule>
  </conditionalFormatting>
  <conditionalFormatting sqref="P235:P236">
    <cfRule type="cellIs" dxfId="327" priority="683" stopIfTrue="1" operator="equal">
      <formula>#REF!</formula>
    </cfRule>
    <cfRule type="cellIs" dxfId="326" priority="680" stopIfTrue="1" operator="notEqual">
      <formula>#REF!</formula>
    </cfRule>
    <cfRule type="cellIs" dxfId="325" priority="681" stopIfTrue="1" operator="notEqual">
      <formula>#REF!</formula>
    </cfRule>
  </conditionalFormatting>
  <conditionalFormatting sqref="P586">
    <cfRule type="cellIs" dxfId="324" priority="673" stopIfTrue="1" operator="equal">
      <formula>#REF!</formula>
    </cfRule>
    <cfRule type="cellIs" dxfId="323" priority="670" stopIfTrue="1" operator="notEqual">
      <formula>#REF!</formula>
    </cfRule>
    <cfRule type="cellIs" dxfId="322" priority="671" stopIfTrue="1" operator="notEqual">
      <formula>#REF!</formula>
    </cfRule>
  </conditionalFormatting>
  <conditionalFormatting sqref="P588">
    <cfRule type="cellIs" dxfId="321" priority="669" stopIfTrue="1" operator="equal">
      <formula>#REF!</formula>
    </cfRule>
    <cfRule type="cellIs" dxfId="320" priority="667" stopIfTrue="1" operator="notEqual">
      <formula>#REF!</formula>
    </cfRule>
    <cfRule type="cellIs" dxfId="319" priority="666" stopIfTrue="1" operator="notEqual">
      <formula>#REF!</formula>
    </cfRule>
  </conditionalFormatting>
  <conditionalFormatting sqref="P590:P592">
    <cfRule type="cellIs" dxfId="318" priority="665" stopIfTrue="1" operator="equal">
      <formula>#REF!</formula>
    </cfRule>
    <cfRule type="cellIs" dxfId="317" priority="663" stopIfTrue="1" operator="notEqual">
      <formula>#REF!</formula>
    </cfRule>
    <cfRule type="cellIs" dxfId="316" priority="662" stopIfTrue="1" operator="notEqual">
      <formula>#REF!</formula>
    </cfRule>
  </conditionalFormatting>
  <conditionalFormatting sqref="P594:P596">
    <cfRule type="cellIs" dxfId="315" priority="661" stopIfTrue="1" operator="equal">
      <formula>#REF!</formula>
    </cfRule>
    <cfRule type="cellIs" dxfId="314" priority="659" stopIfTrue="1" operator="notEqual">
      <formula>#REF!</formula>
    </cfRule>
    <cfRule type="cellIs" dxfId="313" priority="658" stopIfTrue="1" operator="notEqual">
      <formula>#REF!</formula>
    </cfRule>
  </conditionalFormatting>
  <conditionalFormatting sqref="P599:P601">
    <cfRule type="cellIs" dxfId="312" priority="650" stopIfTrue="1" operator="notEqual">
      <formula>#REF!</formula>
    </cfRule>
    <cfRule type="cellIs" dxfId="311" priority="648" stopIfTrue="1" operator="notEqual">
      <formula>#REF!</formula>
    </cfRule>
    <cfRule type="cellIs" dxfId="310" priority="651" stopIfTrue="1" operator="equal">
      <formula>#REF!</formula>
    </cfRule>
    <cfRule type="cellIs" dxfId="309" priority="649" stopIfTrue="1" operator="notEqual">
      <formula>#REF!</formula>
    </cfRule>
  </conditionalFormatting>
  <conditionalFormatting sqref="P604:P605">
    <cfRule type="cellIs" dxfId="308" priority="136" stopIfTrue="1" operator="notEqual">
      <formula>#REF!</formula>
    </cfRule>
    <cfRule type="cellIs" dxfId="307" priority="139" stopIfTrue="1" operator="equal">
      <formula>#REF!</formula>
    </cfRule>
    <cfRule type="cellIs" dxfId="306" priority="138" stopIfTrue="1" operator="notEqual">
      <formula>#REF!</formula>
    </cfRule>
    <cfRule type="cellIs" dxfId="305" priority="137" stopIfTrue="1" operator="notEqual">
      <formula>#REF!</formula>
    </cfRule>
  </conditionalFormatting>
  <conditionalFormatting sqref="P18:Q18">
    <cfRule type="cellIs" dxfId="304" priority="676" stopIfTrue="1" operator="notEqual">
      <formula>#REF!</formula>
    </cfRule>
    <cfRule type="cellIs" dxfId="303" priority="675" stopIfTrue="1" operator="equal">
      <formula>#REF!</formula>
    </cfRule>
    <cfRule type="cellIs" dxfId="302" priority="674" stopIfTrue="1" operator="notEqual">
      <formula>#REF!</formula>
    </cfRule>
  </conditionalFormatting>
  <conditionalFormatting sqref="P23:Q23">
    <cfRule type="cellIs" dxfId="301" priority="610" stopIfTrue="1" operator="notEqual">
      <formula>#REF!</formula>
    </cfRule>
  </conditionalFormatting>
  <conditionalFormatting sqref="P45:Q46">
    <cfRule type="cellIs" dxfId="300" priority="524" stopIfTrue="1" operator="notEqual">
      <formula>#REF!</formula>
    </cfRule>
  </conditionalFormatting>
  <conditionalFormatting sqref="P14:R14">
    <cfRule type="cellIs" dxfId="299" priority="655" stopIfTrue="1" operator="notEqual">
      <formula>#REF!</formula>
    </cfRule>
    <cfRule type="cellIs" dxfId="298" priority="656" stopIfTrue="1" operator="equal">
      <formula>#REF!</formula>
    </cfRule>
    <cfRule type="cellIs" dxfId="297" priority="657" stopIfTrue="1" operator="notEqual">
      <formula>#REF!</formula>
    </cfRule>
  </conditionalFormatting>
  <conditionalFormatting sqref="P55:R55">
    <cfRule type="cellIs" dxfId="296" priority="652" stopIfTrue="1" operator="notEqual">
      <formula>#REF!</formula>
    </cfRule>
    <cfRule type="cellIs" dxfId="295" priority="653" stopIfTrue="1" operator="equal">
      <formula>#REF!</formula>
    </cfRule>
    <cfRule type="cellIs" dxfId="294" priority="654" stopIfTrue="1" operator="notEqual">
      <formula>#REF!</formula>
    </cfRule>
  </conditionalFormatting>
  <conditionalFormatting sqref="P57:R57">
    <cfRule type="cellIs" dxfId="293" priority="479" stopIfTrue="1" operator="equal">
      <formula>#REF!</formula>
    </cfRule>
    <cfRule type="cellIs" dxfId="292" priority="478" stopIfTrue="1" operator="notEqual">
      <formula>#REF!</formula>
    </cfRule>
    <cfRule type="cellIs" dxfId="291" priority="480" stopIfTrue="1" operator="notEqual">
      <formula>#REF!</formula>
    </cfRule>
  </conditionalFormatting>
  <conditionalFormatting sqref="Q3:Q9">
    <cfRule type="cellIs" dxfId="290" priority="704" stopIfTrue="1" operator="notEqual">
      <formula>#REF!</formula>
    </cfRule>
  </conditionalFormatting>
  <conditionalFormatting sqref="Q3:Q13">
    <cfRule type="cellIs" dxfId="289" priority="703" stopIfTrue="1" operator="equal">
      <formula>#REF!</formula>
    </cfRule>
    <cfRule type="cellIs" dxfId="288" priority="702" stopIfTrue="1" operator="notEqual">
      <formula>#REF!</formula>
    </cfRule>
  </conditionalFormatting>
  <conditionalFormatting sqref="Q20:Q21 Q11:Q13 Q15:Q16">
    <cfRule type="cellIs" dxfId="287" priority="707" stopIfTrue="1" operator="notEqual">
      <formula>#REF!</formula>
    </cfRule>
  </conditionalFormatting>
  <conditionalFormatting sqref="Q20:Q21">
    <cfRule type="cellIs" dxfId="286" priority="705" stopIfTrue="1" operator="notEqual">
      <formula>#REF!</formula>
    </cfRule>
    <cfRule type="cellIs" dxfId="285" priority="706" stopIfTrue="1" operator="equal">
      <formula>#REF!</formula>
    </cfRule>
  </conditionalFormatting>
  <conditionalFormatting sqref="Q23 Q45:Q46 Q49:Q54 Q56">
    <cfRule type="cellIs" dxfId="284" priority="710" stopIfTrue="1" operator="notEqual">
      <formula>#REF!</formula>
    </cfRule>
  </conditionalFormatting>
  <conditionalFormatting sqref="Q28:Q40 O32:O35">
    <cfRule type="cellIs" dxfId="283" priority="14" stopIfTrue="1" operator="notEqual">
      <formula>#REF!</formula>
    </cfRule>
  </conditionalFormatting>
  <conditionalFormatting sqref="Q45:Q54 Q56 Q23">
    <cfRule type="cellIs" dxfId="282" priority="709" stopIfTrue="1" operator="equal">
      <formula>#REF!</formula>
    </cfRule>
  </conditionalFormatting>
  <conditionalFormatting sqref="Q49:Q54 Q56">
    <cfRule type="cellIs" dxfId="281" priority="708" stopIfTrue="1" operator="notEqual">
      <formula>#REF!</formula>
    </cfRule>
  </conditionalFormatting>
  <conditionalFormatting sqref="Q58:Q65 Q67:Q69 Q72">
    <cfRule type="cellIs" dxfId="280" priority="712" stopIfTrue="1" operator="equal">
      <formula>#REF!</formula>
    </cfRule>
    <cfRule type="cellIs" dxfId="279" priority="713" stopIfTrue="1" operator="notEqual">
      <formula>#REF!</formula>
    </cfRule>
    <cfRule type="cellIs" dxfId="278" priority="711" stopIfTrue="1" operator="notEqual">
      <formula>#REF!</formula>
    </cfRule>
  </conditionalFormatting>
  <conditionalFormatting sqref="Q66:R66 L66:M66">
    <cfRule type="cellIs" dxfId="277" priority="1822" stopIfTrue="1" operator="notEqual">
      <formula>#REF!</formula>
    </cfRule>
  </conditionalFormatting>
  <conditionalFormatting sqref="Q66:R66">
    <cfRule type="cellIs" dxfId="276" priority="1821" stopIfTrue="1" operator="equal">
      <formula>#REF!</formula>
    </cfRule>
  </conditionalFormatting>
  <conditionalFormatting sqref="R67">
    <cfRule type="cellIs" dxfId="275" priority="2618" stopIfTrue="1" operator="notEqual">
      <formula>#REF!</formula>
    </cfRule>
  </conditionalFormatting>
  <conditionalFormatting sqref="R103:R104 L103:M104">
    <cfRule type="cellIs" dxfId="274" priority="1808" stopIfTrue="1" operator="notEqual">
      <formula>#REF!</formula>
    </cfRule>
  </conditionalFormatting>
  <conditionalFormatting sqref="R103:R104">
    <cfRule type="cellIs" dxfId="273" priority="1807" stopIfTrue="1" operator="equal">
      <formula>#REF!</formula>
    </cfRule>
  </conditionalFormatting>
  <conditionalFormatting sqref="S145">
    <cfRule type="cellIs" dxfId="272" priority="2537" stopIfTrue="1" operator="notEqual">
      <formula>#REF!</formula>
    </cfRule>
    <cfRule type="cellIs" dxfId="271" priority="2540" stopIfTrue="1" operator="equal">
      <formula>#REF!</formula>
    </cfRule>
    <cfRule type="cellIs" dxfId="270" priority="2539" stopIfTrue="1" operator="notEqual">
      <formula>#REF!</formula>
    </cfRule>
    <cfRule type="cellIs" dxfId="269" priority="2538" stopIfTrue="1" operator="notEqual">
      <formula>#REF!</formula>
    </cfRule>
  </conditionalFormatting>
  <conditionalFormatting sqref="S235:S236">
    <cfRule type="cellIs" dxfId="268" priority="2533" stopIfTrue="1" operator="notEqual">
      <formula>#REF!</formula>
    </cfRule>
    <cfRule type="cellIs" dxfId="267" priority="2534" stopIfTrue="1" operator="notEqual">
      <formula>#REF!</formula>
    </cfRule>
    <cfRule type="cellIs" dxfId="266" priority="2535" stopIfTrue="1" operator="notEqual">
      <formula>#REF!</formula>
    </cfRule>
    <cfRule type="cellIs" dxfId="265" priority="2536" stopIfTrue="1" operator="equal">
      <formula>#REF!</formula>
    </cfRule>
  </conditionalFormatting>
  <conditionalFormatting sqref="S456">
    <cfRule type="duplicateValues" dxfId="264" priority="1962" stopIfTrue="1"/>
  </conditionalFormatting>
  <conditionalFormatting sqref="S457">
    <cfRule type="duplicateValues" dxfId="263" priority="2308" stopIfTrue="1"/>
  </conditionalFormatting>
  <conditionalFormatting sqref="S458">
    <cfRule type="duplicateValues" dxfId="262" priority="2307" stopIfTrue="1"/>
  </conditionalFormatting>
  <conditionalFormatting sqref="S459">
    <cfRule type="duplicateValues" dxfId="261" priority="1961" stopIfTrue="1"/>
  </conditionalFormatting>
  <conditionalFormatting sqref="S460:S461">
    <cfRule type="duplicateValues" dxfId="260" priority="1960" stopIfTrue="1"/>
  </conditionalFormatting>
  <conditionalFormatting sqref="S462">
    <cfRule type="duplicateValues" dxfId="259" priority="2263" stopIfTrue="1"/>
  </conditionalFormatting>
  <conditionalFormatting sqref="S463">
    <cfRule type="duplicateValues" dxfId="258" priority="2262" stopIfTrue="1"/>
  </conditionalFormatting>
  <conditionalFormatting sqref="S464:S465">
    <cfRule type="duplicateValues" dxfId="257" priority="2305" stopIfTrue="1"/>
  </conditionalFormatting>
  <conditionalFormatting sqref="S466:S467">
    <cfRule type="duplicateValues" dxfId="256" priority="2304" stopIfTrue="1"/>
  </conditionalFormatting>
  <conditionalFormatting sqref="S468">
    <cfRule type="duplicateValues" dxfId="255" priority="2309" stopIfTrue="1"/>
  </conditionalFormatting>
  <conditionalFormatting sqref="S469">
    <cfRule type="duplicateValues" dxfId="254" priority="2303" stopIfTrue="1"/>
  </conditionalFormatting>
  <conditionalFormatting sqref="S470:S471">
    <cfRule type="duplicateValues" dxfId="253" priority="2301" stopIfTrue="1"/>
  </conditionalFormatting>
  <conditionalFormatting sqref="S472:S474">
    <cfRule type="duplicateValues" dxfId="252" priority="2777" stopIfTrue="1"/>
  </conditionalFormatting>
  <conditionalFormatting sqref="S475">
    <cfRule type="duplicateValues" dxfId="251" priority="1964" stopIfTrue="1"/>
  </conditionalFormatting>
  <conditionalFormatting sqref="S476">
    <cfRule type="duplicateValues" dxfId="250" priority="2183" stopIfTrue="1"/>
  </conditionalFormatting>
  <conditionalFormatting sqref="S477">
    <cfRule type="duplicateValues" dxfId="249" priority="1959" stopIfTrue="1"/>
  </conditionalFormatting>
  <conditionalFormatting sqref="S478:S479">
    <cfRule type="duplicateValues" dxfId="248" priority="2298" stopIfTrue="1"/>
  </conditionalFormatting>
  <conditionalFormatting sqref="S480">
    <cfRule type="duplicateValues" dxfId="247" priority="1958" stopIfTrue="1"/>
  </conditionalFormatting>
  <conditionalFormatting sqref="S481">
    <cfRule type="duplicateValues" dxfId="246" priority="2296" stopIfTrue="1"/>
  </conditionalFormatting>
  <conditionalFormatting sqref="S482">
    <cfRule type="duplicateValues" dxfId="245" priority="1956" stopIfTrue="1"/>
  </conditionalFormatting>
  <conditionalFormatting sqref="S483">
    <cfRule type="duplicateValues" dxfId="244" priority="1955" stopIfTrue="1"/>
  </conditionalFormatting>
  <conditionalFormatting sqref="S484">
    <cfRule type="duplicateValues" dxfId="243" priority="1957" stopIfTrue="1"/>
  </conditionalFormatting>
  <conditionalFormatting sqref="S485">
    <cfRule type="duplicateValues" dxfId="242" priority="2824" stopIfTrue="1"/>
  </conditionalFormatting>
  <conditionalFormatting sqref="S486">
    <cfRule type="duplicateValues" dxfId="241" priority="1954" stopIfTrue="1"/>
  </conditionalFormatting>
  <conditionalFormatting sqref="S487">
    <cfRule type="duplicateValues" dxfId="240" priority="1953" stopIfTrue="1"/>
  </conditionalFormatting>
  <conditionalFormatting sqref="S489">
    <cfRule type="duplicateValues" dxfId="239" priority="2834" stopIfTrue="1"/>
  </conditionalFormatting>
  <conditionalFormatting sqref="S490">
    <cfRule type="duplicateValues" dxfId="238" priority="2292" stopIfTrue="1"/>
  </conditionalFormatting>
  <conditionalFormatting sqref="S491">
    <cfRule type="duplicateValues" dxfId="237" priority="2286" stopIfTrue="1"/>
  </conditionalFormatting>
  <conditionalFormatting sqref="S492:S493">
    <cfRule type="duplicateValues" dxfId="236" priority="2284" stopIfTrue="1"/>
  </conditionalFormatting>
  <conditionalFormatting sqref="S494:S495">
    <cfRule type="duplicateValues" dxfId="235" priority="2283" stopIfTrue="1"/>
  </conditionalFormatting>
  <conditionalFormatting sqref="S496:S497">
    <cfRule type="duplicateValues" dxfId="234" priority="2282" stopIfTrue="1"/>
  </conditionalFormatting>
  <conditionalFormatting sqref="S500">
    <cfRule type="duplicateValues" dxfId="233" priority="2285" stopIfTrue="1"/>
  </conditionalFormatting>
  <conditionalFormatting sqref="S501">
    <cfRule type="duplicateValues" dxfId="232" priority="2280" stopIfTrue="1"/>
  </conditionalFormatting>
  <conditionalFormatting sqref="S504:S505">
    <cfRule type="duplicateValues" dxfId="231" priority="2278" stopIfTrue="1"/>
  </conditionalFormatting>
  <conditionalFormatting sqref="S506">
    <cfRule type="duplicateValues" dxfId="230" priority="2265" stopIfTrue="1"/>
  </conditionalFormatting>
  <conditionalFormatting sqref="S507">
    <cfRule type="duplicateValues" dxfId="229" priority="2264" stopIfTrue="1"/>
  </conditionalFormatting>
  <conditionalFormatting sqref="S508">
    <cfRule type="duplicateValues" dxfId="228" priority="2277" stopIfTrue="1"/>
  </conditionalFormatting>
  <conditionalFormatting sqref="S509">
    <cfRule type="duplicateValues" dxfId="227" priority="2293" stopIfTrue="1"/>
  </conditionalFormatting>
  <conditionalFormatting sqref="S510">
    <cfRule type="duplicateValues" dxfId="226" priority="2275" stopIfTrue="1"/>
  </conditionalFormatting>
  <conditionalFormatting sqref="S511">
    <cfRule type="duplicateValues" dxfId="225" priority="2274" stopIfTrue="1"/>
  </conditionalFormatting>
  <conditionalFormatting sqref="S516:S519">
    <cfRule type="duplicateValues" dxfId="224" priority="2852" stopIfTrue="1"/>
  </conditionalFormatting>
  <conditionalFormatting sqref="S520">
    <cfRule type="duplicateValues" dxfId="223" priority="715" stopIfTrue="1"/>
  </conditionalFormatting>
  <conditionalFormatting sqref="S534">
    <cfRule type="duplicateValues" dxfId="222" priority="2245" stopIfTrue="1"/>
  </conditionalFormatting>
  <conditionalFormatting sqref="S586">
    <cfRule type="cellIs" dxfId="221" priority="2201" stopIfTrue="1" operator="equal">
      <formula>#REF!</formula>
    </cfRule>
    <cfRule type="cellIs" dxfId="220" priority="2200" stopIfTrue="1" operator="notEqual">
      <formula>#REF!</formula>
    </cfRule>
    <cfRule type="cellIs" dxfId="219" priority="2199" stopIfTrue="1" operator="notEqual">
      <formula>#REF!</formula>
    </cfRule>
    <cfRule type="cellIs" dxfId="218" priority="2198" stopIfTrue="1" operator="notEqual">
      <formula>#REF!</formula>
    </cfRule>
  </conditionalFormatting>
  <conditionalFormatting sqref="S588">
    <cfRule type="cellIs" dxfId="217" priority="2167" stopIfTrue="1" operator="notEqual">
      <formula>#REF!</formula>
    </cfRule>
    <cfRule type="cellIs" dxfId="216" priority="2168" stopIfTrue="1" operator="notEqual">
      <formula>#REF!</formula>
    </cfRule>
    <cfRule type="cellIs" dxfId="215" priority="2169" stopIfTrue="1" operator="equal">
      <formula>#REF!</formula>
    </cfRule>
    <cfRule type="cellIs" dxfId="214" priority="2166" stopIfTrue="1" operator="notEqual">
      <formula>#REF!</formula>
    </cfRule>
  </conditionalFormatting>
  <conditionalFormatting sqref="S527:V527">
    <cfRule type="cellIs" dxfId="213" priority="1686" stopIfTrue="1" operator="equal">
      <formula>#REF!</formula>
    </cfRule>
    <cfRule type="cellIs" dxfId="212" priority="1683" stopIfTrue="1" operator="notEqual">
      <formula>#REF!</formula>
    </cfRule>
    <cfRule type="cellIs" dxfId="211" priority="1684" stopIfTrue="1" operator="notEqual">
      <formula>#REF!</formula>
    </cfRule>
    <cfRule type="cellIs" dxfId="210" priority="1685" stopIfTrue="1" operator="notEqual">
      <formula>#REF!</formula>
    </cfRule>
  </conditionalFormatting>
  <conditionalFormatting sqref="S530:V530">
    <cfRule type="cellIs" dxfId="209" priority="1679" stopIfTrue="1" operator="notEqual">
      <formula>#REF!</formula>
    </cfRule>
    <cfRule type="cellIs" dxfId="208" priority="1680" stopIfTrue="1" operator="notEqual">
      <formula>#REF!</formula>
    </cfRule>
    <cfRule type="cellIs" dxfId="207" priority="1681" stopIfTrue="1" operator="notEqual">
      <formula>#REF!</formula>
    </cfRule>
    <cfRule type="cellIs" dxfId="206" priority="1682" stopIfTrue="1" operator="equal">
      <formula>#REF!</formula>
    </cfRule>
  </conditionalFormatting>
  <conditionalFormatting sqref="S594:V596">
    <cfRule type="cellIs" dxfId="205" priority="1899" stopIfTrue="1" operator="equal">
      <formula>#REF!</formula>
    </cfRule>
    <cfRule type="cellIs" dxfId="204" priority="1898" stopIfTrue="1" operator="notEqual">
      <formula>#REF!</formula>
    </cfRule>
    <cfRule type="cellIs" dxfId="203" priority="1897" stopIfTrue="1" operator="notEqual">
      <formula>#REF!</formula>
    </cfRule>
    <cfRule type="cellIs" dxfId="202" priority="1896" stopIfTrue="1" operator="notEqual">
      <formula>#REF!</formula>
    </cfRule>
  </conditionalFormatting>
  <conditionalFormatting sqref="S599:V599">
    <cfRule type="cellIs" dxfId="201" priority="1756" stopIfTrue="1" operator="notEqual">
      <formula>#REF!</formula>
    </cfRule>
    <cfRule type="cellIs" dxfId="200" priority="1757" stopIfTrue="1" operator="equal">
      <formula>#REF!</formula>
    </cfRule>
    <cfRule type="cellIs" dxfId="199" priority="1755" stopIfTrue="1" operator="notEqual">
      <formula>#REF!</formula>
    </cfRule>
  </conditionalFormatting>
  <conditionalFormatting sqref="S599:V600">
    <cfRule type="cellIs" dxfId="198" priority="1705" stopIfTrue="1" operator="notEqual">
      <formula>#REF!</formula>
    </cfRule>
  </conditionalFormatting>
  <conditionalFormatting sqref="S600:V600">
    <cfRule type="cellIs" dxfId="197" priority="1704" stopIfTrue="1" operator="notEqual">
      <formula>#REF!</formula>
    </cfRule>
    <cfRule type="cellIs" dxfId="196" priority="1706" stopIfTrue="1" operator="equal">
      <formula>#REF!</formula>
    </cfRule>
  </conditionalFormatting>
  <conditionalFormatting sqref="S600:V601">
    <cfRule type="cellIs" dxfId="195" priority="1693" stopIfTrue="1" operator="notEqual">
      <formula>#REF!</formula>
    </cfRule>
  </conditionalFormatting>
  <conditionalFormatting sqref="S601:V601">
    <cfRule type="cellIs" dxfId="194" priority="1691" stopIfTrue="1" operator="notEqual">
      <formula>#REF!</formula>
    </cfRule>
    <cfRule type="cellIs" dxfId="193" priority="1692" stopIfTrue="1" operator="notEqual">
      <formula>#REF!</formula>
    </cfRule>
    <cfRule type="cellIs" dxfId="192" priority="1694" stopIfTrue="1" operator="equal">
      <formula>#REF!</formula>
    </cfRule>
  </conditionalFormatting>
  <conditionalFormatting sqref="S604:V604">
    <cfRule type="cellIs" dxfId="191" priority="153" stopIfTrue="1" operator="notEqual">
      <formula>#REF!</formula>
    </cfRule>
    <cfRule type="cellIs" dxfId="190" priority="154" stopIfTrue="1" operator="notEqual">
      <formula>#REF!</formula>
    </cfRule>
    <cfRule type="cellIs" dxfId="189" priority="155" stopIfTrue="1" operator="equal">
      <formula>#REF!</formula>
    </cfRule>
  </conditionalFormatting>
  <conditionalFormatting sqref="S604:V605">
    <cfRule type="cellIs" dxfId="188" priority="142" stopIfTrue="1" operator="notEqual">
      <formula>#REF!</formula>
    </cfRule>
  </conditionalFormatting>
  <conditionalFormatting sqref="S605:V605">
    <cfRule type="cellIs" dxfId="187" priority="140" stopIfTrue="1" operator="notEqual">
      <formula>#REF!</formula>
    </cfRule>
    <cfRule type="cellIs" dxfId="186" priority="141" stopIfTrue="1" operator="notEqual">
      <formula>#REF!</formula>
    </cfRule>
    <cfRule type="cellIs" dxfId="185" priority="143" stopIfTrue="1" operator="equal">
      <formula>#REF!</formula>
    </cfRule>
  </conditionalFormatting>
  <conditionalFormatting sqref="T456 T466">
    <cfRule type="duplicateValues" dxfId="184" priority="2467" stopIfTrue="1"/>
  </conditionalFormatting>
  <conditionalFormatting sqref="T463">
    <cfRule type="duplicateValues" dxfId="183" priority="2809" stopIfTrue="1"/>
  </conditionalFormatting>
  <conditionalFormatting sqref="T467:T468">
    <cfRule type="duplicateValues" dxfId="182" priority="2466" stopIfTrue="1"/>
  </conditionalFormatting>
  <conditionalFormatting sqref="T469">
    <cfRule type="duplicateValues" dxfId="181" priority="2460" stopIfTrue="1"/>
  </conditionalFormatting>
  <conditionalFormatting sqref="T472:T474 T477">
    <cfRule type="duplicateValues" dxfId="180" priority="2772" stopIfTrue="1"/>
  </conditionalFormatting>
  <conditionalFormatting sqref="T475">
    <cfRule type="duplicateValues" dxfId="179" priority="1963" stopIfTrue="1"/>
  </conditionalFormatting>
  <conditionalFormatting sqref="T476">
    <cfRule type="duplicateValues" dxfId="178" priority="2182" stopIfTrue="1"/>
  </conditionalFormatting>
  <conditionalFormatting sqref="T478">
    <cfRule type="duplicateValues" dxfId="177" priority="2449" stopIfTrue="1"/>
  </conditionalFormatting>
  <conditionalFormatting sqref="T479 T462 T470:T471">
    <cfRule type="duplicateValues" dxfId="176" priority="2448" stopIfTrue="1"/>
  </conditionalFormatting>
  <conditionalFormatting sqref="T480">
    <cfRule type="duplicateValues" dxfId="175" priority="2442" stopIfTrue="1"/>
  </conditionalFormatting>
  <conditionalFormatting sqref="T485">
    <cfRule type="duplicateValues" dxfId="174" priority="2782" stopIfTrue="1"/>
  </conditionalFormatting>
  <conditionalFormatting sqref="T590:T592">
    <cfRule type="cellIs" dxfId="173" priority="1923" stopIfTrue="1" operator="equal">
      <formula>#REF!</formula>
    </cfRule>
    <cfRule type="cellIs" dxfId="172" priority="1920" stopIfTrue="1" operator="notEqual">
      <formula>#REF!</formula>
    </cfRule>
    <cfRule type="cellIs" dxfId="171" priority="1921" stopIfTrue="1" operator="notEqual">
      <formula>#REF!</formula>
    </cfRule>
    <cfRule type="cellIs" dxfId="170" priority="1922" stopIfTrue="1" operator="notEqual">
      <formula>#REF!</formula>
    </cfRule>
  </conditionalFormatting>
  <conditionalFormatting sqref="U390:U391 U393:U394 U396:U397">
    <cfRule type="duplicateValues" dxfId="169" priority="87" stopIfTrue="1"/>
  </conditionalFormatting>
  <conditionalFormatting sqref="U392 U395">
    <cfRule type="duplicateValues" dxfId="168" priority="86" stopIfTrue="1"/>
  </conditionalFormatting>
  <conditionalFormatting sqref="U398 U400:U401 U403">
    <cfRule type="duplicateValues" dxfId="167" priority="83" stopIfTrue="1"/>
  </conditionalFormatting>
  <conditionalFormatting sqref="U399 U402">
    <cfRule type="duplicateValues" dxfId="166" priority="82" stopIfTrue="1"/>
  </conditionalFormatting>
  <conditionalFormatting sqref="U404">
    <cfRule type="duplicateValues" dxfId="165" priority="81" stopIfTrue="1"/>
  </conditionalFormatting>
  <conditionalFormatting sqref="U405 U407:U408 U410">
    <cfRule type="duplicateValues" dxfId="164" priority="80" stopIfTrue="1"/>
  </conditionalFormatting>
  <conditionalFormatting sqref="U406 U409">
    <cfRule type="duplicateValues" dxfId="163" priority="79" stopIfTrue="1"/>
  </conditionalFormatting>
  <conditionalFormatting sqref="U411">
    <cfRule type="duplicateValues" dxfId="162" priority="84" stopIfTrue="1"/>
  </conditionalFormatting>
  <conditionalFormatting sqref="U412:U413">
    <cfRule type="duplicateValues" dxfId="161" priority="85" stopIfTrue="1"/>
  </conditionalFormatting>
  <conditionalFormatting sqref="U414">
    <cfRule type="duplicateValues" dxfId="160" priority="77" stopIfTrue="1"/>
  </conditionalFormatting>
  <conditionalFormatting sqref="U415">
    <cfRule type="duplicateValues" dxfId="159" priority="78" stopIfTrue="1"/>
  </conditionalFormatting>
  <conditionalFormatting sqref="U416">
    <cfRule type="duplicateValues" dxfId="158" priority="73" stopIfTrue="1"/>
  </conditionalFormatting>
  <conditionalFormatting sqref="U417:U418">
    <cfRule type="duplicateValues" dxfId="157" priority="74" stopIfTrue="1"/>
  </conditionalFormatting>
  <conditionalFormatting sqref="U419">
    <cfRule type="duplicateValues" dxfId="156" priority="71" stopIfTrue="1"/>
  </conditionalFormatting>
  <conditionalFormatting sqref="U420">
    <cfRule type="duplicateValues" dxfId="155" priority="72" stopIfTrue="1"/>
  </conditionalFormatting>
  <conditionalFormatting sqref="U421">
    <cfRule type="duplicateValues" dxfId="154" priority="69" stopIfTrue="1"/>
  </conditionalFormatting>
  <conditionalFormatting sqref="U422:U423">
    <cfRule type="duplicateValues" dxfId="153" priority="70" stopIfTrue="1"/>
  </conditionalFormatting>
  <conditionalFormatting sqref="U424">
    <cfRule type="duplicateValues" dxfId="152" priority="67" stopIfTrue="1"/>
  </conditionalFormatting>
  <conditionalFormatting sqref="U425">
    <cfRule type="duplicateValues" dxfId="151" priority="68" stopIfTrue="1"/>
  </conditionalFormatting>
  <conditionalFormatting sqref="U426">
    <cfRule type="duplicateValues" dxfId="150" priority="75" stopIfTrue="1"/>
  </conditionalFormatting>
  <conditionalFormatting sqref="U427:U428">
    <cfRule type="duplicateValues" dxfId="149" priority="76" stopIfTrue="1"/>
  </conditionalFormatting>
  <conditionalFormatting sqref="U443:U444 U450:U451">
    <cfRule type="duplicateValues" dxfId="148" priority="2550" stopIfTrue="1"/>
  </conditionalFormatting>
  <conditionalFormatting sqref="U445:U446 U452:U453">
    <cfRule type="duplicateValues" dxfId="147" priority="2549" stopIfTrue="1"/>
  </conditionalFormatting>
  <conditionalFormatting sqref="U447:U448">
    <cfRule type="duplicateValues" dxfId="146" priority="2548" stopIfTrue="1"/>
  </conditionalFormatting>
  <conditionalFormatting sqref="U449">
    <cfRule type="duplicateValues" dxfId="145" priority="2547" stopIfTrue="1"/>
  </conditionalFormatting>
  <conditionalFormatting sqref="U454">
    <cfRule type="duplicateValues" dxfId="144" priority="2526" stopIfTrue="1"/>
  </conditionalFormatting>
  <conditionalFormatting sqref="V304:V314 V317:V321">
    <cfRule type="duplicateValues" dxfId="143" priority="2608" stopIfTrue="1"/>
  </conditionalFormatting>
  <conditionalFormatting sqref="V315:V316">
    <cfRule type="duplicateValues" dxfId="142" priority="2581" stopIfTrue="1"/>
  </conditionalFormatting>
  <conditionalFormatting sqref="V323:V332">
    <cfRule type="duplicateValues" dxfId="141" priority="2607" stopIfTrue="1"/>
  </conditionalFormatting>
  <conditionalFormatting sqref="V334:V338">
    <cfRule type="duplicateValues" dxfId="140" priority="2582" stopIfTrue="1"/>
  </conditionalFormatting>
  <conditionalFormatting sqref="V339:V343">
    <cfRule type="duplicateValues" dxfId="139" priority="2606" stopIfTrue="1"/>
  </conditionalFormatting>
  <conditionalFormatting sqref="V345:V372">
    <cfRule type="duplicateValues" dxfId="138" priority="2605" stopIfTrue="1"/>
  </conditionalFormatting>
  <conditionalFormatting sqref="V374:V376 V378:V386">
    <cfRule type="duplicateValues" dxfId="137" priority="728" stopIfTrue="1"/>
  </conditionalFormatting>
  <conditionalFormatting sqref="V388">
    <cfRule type="duplicateValues" dxfId="136" priority="725" stopIfTrue="1"/>
  </conditionalFormatting>
  <conditionalFormatting sqref="V390:V391 V393:V394 V396:V397">
    <cfRule type="duplicateValues" dxfId="135" priority="66" stopIfTrue="1"/>
  </conditionalFormatting>
  <conditionalFormatting sqref="V392 V395">
    <cfRule type="duplicateValues" dxfId="134" priority="65" stopIfTrue="1"/>
  </conditionalFormatting>
  <conditionalFormatting sqref="V398 V400:V401 V403">
    <cfRule type="duplicateValues" dxfId="133" priority="62" stopIfTrue="1"/>
  </conditionalFormatting>
  <conditionalFormatting sqref="V399 V402">
    <cfRule type="duplicateValues" dxfId="132" priority="61" stopIfTrue="1"/>
  </conditionalFormatting>
  <conditionalFormatting sqref="V404">
    <cfRule type="duplicateValues" dxfId="131" priority="60" stopIfTrue="1"/>
  </conditionalFormatting>
  <conditionalFormatting sqref="V405 V407:V408 V410">
    <cfRule type="duplicateValues" dxfId="130" priority="59" stopIfTrue="1"/>
  </conditionalFormatting>
  <conditionalFormatting sqref="V406 V409">
    <cfRule type="duplicateValues" dxfId="129" priority="58" stopIfTrue="1"/>
  </conditionalFormatting>
  <conditionalFormatting sqref="V411">
    <cfRule type="duplicateValues" dxfId="128" priority="63" stopIfTrue="1"/>
  </conditionalFormatting>
  <conditionalFormatting sqref="V412:V413">
    <cfRule type="duplicateValues" dxfId="127" priority="64" stopIfTrue="1"/>
  </conditionalFormatting>
  <conditionalFormatting sqref="V414">
    <cfRule type="duplicateValues" dxfId="126" priority="56" stopIfTrue="1"/>
  </conditionalFormatting>
  <conditionalFormatting sqref="V415">
    <cfRule type="duplicateValues" dxfId="125" priority="57" stopIfTrue="1"/>
  </conditionalFormatting>
  <conditionalFormatting sqref="V416">
    <cfRule type="duplicateValues" dxfId="124" priority="52" stopIfTrue="1"/>
  </conditionalFormatting>
  <conditionalFormatting sqref="V417:V418">
    <cfRule type="duplicateValues" dxfId="123" priority="53" stopIfTrue="1"/>
  </conditionalFormatting>
  <conditionalFormatting sqref="V419">
    <cfRule type="duplicateValues" dxfId="122" priority="50" stopIfTrue="1"/>
  </conditionalFormatting>
  <conditionalFormatting sqref="V420">
    <cfRule type="duplicateValues" dxfId="121" priority="51" stopIfTrue="1"/>
  </conditionalFormatting>
  <conditionalFormatting sqref="V421">
    <cfRule type="duplicateValues" dxfId="120" priority="48" stopIfTrue="1"/>
  </conditionalFormatting>
  <conditionalFormatting sqref="V422:V423">
    <cfRule type="duplicateValues" dxfId="119" priority="49" stopIfTrue="1"/>
  </conditionalFormatting>
  <conditionalFormatting sqref="V424">
    <cfRule type="duplicateValues" dxfId="118" priority="46" stopIfTrue="1"/>
  </conditionalFormatting>
  <conditionalFormatting sqref="V425">
    <cfRule type="duplicateValues" dxfId="117" priority="47" stopIfTrue="1"/>
  </conditionalFormatting>
  <conditionalFormatting sqref="V426">
    <cfRule type="duplicateValues" dxfId="116" priority="54" stopIfTrue="1"/>
  </conditionalFormatting>
  <conditionalFormatting sqref="V427:V428">
    <cfRule type="duplicateValues" dxfId="115" priority="55" stopIfTrue="1"/>
  </conditionalFormatting>
  <conditionalFormatting sqref="V430:V431">
    <cfRule type="duplicateValues" dxfId="114" priority="2556" stopIfTrue="1"/>
  </conditionalFormatting>
  <conditionalFormatting sqref="V432:V433">
    <cfRule type="duplicateValues" dxfId="113" priority="2555" stopIfTrue="1"/>
  </conditionalFormatting>
  <conditionalFormatting sqref="V434:V435">
    <cfRule type="duplicateValues" dxfId="112" priority="2554" stopIfTrue="1"/>
  </conditionalFormatting>
  <conditionalFormatting sqref="V436:V437">
    <cfRule type="duplicateValues" dxfId="111" priority="2553" stopIfTrue="1"/>
  </conditionalFormatting>
  <conditionalFormatting sqref="V438:V439">
    <cfRule type="duplicateValues" dxfId="110" priority="2552" stopIfTrue="1"/>
  </conditionalFormatting>
  <conditionalFormatting sqref="V440:V441">
    <cfRule type="duplicateValues" dxfId="109" priority="2551" stopIfTrue="1"/>
  </conditionalFormatting>
  <conditionalFormatting sqref="V590:V592">
    <cfRule type="cellIs" dxfId="108" priority="264" stopIfTrue="1" operator="notEqual">
      <formula>#REF!</formula>
    </cfRule>
    <cfRule type="cellIs" dxfId="107" priority="266" stopIfTrue="1" operator="notEqual">
      <formula>#REF!</formula>
    </cfRule>
    <cfRule type="cellIs" dxfId="106" priority="267" stopIfTrue="1" operator="equal">
      <formula>#REF!</formula>
    </cfRule>
    <cfRule type="cellIs" dxfId="105" priority="265" stopIfTrue="1" operator="notEqual">
      <formula>#REF!</formula>
    </cfRule>
  </conditionalFormatting>
  <conditionalFormatting sqref="X17">
    <cfRule type="cellIs" dxfId="104" priority="276" stopIfTrue="1" operator="notEqual">
      <formula>#REF!</formula>
    </cfRule>
    <cfRule type="cellIs" dxfId="103" priority="275" stopIfTrue="1" operator="equal">
      <formula>#REF!</formula>
    </cfRule>
    <cfRule type="cellIs" dxfId="102" priority="274" stopIfTrue="1" operator="notEqual">
      <formula>#REF!</formula>
    </cfRule>
  </conditionalFormatting>
  <conditionalFormatting sqref="Y5 Y24:Y31 Y83:Y84 Y103:Y104 Y213:Y214 Y246:Y247 Y121:Y122">
    <cfRule type="cellIs" dxfId="101" priority="789" stopIfTrue="1" operator="equal">
      <formula>#REF!</formula>
    </cfRule>
  </conditionalFormatting>
  <conditionalFormatting sqref="Y8:Y21">
    <cfRule type="cellIs" dxfId="100" priority="269" stopIfTrue="1" operator="equal">
      <formula>#REF!</formula>
    </cfRule>
    <cfRule type="cellIs" dxfId="99" priority="268" stopIfTrue="1" operator="notEqual">
      <formula>#REF!</formula>
    </cfRule>
  </conditionalFormatting>
  <conditionalFormatting sqref="Y16:Y21">
    <cfRule type="cellIs" dxfId="98" priority="270" stopIfTrue="1" operator="notEqual">
      <formula>#REF!</formula>
    </cfRule>
  </conditionalFormatting>
  <conditionalFormatting sqref="Y30:Y67">
    <cfRule type="cellIs" dxfId="97" priority="7" stopIfTrue="1" operator="equal">
      <formula>#REF!</formula>
    </cfRule>
    <cfRule type="cellIs" dxfId="96" priority="6" stopIfTrue="1" operator="notEqual">
      <formula>#REF!</formula>
    </cfRule>
  </conditionalFormatting>
  <conditionalFormatting sqref="Y110">
    <cfRule type="cellIs" dxfId="95" priority="698" stopIfTrue="1" operator="equal">
      <formula>#REF!</formula>
    </cfRule>
    <cfRule type="cellIs" dxfId="94" priority="697" stopIfTrue="1" operator="notEqual">
      <formula>#REF!</formula>
    </cfRule>
    <cfRule type="cellIs" dxfId="93" priority="695" stopIfTrue="1" operator="notEqual">
      <formula>#REF!</formula>
    </cfRule>
  </conditionalFormatting>
  <conditionalFormatting sqref="Y121:Y122">
    <cfRule type="cellIs" dxfId="92" priority="759" stopIfTrue="1" operator="notEqual">
      <formula>#REF!</formula>
    </cfRule>
  </conditionalFormatting>
  <conditionalFormatting sqref="Y127:Y139">
    <cfRule type="cellIs" dxfId="91" priority="740" stopIfTrue="1" operator="equal">
      <formula>#REF!</formula>
    </cfRule>
    <cfRule type="cellIs" dxfId="90" priority="739" stopIfTrue="1" operator="notEqual">
      <formula>#REF!</formula>
    </cfRule>
  </conditionalFormatting>
  <conditionalFormatting sqref="Y145">
    <cfRule type="cellIs" dxfId="89" priority="795" stopIfTrue="1" operator="notEqual">
      <formula>#REF!</formula>
    </cfRule>
    <cfRule type="cellIs" dxfId="88" priority="794" stopIfTrue="1" operator="notEqual">
      <formula>#REF!</formula>
    </cfRule>
    <cfRule type="cellIs" dxfId="87" priority="796" stopIfTrue="1" operator="notEqual">
      <formula>#REF!</formula>
    </cfRule>
    <cfRule type="cellIs" dxfId="86" priority="797" stopIfTrue="1" operator="equal">
      <formula>#REF!</formula>
    </cfRule>
  </conditionalFormatting>
  <conditionalFormatting sqref="Y154:Y165 Y170:Y171">
    <cfRule type="cellIs" dxfId="85" priority="798" stopIfTrue="1" operator="notEqual">
      <formula>#REF!</formula>
    </cfRule>
    <cfRule type="cellIs" dxfId="84" priority="799" stopIfTrue="1" operator="equal">
      <formula>#REF!</formula>
    </cfRule>
  </conditionalFormatting>
  <conditionalFormatting sqref="Y154:Y167">
    <cfRule type="cellIs" dxfId="83" priority="248" stopIfTrue="1" operator="notEqual">
      <formula>#REF!</formula>
    </cfRule>
  </conditionalFormatting>
  <conditionalFormatting sqref="Y166:Y167">
    <cfRule type="cellIs" dxfId="82" priority="249" stopIfTrue="1" operator="equal">
      <formula>#REF!</formula>
    </cfRule>
  </conditionalFormatting>
  <conditionalFormatting sqref="Y169">
    <cfRule type="cellIs" dxfId="81" priority="220" stopIfTrue="1" operator="equal">
      <formula>#REF!</formula>
    </cfRule>
    <cfRule type="cellIs" dxfId="80" priority="219" stopIfTrue="1" operator="notEqual">
      <formula>#REF!</formula>
    </cfRule>
    <cfRule type="cellIs" dxfId="79" priority="221" stopIfTrue="1" operator="notEqual">
      <formula>#REF!</formula>
    </cfRule>
  </conditionalFormatting>
  <conditionalFormatting sqref="Y169:Y171">
    <cfRule type="cellIs" dxfId="78" priority="223" stopIfTrue="1" operator="equal">
      <formula>#REF!</formula>
    </cfRule>
    <cfRule type="cellIs" dxfId="77" priority="222" stopIfTrue="1" operator="notEqual">
      <formula>#REF!</formula>
    </cfRule>
  </conditionalFormatting>
  <conditionalFormatting sqref="Y196">
    <cfRule type="cellIs" dxfId="76" priority="743" stopIfTrue="1" operator="notEqual">
      <formula>#REF!</formula>
    </cfRule>
  </conditionalFormatting>
  <conditionalFormatting sqref="Y196:Y201">
    <cfRule type="cellIs" dxfId="75" priority="741" stopIfTrue="1" operator="notEqual">
      <formula>#REF!</formula>
    </cfRule>
    <cfRule type="cellIs" dxfId="74" priority="744" stopIfTrue="1" operator="equal">
      <formula>#REF!</formula>
    </cfRule>
  </conditionalFormatting>
  <conditionalFormatting sqref="Y206:Y209">
    <cfRule type="cellIs" dxfId="73" priority="752" stopIfTrue="1" operator="notEqual">
      <formula>#REF!</formula>
    </cfRule>
    <cfRule type="cellIs" dxfId="72" priority="753" stopIfTrue="1" operator="equal">
      <formula>#REF!</formula>
    </cfRule>
  </conditionalFormatting>
  <conditionalFormatting sqref="Y213:Y214 Y24:Y31 Y5 Y83:Y84 Y103:Y104 Y246:Y247">
    <cfRule type="cellIs" dxfId="71" priority="788" stopIfTrue="1" operator="notEqual">
      <formula>#REF!</formula>
    </cfRule>
  </conditionalFormatting>
  <conditionalFormatting sqref="Y213:Y214">
    <cfRule type="cellIs" dxfId="70" priority="745" stopIfTrue="1" operator="notEqual">
      <formula>#REF!</formula>
    </cfRule>
    <cfRule type="cellIs" dxfId="69" priority="746" stopIfTrue="1" operator="notEqual">
      <formula>#REF!</formula>
    </cfRule>
  </conditionalFormatting>
  <conditionalFormatting sqref="Y235 Y5 Y103:Y104 Y197:Y199 Y14 Y154:Y165 Y170:Y171 Y55 Y57 Y66">
    <cfRule type="cellIs" dxfId="68" priority="791" stopIfTrue="1" operator="notEqual">
      <formula>#REF!</formula>
    </cfRule>
  </conditionalFormatting>
  <conditionalFormatting sqref="Y235">
    <cfRule type="cellIs" dxfId="67" priority="792" stopIfTrue="1" operator="notEqual">
      <formula>#REF!</formula>
    </cfRule>
    <cfRule type="cellIs" dxfId="66" priority="793" stopIfTrue="1" operator="equal">
      <formula>#REF!</formula>
    </cfRule>
    <cfRule type="cellIs" dxfId="65" priority="790" stopIfTrue="1" operator="notEqual">
      <formula>#REF!</formula>
    </cfRule>
  </conditionalFormatting>
  <conditionalFormatting sqref="Y288">
    <cfRule type="duplicateValues" dxfId="64" priority="784" stopIfTrue="1"/>
  </conditionalFormatting>
  <conditionalFormatting sqref="Y289:Y296">
    <cfRule type="duplicateValues" dxfId="63" priority="801" stopIfTrue="1"/>
  </conditionalFormatting>
  <conditionalFormatting sqref="Y297:Y298 Y300:Y302">
    <cfRule type="duplicateValues" dxfId="62" priority="3017" stopIfTrue="1"/>
  </conditionalFormatting>
  <conditionalFormatting sqref="Y299">
    <cfRule type="duplicateValues" dxfId="61" priority="24" stopIfTrue="1"/>
  </conditionalFormatting>
  <conditionalFormatting sqref="Y304:Y321">
    <cfRule type="duplicateValues" dxfId="60" priority="787" stopIfTrue="1"/>
  </conditionalFormatting>
  <conditionalFormatting sqref="Y323:Y332">
    <cfRule type="duplicateValues" dxfId="59" priority="786" stopIfTrue="1"/>
  </conditionalFormatting>
  <conditionalFormatting sqref="Y334:Y343">
    <cfRule type="duplicateValues" dxfId="58" priority="785" stopIfTrue="1"/>
  </conditionalFormatting>
  <conditionalFormatting sqref="Y376:Y377">
    <cfRule type="duplicateValues" dxfId="57" priority="133" stopIfTrue="1"/>
  </conditionalFormatting>
  <conditionalFormatting sqref="Y390:Y391 Y393:Y394 Y396:Y397">
    <cfRule type="duplicateValues" dxfId="56" priority="45" stopIfTrue="1"/>
  </conditionalFormatting>
  <conditionalFormatting sqref="Y392 Y395">
    <cfRule type="duplicateValues" dxfId="55" priority="44" stopIfTrue="1"/>
  </conditionalFormatting>
  <conditionalFormatting sqref="Y398 Y400:Y401 Y403">
    <cfRule type="duplicateValues" dxfId="54" priority="41" stopIfTrue="1"/>
  </conditionalFormatting>
  <conditionalFormatting sqref="Y399 Y402">
    <cfRule type="duplicateValues" dxfId="53" priority="40" stopIfTrue="1"/>
  </conditionalFormatting>
  <conditionalFormatting sqref="Y404">
    <cfRule type="duplicateValues" dxfId="52" priority="39" stopIfTrue="1"/>
  </conditionalFormatting>
  <conditionalFormatting sqref="Y405 Y407:Y408 Y410">
    <cfRule type="duplicateValues" dxfId="51" priority="38" stopIfTrue="1"/>
  </conditionalFormatting>
  <conditionalFormatting sqref="Y406 Y409">
    <cfRule type="duplicateValues" dxfId="50" priority="37" stopIfTrue="1"/>
  </conditionalFormatting>
  <conditionalFormatting sqref="Y411">
    <cfRule type="duplicateValues" dxfId="49" priority="42" stopIfTrue="1"/>
  </conditionalFormatting>
  <conditionalFormatting sqref="Y412:Y413">
    <cfRule type="duplicateValues" dxfId="48" priority="43" stopIfTrue="1"/>
  </conditionalFormatting>
  <conditionalFormatting sqref="Y414">
    <cfRule type="duplicateValues" dxfId="47" priority="35" stopIfTrue="1"/>
  </conditionalFormatting>
  <conditionalFormatting sqref="Y415">
    <cfRule type="duplicateValues" dxfId="46" priority="36" stopIfTrue="1"/>
  </conditionalFormatting>
  <conditionalFormatting sqref="Y416">
    <cfRule type="duplicateValues" dxfId="45" priority="31" stopIfTrue="1"/>
  </conditionalFormatting>
  <conditionalFormatting sqref="Y417:Y418">
    <cfRule type="duplicateValues" dxfId="44" priority="32" stopIfTrue="1"/>
  </conditionalFormatting>
  <conditionalFormatting sqref="Y419">
    <cfRule type="duplicateValues" dxfId="43" priority="29" stopIfTrue="1"/>
  </conditionalFormatting>
  <conditionalFormatting sqref="Y420">
    <cfRule type="duplicateValues" dxfId="42" priority="30" stopIfTrue="1"/>
  </conditionalFormatting>
  <conditionalFormatting sqref="Y421">
    <cfRule type="duplicateValues" dxfId="41" priority="27" stopIfTrue="1"/>
  </conditionalFormatting>
  <conditionalFormatting sqref="Y422:Y423">
    <cfRule type="duplicateValues" dxfId="40" priority="28" stopIfTrue="1"/>
  </conditionalFormatting>
  <conditionalFormatting sqref="Y424">
    <cfRule type="duplicateValues" dxfId="39" priority="25" stopIfTrue="1"/>
  </conditionalFormatting>
  <conditionalFormatting sqref="Y425">
    <cfRule type="duplicateValues" dxfId="38" priority="26" stopIfTrue="1"/>
  </conditionalFormatting>
  <conditionalFormatting sqref="Y426">
    <cfRule type="duplicateValues" dxfId="37" priority="33" stopIfTrue="1"/>
  </conditionalFormatting>
  <conditionalFormatting sqref="Y427:Y428">
    <cfRule type="duplicateValues" dxfId="36" priority="34" stopIfTrue="1"/>
  </conditionalFormatting>
  <conditionalFormatting sqref="Y430:Y431">
    <cfRule type="duplicateValues" dxfId="35" priority="783" stopIfTrue="1"/>
  </conditionalFormatting>
  <conditionalFormatting sqref="Y432:Y433">
    <cfRule type="duplicateValues" dxfId="34" priority="778" stopIfTrue="1"/>
  </conditionalFormatting>
  <conditionalFormatting sqref="Y434:Y435">
    <cfRule type="duplicateValues" dxfId="33" priority="777" stopIfTrue="1"/>
  </conditionalFormatting>
  <conditionalFormatting sqref="Y436:Y437">
    <cfRule type="duplicateValues" dxfId="32" priority="782" stopIfTrue="1"/>
  </conditionalFormatting>
  <conditionalFormatting sqref="Y438:Y439">
    <cfRule type="duplicateValues" dxfId="31" priority="781" stopIfTrue="1"/>
  </conditionalFormatting>
  <conditionalFormatting sqref="Y440:Y441">
    <cfRule type="duplicateValues" dxfId="30" priority="780" stopIfTrue="1"/>
  </conditionalFormatting>
  <conditionalFormatting sqref="Y443:Y454">
    <cfRule type="duplicateValues" dxfId="29" priority="779" stopIfTrue="1"/>
  </conditionalFormatting>
  <conditionalFormatting sqref="Y456:Y461 Y466 Y468">
    <cfRule type="duplicateValues" dxfId="28" priority="776" stopIfTrue="1"/>
  </conditionalFormatting>
  <conditionalFormatting sqref="Y469">
    <cfRule type="duplicateValues" dxfId="27" priority="775" stopIfTrue="1"/>
  </conditionalFormatting>
  <conditionalFormatting sqref="Y475">
    <cfRule type="duplicateValues" dxfId="26" priority="754" stopIfTrue="1"/>
  </conditionalFormatting>
  <conditionalFormatting sqref="Y480">
    <cfRule type="duplicateValues" dxfId="25" priority="773" stopIfTrue="1"/>
  </conditionalFormatting>
  <conditionalFormatting sqref="Y485">
    <cfRule type="duplicateValues" dxfId="24" priority="751" stopIfTrue="1"/>
  </conditionalFormatting>
  <conditionalFormatting sqref="Y486:Y487 Y470:Y474 Y462 Y476:Y479">
    <cfRule type="duplicateValues" dxfId="23" priority="774" stopIfTrue="1"/>
  </conditionalFormatting>
  <conditionalFormatting sqref="Y490">
    <cfRule type="duplicateValues" dxfId="22" priority="802" stopIfTrue="1"/>
  </conditionalFormatting>
  <conditionalFormatting sqref="Y491">
    <cfRule type="duplicateValues" dxfId="21" priority="771" stopIfTrue="1"/>
  </conditionalFormatting>
  <conditionalFormatting sqref="Y492:Y500">
    <cfRule type="duplicateValues" dxfId="20" priority="770" stopIfTrue="1"/>
  </conditionalFormatting>
  <conditionalFormatting sqref="Y501">
    <cfRule type="duplicateValues" dxfId="19" priority="769" stopIfTrue="1"/>
  </conditionalFormatting>
  <conditionalFormatting sqref="Y502:Y505 Y507:Y509">
    <cfRule type="duplicateValues" dxfId="18" priority="772" stopIfTrue="1"/>
  </conditionalFormatting>
  <conditionalFormatting sqref="Y506 Y481:Y484 Y463">
    <cfRule type="duplicateValues" dxfId="17" priority="800" stopIfTrue="1"/>
  </conditionalFormatting>
  <conditionalFormatting sqref="Y510">
    <cfRule type="duplicateValues" dxfId="16" priority="768" stopIfTrue="1"/>
  </conditionalFormatting>
  <conditionalFormatting sqref="Y511">
    <cfRule type="duplicateValues" dxfId="15" priority="767" stopIfTrue="1"/>
  </conditionalFormatting>
  <conditionalFormatting sqref="Y512:Y519">
    <cfRule type="duplicateValues" dxfId="14" priority="803" stopIfTrue="1"/>
  </conditionalFormatting>
  <conditionalFormatting sqref="Y520">
    <cfRule type="duplicateValues" dxfId="13" priority="714" stopIfTrue="1"/>
  </conditionalFormatting>
  <conditionalFormatting sqref="Y534">
    <cfRule type="duplicateValues" dxfId="12" priority="764" stopIfTrue="1"/>
  </conditionalFormatting>
  <conditionalFormatting sqref="Y547">
    <cfRule type="duplicateValues" dxfId="11" priority="733" stopIfTrue="1"/>
  </conditionalFormatting>
  <conditionalFormatting sqref="Y557:Y558">
    <cfRule type="duplicateValues" dxfId="10" priority="734" stopIfTrue="1"/>
  </conditionalFormatting>
  <conditionalFormatting sqref="Y561">
    <cfRule type="duplicateValues" dxfId="9" priority="736" stopIfTrue="1"/>
  </conditionalFormatting>
  <conditionalFormatting sqref="Y565">
    <cfRule type="duplicateValues" dxfId="8" priority="735" stopIfTrue="1"/>
  </conditionalFormatting>
  <conditionalFormatting sqref="Y586">
    <cfRule type="cellIs" dxfId="7" priority="763" stopIfTrue="1" operator="equal">
      <formula>#REF!</formula>
    </cfRule>
    <cfRule type="cellIs" dxfId="6" priority="762" stopIfTrue="1" operator="notEqual">
      <formula>#REF!</formula>
    </cfRule>
    <cfRule type="cellIs" dxfId="5" priority="761" stopIfTrue="1" operator="notEqual">
      <formula>#REF!</formula>
    </cfRule>
    <cfRule type="cellIs" dxfId="4" priority="760" stopIfTrue="1" operator="notEqual">
      <formula>#REF!</formula>
    </cfRule>
  </conditionalFormatting>
  <conditionalFormatting sqref="Y588">
    <cfRule type="cellIs" dxfId="3" priority="756" stopIfTrue="1" operator="notEqual">
      <formula>#REF!</formula>
    </cfRule>
    <cfRule type="cellIs" dxfId="2" priority="757" stopIfTrue="1" operator="notEqual">
      <formula>#REF!</formula>
    </cfRule>
    <cfRule type="cellIs" dxfId="1" priority="755" stopIfTrue="1" operator="notEqual">
      <formula>#REF!</formula>
    </cfRule>
    <cfRule type="cellIs" dxfId="0" priority="758" stopIfTrue="1" operator="equal">
      <formula>#REF!</formula>
    </cfRule>
  </conditionalFormatting>
  <dataValidations count="1">
    <dataValidation type="list" allowBlank="1" showInputMessage="1" showErrorMessage="1" sqref="W1:W1048576" xr:uid="{00000000-0002-0000-0500-000000000000}">
      <formula1>"NormalArr,Group8bitArr,xTArr"</formula1>
    </dataValidation>
  </dataValidations>
  <pageMargins left="0.7" right="0.7" top="0.75" bottom="0.75" header="0.3" footer="0.3"/>
  <pageSetup paperSize="9" orientation="portrait"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K47" sqref="K47"/>
    </sheetView>
  </sheetViews>
  <sheetFormatPr defaultColWidth="8.78515625" defaultRowHeight="12.75" x14ac:dyDescent="0.35"/>
  <cols>
    <col min="1" max="1" width="14.42578125" style="153" customWidth="1"/>
    <col min="2" max="16384" width="8.78515625" style="153"/>
  </cols>
  <sheetData>
    <row r="1" spans="1:3" x14ac:dyDescent="0.35">
      <c r="A1" s="153" t="s">
        <v>1017</v>
      </c>
      <c r="B1" s="153" t="s">
        <v>1018</v>
      </c>
      <c r="C1" s="153" t="s">
        <v>1019</v>
      </c>
    </row>
    <row r="2" spans="1:3" x14ac:dyDescent="0.35">
      <c r="A2" s="153" t="s">
        <v>1020</v>
      </c>
      <c r="B2" s="153" t="s">
        <v>1021</v>
      </c>
      <c r="C2" s="153">
        <v>0</v>
      </c>
    </row>
    <row r="3" spans="1:3" x14ac:dyDescent="0.35">
      <c r="A3" s="153" t="s">
        <v>1022</v>
      </c>
      <c r="B3" s="153" t="s">
        <v>744</v>
      </c>
      <c r="C3" s="153">
        <v>0</v>
      </c>
    </row>
    <row r="4" spans="1:3" x14ac:dyDescent="0.35">
      <c r="A4" s="153" t="s">
        <v>1023</v>
      </c>
      <c r="B4" s="153" t="s">
        <v>744</v>
      </c>
      <c r="C4" s="153">
        <v>1</v>
      </c>
    </row>
    <row r="5" spans="1:3" x14ac:dyDescent="0.35">
      <c r="A5" s="153" t="s">
        <v>740</v>
      </c>
      <c r="B5" s="153" t="s">
        <v>744</v>
      </c>
      <c r="C5" s="153">
        <v>2</v>
      </c>
    </row>
    <row r="6" spans="1:3" x14ac:dyDescent="0.35">
      <c r="A6" s="153" t="s">
        <v>741</v>
      </c>
      <c r="B6" s="153" t="s">
        <v>745</v>
      </c>
      <c r="C6" s="153">
        <v>1</v>
      </c>
    </row>
    <row r="7" spans="1:3" x14ac:dyDescent="0.35">
      <c r="A7" s="153" t="s">
        <v>1024</v>
      </c>
      <c r="B7" s="153" t="s">
        <v>445</v>
      </c>
      <c r="C7" s="153" t="s">
        <v>1025</v>
      </c>
    </row>
    <row r="8" spans="1:3" x14ac:dyDescent="0.35">
      <c r="A8" s="153" t="s">
        <v>1026</v>
      </c>
      <c r="B8" s="153" t="s">
        <v>1027</v>
      </c>
      <c r="C8" s="153" t="s">
        <v>1025</v>
      </c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"/>
  <sheetViews>
    <sheetView workbookViewId="0">
      <selection activeCell="D57" sqref="D57"/>
    </sheetView>
  </sheetViews>
  <sheetFormatPr defaultRowHeight="12.75" x14ac:dyDescent="0.35"/>
  <cols>
    <col min="1" max="1" width="20.0703125" customWidth="1"/>
    <col min="2" max="2" width="16.78515625" customWidth="1"/>
    <col min="3" max="3" width="13.640625" customWidth="1"/>
    <col min="4" max="4" width="20.78515625" customWidth="1"/>
    <col min="5" max="5" width="12.42578125" customWidth="1"/>
    <col min="6" max="6" width="17.640625" customWidth="1"/>
    <col min="7" max="7" width="12.640625" style="195" customWidth="1"/>
    <col min="8" max="8" width="17.78515625" customWidth="1"/>
    <col min="9" max="9" width="20.7109375" customWidth="1"/>
  </cols>
  <sheetData>
    <row r="1" spans="1:9" s="192" customFormat="1" x14ac:dyDescent="0.35">
      <c r="A1" s="191" t="str">
        <f>'Message ID'!A1</f>
        <v>Message Name</v>
      </c>
      <c r="B1" s="192" t="str">
        <f>'Message ID'!D1</f>
        <v>Periodic Time (ms)</v>
      </c>
      <c r="C1" s="192" t="str">
        <f>'Message ID'!Q1</f>
        <v>BBMS_A Store</v>
      </c>
      <c r="D1" s="192" t="s">
        <v>1168</v>
      </c>
      <c r="E1" s="192" t="s">
        <v>1169</v>
      </c>
      <c r="F1" s="209" t="s">
        <v>1177</v>
      </c>
      <c r="G1" s="194" t="s">
        <v>1171</v>
      </c>
      <c r="H1" s="209" t="s">
        <v>1178</v>
      </c>
      <c r="I1" s="209" t="s">
        <v>1179</v>
      </c>
    </row>
    <row r="2" spans="1:9" x14ac:dyDescent="0.35">
      <c r="A2" s="187" t="str">
        <f>'Message ID'!A2</f>
        <v>RBMS_SumInfo</v>
      </c>
      <c r="B2" s="189">
        <f>'Message ID'!D2</f>
        <v>1000</v>
      </c>
      <c r="C2" s="189">
        <f>'Message ID'!Q2</f>
        <v>1</v>
      </c>
      <c r="D2" s="190">
        <f>VLOOKUP(A2,'Comm Matrix'!A:N,14,FALSE)</f>
        <v>765</v>
      </c>
      <c r="E2" s="190">
        <f t="shared" ref="E2:E10" si="0">IF(OR(ISNUMBER(SEARCH("RBMS", A2)), ISNUMBER(SEARCH("Para", A2))), $F$54, 1)</f>
        <v>12</v>
      </c>
      <c r="F2" s="140">
        <f>IF(C2=1,D2*E2*60*60*24*C2/(B2/1000),0)/1024</f>
        <v>774562.5</v>
      </c>
      <c r="G2" s="193" cm="1">
        <f t="array" aca="1" ref="G2" ca="1">MATCH(FALSE, INDEX(TRIM(INDIRECT("'Comm Matrix'!G" &amp; (MATCH(A2,'Comm Matrix'!A:A,0)+1) &amp; ":G1000"))&lt;&gt;"", 0), 0)-1</f>
        <v>137</v>
      </c>
      <c r="H2" s="140">
        <f ca="1">IF(C2=1,G2*E2*60*60*24*C2/(B2/1000),0)/1024</f>
        <v>138712.5</v>
      </c>
      <c r="I2" s="140">
        <f>IF(C2=1,19*E2*60*60*24*C2/(B2/1000),0)/1024</f>
        <v>19237.5</v>
      </c>
    </row>
    <row r="3" spans="1:9" x14ac:dyDescent="0.35">
      <c r="A3" s="187" t="str">
        <f>'Message ID'!A4</f>
        <v>RBMS_Volt</v>
      </c>
      <c r="B3" s="189">
        <f>'Message ID'!D4</f>
        <v>1000</v>
      </c>
      <c r="C3" s="189">
        <f>'Message ID'!Q4</f>
        <v>1</v>
      </c>
      <c r="D3" s="190">
        <f>VLOOKUP(A3,'Comm Matrix'!A:N,14,FALSE)</f>
        <v>2400</v>
      </c>
      <c r="E3" s="190">
        <f t="shared" si="0"/>
        <v>12</v>
      </c>
      <c r="F3" s="140">
        <f t="shared" ref="F3:F46" si="1">IF(C3=1,D3*E3*60*60*24*C3/(B3/1000),0)/1024</f>
        <v>2430000</v>
      </c>
      <c r="G3" s="210">
        <f>416+416+32</f>
        <v>864</v>
      </c>
      <c r="H3" s="140">
        <f t="shared" ref="H3:H46" si="2">IF(C3=1,G3*E3*60*60*24*C3/(B3/1000),0)/1024</f>
        <v>874800</v>
      </c>
      <c r="I3" s="140">
        <f t="shared" ref="I3:I46" si="3">IF(C3=1,19*E3*60*60*24*C3/(B3/1000),0)/1024</f>
        <v>19237.5</v>
      </c>
    </row>
    <row r="4" spans="1:9" x14ac:dyDescent="0.35">
      <c r="A4" s="187" t="str">
        <f>'Message ID'!A5</f>
        <v>RBMS_Temp</v>
      </c>
      <c r="B4" s="189">
        <f>'Message ID'!D5</f>
        <v>1000</v>
      </c>
      <c r="C4" s="189">
        <f>'Message ID'!Q5</f>
        <v>1</v>
      </c>
      <c r="D4" s="190">
        <f>VLOOKUP(A4,'Comm Matrix'!A:N,14,FALSE)</f>
        <v>2672</v>
      </c>
      <c r="E4" s="190">
        <f t="shared" si="0"/>
        <v>12</v>
      </c>
      <c r="F4" s="140">
        <f t="shared" si="1"/>
        <v>2705400</v>
      </c>
      <c r="G4" s="210">
        <f>416+64+16+32+32</f>
        <v>560</v>
      </c>
      <c r="H4" s="140">
        <f t="shared" si="2"/>
        <v>567000</v>
      </c>
      <c r="I4" s="140">
        <f t="shared" si="3"/>
        <v>19237.5</v>
      </c>
    </row>
    <row r="5" spans="1:9" x14ac:dyDescent="0.35">
      <c r="A5" s="187" t="str">
        <f>'Message ID'!A6</f>
        <v>RBMS_CellBalSt</v>
      </c>
      <c r="B5" s="189">
        <f>'Message ID'!D6</f>
        <v>10000</v>
      </c>
      <c r="C5" s="189">
        <f>'Message ID'!Q6</f>
        <v>1</v>
      </c>
      <c r="D5" s="190">
        <f>VLOOKUP(A5,'Comm Matrix'!A:N,14,FALSE)</f>
        <v>416</v>
      </c>
      <c r="E5" s="190">
        <f t="shared" si="0"/>
        <v>12</v>
      </c>
      <c r="F5" s="140">
        <f t="shared" si="1"/>
        <v>42120</v>
      </c>
      <c r="G5" s="210">
        <f>416</f>
        <v>416</v>
      </c>
      <c r="H5" s="140">
        <f t="shared" si="2"/>
        <v>42120</v>
      </c>
      <c r="I5" s="140">
        <f t="shared" si="3"/>
        <v>1923.75</v>
      </c>
    </row>
    <row r="6" spans="1:9" x14ac:dyDescent="0.35">
      <c r="A6" s="187" t="str">
        <f>'Message ID'!A7</f>
        <v>RBMS_CellSdr</v>
      </c>
      <c r="B6" s="189">
        <f>'Message ID'!D7</f>
        <v>30000</v>
      </c>
      <c r="C6" s="189">
        <f>'Message ID'!Q7</f>
        <v>0</v>
      </c>
      <c r="D6" s="190">
        <f>VLOOKUP(A6,'Comm Matrix'!A:N,14,FALSE)</f>
        <v>2080</v>
      </c>
      <c r="E6" s="190">
        <f t="shared" si="0"/>
        <v>12</v>
      </c>
      <c r="F6" s="140">
        <f t="shared" si="1"/>
        <v>0</v>
      </c>
      <c r="G6" s="210">
        <f>416</f>
        <v>416</v>
      </c>
      <c r="H6" s="140">
        <f t="shared" si="2"/>
        <v>0</v>
      </c>
      <c r="I6" s="140">
        <f t="shared" si="3"/>
        <v>0</v>
      </c>
    </row>
    <row r="7" spans="1:9" x14ac:dyDescent="0.35">
      <c r="A7" s="187" t="str">
        <f>'Message ID'!A8</f>
        <v>RBMS_Fault</v>
      </c>
      <c r="B7" s="189">
        <f>'Message ID'!D8</f>
        <v>1000</v>
      </c>
      <c r="C7" s="189">
        <f>'Message ID'!Q8</f>
        <v>1</v>
      </c>
      <c r="D7" s="190">
        <f>VLOOKUP(A7,'Comm Matrix'!A:N,14,FALSE)</f>
        <v>200</v>
      </c>
      <c r="E7" s="190">
        <f t="shared" si="0"/>
        <v>12</v>
      </c>
      <c r="F7" s="140">
        <f t="shared" si="1"/>
        <v>202500</v>
      </c>
      <c r="G7" s="210">
        <f>200</f>
        <v>200</v>
      </c>
      <c r="H7" s="140">
        <f t="shared" si="2"/>
        <v>202500</v>
      </c>
      <c r="I7" s="140">
        <f t="shared" si="3"/>
        <v>19237.5</v>
      </c>
    </row>
    <row r="8" spans="1:9" x14ac:dyDescent="0.35">
      <c r="A8" s="187" t="str">
        <f>'Message ID'!A9</f>
        <v>BBMS_SumInfo</v>
      </c>
      <c r="B8" s="189">
        <f>'Message ID'!D9</f>
        <v>1000</v>
      </c>
      <c r="C8" s="189">
        <f>'Message ID'!Q9</f>
        <v>1</v>
      </c>
      <c r="D8" s="190">
        <f>VLOOKUP(A8,'Comm Matrix'!A:N,14,FALSE)</f>
        <v>388</v>
      </c>
      <c r="E8" s="190">
        <f t="shared" si="0"/>
        <v>1</v>
      </c>
      <c r="F8" s="140">
        <f t="shared" si="1"/>
        <v>32737.5</v>
      </c>
      <c r="G8" s="193" cm="1">
        <f t="array" aca="1" ref="G8" ca="1">MATCH(FALSE, INDEX(TRIM(INDIRECT("'Comm Matrix'!G" &amp; (MATCH(A8,'Comm Matrix'!A:A,0)+1) &amp; ":G1000"))&lt;&gt;"", 0), 0)-1</f>
        <v>87</v>
      </c>
      <c r="H8" s="140">
        <f t="shared" ca="1" si="2"/>
        <v>7340.625</v>
      </c>
      <c r="I8" s="140">
        <f t="shared" si="3"/>
        <v>1603.125</v>
      </c>
    </row>
    <row r="9" spans="1:9" x14ac:dyDescent="0.35">
      <c r="A9" s="187" t="str">
        <f>'Message ID'!A11</f>
        <v>BBMS_Fault</v>
      </c>
      <c r="B9" s="189">
        <f>'Message ID'!D11</f>
        <v>1000</v>
      </c>
      <c r="C9" s="189">
        <f>'Message ID'!Q11</f>
        <v>1</v>
      </c>
      <c r="D9" s="190">
        <f>VLOOKUP(A9,'Comm Matrix'!A:N,14,FALSE)</f>
        <v>202</v>
      </c>
      <c r="E9" s="190">
        <f t="shared" si="0"/>
        <v>1</v>
      </c>
      <c r="F9" s="140">
        <f t="shared" si="1"/>
        <v>17043.75</v>
      </c>
      <c r="G9" s="210">
        <f>200</f>
        <v>200</v>
      </c>
      <c r="H9" s="140">
        <f t="shared" si="2"/>
        <v>16875</v>
      </c>
      <c r="I9" s="140">
        <f t="shared" si="3"/>
        <v>1603.125</v>
      </c>
    </row>
    <row r="10" spans="1:9" x14ac:dyDescent="0.35">
      <c r="A10" s="187" t="str">
        <f>'Message ID'!A12</f>
        <v>BBMS_CtlWord</v>
      </c>
      <c r="B10" s="189">
        <f>'Message ID'!D12</f>
        <v>1000</v>
      </c>
      <c r="C10" s="189">
        <f>'Message ID'!Q12</f>
        <v>0</v>
      </c>
      <c r="D10" s="190">
        <f>VLOOKUP(A10,'Comm Matrix'!A:N,14,FALSE)</f>
        <v>22</v>
      </c>
      <c r="E10" s="190">
        <f t="shared" si="0"/>
        <v>1</v>
      </c>
      <c r="F10" s="140">
        <f t="shared" si="1"/>
        <v>0</v>
      </c>
      <c r="G10" s="193" cm="1">
        <f t="array" aca="1" ref="G10" ca="1">MATCH(FALSE, INDEX(TRIM(INDIRECT("'Comm Matrix'!G" &amp; (MATCH(A10,'Comm Matrix'!A:A,0)+1) &amp; ":G1000"))&lt;&gt;"", 0), 0)-1</f>
        <v>11</v>
      </c>
      <c r="H10" s="140">
        <f t="shared" si="2"/>
        <v>0</v>
      </c>
      <c r="I10" s="140">
        <f t="shared" si="3"/>
        <v>0</v>
      </c>
    </row>
    <row r="11" spans="1:9" x14ac:dyDescent="0.35">
      <c r="A11" s="187" t="str">
        <f>'Message ID'!A13</f>
        <v>BBMS_CtlWord</v>
      </c>
      <c r="B11" s="189">
        <f>'Message ID'!D13</f>
        <v>1000</v>
      </c>
      <c r="C11" s="189">
        <f>'Message ID'!Q13</f>
        <v>1</v>
      </c>
      <c r="D11" s="190">
        <f>VLOOKUP(A11,'Comm Matrix'!A:N,14,FALSE)</f>
        <v>22</v>
      </c>
      <c r="E11" s="211">
        <v>12</v>
      </c>
      <c r="F11" s="140">
        <f t="shared" si="1"/>
        <v>22275</v>
      </c>
      <c r="G11" s="193" cm="1">
        <f t="array" aca="1" ref="G11" ca="1">MATCH(FALSE, INDEX(TRIM(INDIRECT("'Comm Matrix'!G" &amp; (MATCH(A11,'Comm Matrix'!A:A,0)+1) &amp; ":G1000"))&lt;&gt;"", 0), 0)-1</f>
        <v>11</v>
      </c>
      <c r="H11" s="140">
        <f ca="1">IF(C11=1,G11*E11*60*60*24*C11/(B11/1000),0)/1024</f>
        <v>11137.5</v>
      </c>
      <c r="I11" s="140">
        <f>IF(C11=1,19*E11*60*60*24*C11/(B11/1000),0)/1024</f>
        <v>19237.5</v>
      </c>
    </row>
    <row r="12" spans="1:9" x14ac:dyDescent="0.35">
      <c r="A12" s="187" t="str">
        <f>'Message ID'!A14</f>
        <v>HMI_CtlWord</v>
      </c>
      <c r="B12" s="189" t="str">
        <f>'Message ID'!D14</f>
        <v>/</v>
      </c>
      <c r="C12" s="189">
        <f>'Message ID'!Q14</f>
        <v>0</v>
      </c>
      <c r="D12" s="190">
        <f>VLOOKUP(A12,'Comm Matrix'!A:N,14,FALSE)</f>
        <v>23</v>
      </c>
      <c r="E12" s="190">
        <f>IF(OR(ISNUMBER(SEARCH("RBMS", A12)), ISNUMBER(SEARCH("Para", A12))), $F$54, 1)</f>
        <v>1</v>
      </c>
      <c r="F12" s="140">
        <f t="shared" si="1"/>
        <v>0</v>
      </c>
      <c r="G12" s="193" cm="1">
        <f t="array" aca="1" ref="G12" ca="1">MATCH(FALSE, INDEX(TRIM(INDIRECT("'Comm Matrix'!G" &amp; (MATCH(A12,'Comm Matrix'!A:A,0)+1) &amp; ":G1000"))&lt;&gt;"", 0), 0)-1</f>
        <v>14</v>
      </c>
      <c r="H12" s="140">
        <f t="shared" si="2"/>
        <v>0</v>
      </c>
      <c r="I12" s="140">
        <f t="shared" si="3"/>
        <v>0</v>
      </c>
    </row>
    <row r="13" spans="1:9" x14ac:dyDescent="0.35">
      <c r="A13" s="187" t="str">
        <f>'Message ID'!A15</f>
        <v>HMI_TMSCtrlWord</v>
      </c>
      <c r="B13" s="189" t="str">
        <f>'Message ID'!D15</f>
        <v>/</v>
      </c>
      <c r="C13" s="189">
        <f>'Message ID'!Q15</f>
        <v>0</v>
      </c>
      <c r="D13" s="190">
        <f>VLOOKUP(A13,'Comm Matrix'!A:N,14,FALSE)</f>
        <v>13</v>
      </c>
      <c r="E13" s="190">
        <f>IF(OR(ISNUMBER(SEARCH("RBMS", A13)), ISNUMBER(SEARCH("Para", A13))), $F$54, 1)</f>
        <v>1</v>
      </c>
      <c r="F13" s="140">
        <f t="shared" si="1"/>
        <v>0</v>
      </c>
      <c r="G13" s="193" cm="1">
        <f t="array" aca="1" ref="G13" ca="1">MATCH(FALSE, INDEX(TRIM(INDIRECT("'Comm Matrix'!G" &amp; (MATCH(A13,'Comm Matrix'!A:A,0)+1) &amp; ":G1000"))&lt;&gt;"", 0), 0)-1</f>
        <v>4</v>
      </c>
      <c r="H13" s="140">
        <f t="shared" si="2"/>
        <v>0</v>
      </c>
      <c r="I13" s="140">
        <f t="shared" si="3"/>
        <v>0</v>
      </c>
    </row>
    <row r="14" spans="1:9" x14ac:dyDescent="0.35">
      <c r="A14" s="187" t="str">
        <f>'Message ID'!A16</f>
        <v>HMI_TMSCtrlWord</v>
      </c>
      <c r="B14" s="189" t="str">
        <f>'Message ID'!D16</f>
        <v>/</v>
      </c>
      <c r="C14" s="189">
        <f>'Message ID'!Q16</f>
        <v>0</v>
      </c>
      <c r="D14" s="190">
        <f>VLOOKUP(A14,'Comm Matrix'!A:N,14,FALSE)</f>
        <v>13</v>
      </c>
      <c r="E14" s="305">
        <v>12</v>
      </c>
      <c r="F14" s="140">
        <f t="shared" ref="F14" si="4">IF(C14=1,D14*E14*60*60*24*C14/(B14/1000),0)/1024</f>
        <v>0</v>
      </c>
      <c r="G14" s="193" cm="1">
        <f t="array" aca="1" ref="G14" ca="1">MATCH(FALSE, INDEX(TRIM(INDIRECT("'Comm Matrix'!G" &amp; (MATCH(A14,'Comm Matrix'!A:A,0)+1) &amp; ":G1000"))&lt;&gt;"", 0), 0)-1</f>
        <v>4</v>
      </c>
      <c r="H14" s="140">
        <f t="shared" ref="H14" si="5">IF(C14=1,G14*E14*60*60*24*C14/(B14/1000),0)/1024</f>
        <v>0</v>
      </c>
      <c r="I14" s="140">
        <f t="shared" ref="I14" si="6">IF(C14=1,19*E14*60*60*24*C14/(B14/1000),0)/1024</f>
        <v>0</v>
      </c>
    </row>
    <row r="15" spans="1:9" x14ac:dyDescent="0.35">
      <c r="A15" s="187" t="str">
        <f>'Message ID'!A17</f>
        <v>HMI_BankDOCtrl</v>
      </c>
      <c r="B15" s="189" t="str">
        <f>'Message ID'!D17</f>
        <v>/</v>
      </c>
      <c r="C15" s="189">
        <f>'Message ID'!Q17</f>
        <v>0</v>
      </c>
      <c r="D15" s="190">
        <f>VLOOKUP(A15,'Comm Matrix'!A:N,14,FALSE)</f>
        <v>1</v>
      </c>
      <c r="E15" s="190">
        <f>IF(OR(ISNUMBER(SEARCH("RBMS", A15)), ISNUMBER(SEARCH("Para", A15))), $F$54, 1)</f>
        <v>1</v>
      </c>
      <c r="F15" s="140">
        <f t="shared" si="1"/>
        <v>0</v>
      </c>
      <c r="G15" s="193" cm="1">
        <f t="array" aca="1" ref="G15" ca="1">MATCH(FALSE, INDEX(TRIM(INDIRECT("'Comm Matrix'!G" &amp; (MATCH(A15,'Comm Matrix'!A:A,0)+1) &amp; ":G1000"))&lt;&gt;"", 0), 0)-1</f>
        <v>1</v>
      </c>
      <c r="H15" s="140">
        <f t="shared" si="2"/>
        <v>0</v>
      </c>
      <c r="I15" s="140">
        <f t="shared" si="3"/>
        <v>0</v>
      </c>
    </row>
    <row r="16" spans="1:9" x14ac:dyDescent="0.35">
      <c r="A16" s="187" t="str">
        <f>'Message ID'!A18</f>
        <v>HMI_RackCaliCtrl</v>
      </c>
      <c r="B16" s="189" t="str">
        <f>'Message ID'!D18</f>
        <v>/</v>
      </c>
      <c r="C16" s="189">
        <f>'Message ID'!Q18</f>
        <v>0</v>
      </c>
      <c r="D16" s="190">
        <f>VLOOKUP(A16,'Comm Matrix'!A:N,14,FALSE)</f>
        <v>42</v>
      </c>
      <c r="E16" s="190">
        <f>IF(OR(ISNUMBER(SEARCH("RBMS", A16)), ISNUMBER(SEARCH("Para", A16))), $F$54, 1)</f>
        <v>1</v>
      </c>
      <c r="F16" s="140">
        <f t="shared" si="1"/>
        <v>0</v>
      </c>
      <c r="G16" s="193" cm="1">
        <f t="array" aca="1" ref="G16" ca="1">MATCH(FALSE, INDEX(TRIM(INDIRECT("'Comm Matrix'!G" &amp; (MATCH(A16,'Comm Matrix'!A:A,0)+1) &amp; ":G1000"))&lt;&gt;"", 0), 0)-1</f>
        <v>11</v>
      </c>
      <c r="H16" s="140">
        <f t="shared" si="2"/>
        <v>0</v>
      </c>
      <c r="I16" s="140">
        <f t="shared" si="3"/>
        <v>0</v>
      </c>
    </row>
    <row r="17" spans="1:9" x14ac:dyDescent="0.35">
      <c r="A17" s="187" t="str">
        <f>'Message ID'!A19</f>
        <v>HMI_RBMSRlyCtrl</v>
      </c>
      <c r="B17" s="189" t="str">
        <f>'Message ID'!D19</f>
        <v>/</v>
      </c>
      <c r="C17" s="189">
        <f>'Message ID'!Q19</f>
        <v>0</v>
      </c>
      <c r="D17" s="190">
        <f>VLOOKUP(A17,'Comm Matrix'!A:N,14,FALSE)</f>
        <v>7</v>
      </c>
      <c r="E17" s="190">
        <f>IF(OR(ISNUMBER(SEARCH("RBMS", A17)), ISNUMBER(SEARCH("Para", A17))), $F$54, 1)</f>
        <v>12</v>
      </c>
      <c r="F17" s="140">
        <f t="shared" si="1"/>
        <v>0</v>
      </c>
      <c r="G17" s="193" cm="1">
        <f t="array" aca="1" ref="G17" ca="1">MATCH(FALSE, INDEX(TRIM(INDIRECT("'Comm Matrix'!G" &amp; (MATCH(A17,'Comm Matrix'!A:A,0)+1) &amp; ":G1000"))&lt;&gt;"", 0), 0)-1</f>
        <v>3</v>
      </c>
      <c r="H17" s="140">
        <f t="shared" si="2"/>
        <v>0</v>
      </c>
      <c r="I17" s="140">
        <f t="shared" si="3"/>
        <v>0</v>
      </c>
    </row>
    <row r="18" spans="1:9" x14ac:dyDescent="0.35">
      <c r="A18" s="187" t="str">
        <f>'Message ID'!A20</f>
        <v>TMS_SumInfo</v>
      </c>
      <c r="B18" s="189">
        <f>'Message ID'!D20</f>
        <v>1000</v>
      </c>
      <c r="C18" s="189">
        <f>'Message ID'!Q20</f>
        <v>1</v>
      </c>
      <c r="D18" s="190">
        <f>VLOOKUP(A18,'Comm Matrix'!A:N,14,FALSE)</f>
        <v>72</v>
      </c>
      <c r="E18" s="190">
        <f>IF(OR(ISNUMBER(SEARCH("RBMS", A18)), ISNUMBER(SEARCH("Para", A18))), $F$54, 1)</f>
        <v>1</v>
      </c>
      <c r="F18" s="140">
        <f t="shared" si="1"/>
        <v>6075</v>
      </c>
      <c r="G18" s="193" cm="1">
        <f t="array" aca="1" ref="G18" ca="1">MATCH(FALSE, INDEX(TRIM(INDIRECT("'Comm Matrix'!G" &amp; (MATCH(A18,'Comm Matrix'!A:A,0)+1) &amp; ":G1000"))&lt;&gt;"", 0), 0)-1</f>
        <v>15</v>
      </c>
      <c r="H18" s="140">
        <f t="shared" ca="1" si="2"/>
        <v>1265.625</v>
      </c>
      <c r="I18" s="140">
        <f t="shared" si="3"/>
        <v>1603.125</v>
      </c>
    </row>
    <row r="19" spans="1:9" x14ac:dyDescent="0.35">
      <c r="A19" s="187" t="str">
        <f>'Message ID'!A21</f>
        <v>TMS_SumInfo</v>
      </c>
      <c r="B19" s="189">
        <f>'Message ID'!D21</f>
        <v>1000</v>
      </c>
      <c r="C19" s="189">
        <f>'Message ID'!Q21</f>
        <v>1</v>
      </c>
      <c r="D19" s="190">
        <f>VLOOKUP(A19,'Comm Matrix'!A:N,14,FALSE)</f>
        <v>72</v>
      </c>
      <c r="E19" s="305">
        <v>12</v>
      </c>
      <c r="F19" s="140">
        <f t="shared" ref="F19" si="7">IF(C19=1,D19*E19*60*60*24*C19/(B19/1000),0)/1024</f>
        <v>72900</v>
      </c>
      <c r="G19" s="193" cm="1">
        <f t="array" aca="1" ref="G19" ca="1">MATCH(FALSE, INDEX(TRIM(INDIRECT("'Comm Matrix'!G" &amp; (MATCH(A19,'Comm Matrix'!A:A,0)+1) &amp; ":G1000"))&lt;&gt;"", 0), 0)-1</f>
        <v>15</v>
      </c>
      <c r="H19" s="140">
        <f t="shared" ref="H19" ca="1" si="8">IF(C19=1,G19*E19*60*60*24*C19/(B19/1000),0)/1024</f>
        <v>15187.5</v>
      </c>
      <c r="I19" s="140">
        <f t="shared" ref="I19" si="9">IF(C19=1,19*E19*60*60*24*C19/(B19/1000),0)/1024</f>
        <v>19237.5</v>
      </c>
    </row>
    <row r="20" spans="1:9" x14ac:dyDescent="0.35">
      <c r="A20" s="187" t="str">
        <f>'Message ID'!A22</f>
        <v>ParaThr_CellV</v>
      </c>
      <c r="B20" s="189" t="str">
        <f>'Message ID'!D22</f>
        <v>/</v>
      </c>
      <c r="C20" s="189">
        <f>'Message ID'!Q22</f>
        <v>0</v>
      </c>
      <c r="D20" s="190">
        <f>VLOOKUP(A20,'Comm Matrix'!A:N,14,FALSE)</f>
        <v>67</v>
      </c>
      <c r="E20" s="190">
        <f t="shared" ref="E20:E31" si="10">IF(OR(ISNUMBER(SEARCH("RBMS", A20)), ISNUMBER(SEARCH("Para", A20))), $F$54, 1)</f>
        <v>12</v>
      </c>
      <c r="F20" s="140">
        <f t="shared" si="1"/>
        <v>0</v>
      </c>
      <c r="G20" s="193" cm="1">
        <f t="array" aca="1" ref="G20" ca="1">MATCH(FALSE, INDEX(TRIM(INDIRECT("'Comm Matrix'!G" &amp; (MATCH(A20,'Comm Matrix'!A:A,0)+1) &amp; ":G1000"))&lt;&gt;"", 0), 0)-1</f>
        <v>18</v>
      </c>
      <c r="H20" s="140">
        <f t="shared" si="2"/>
        <v>0</v>
      </c>
      <c r="I20" s="140">
        <f t="shared" si="3"/>
        <v>0</v>
      </c>
    </row>
    <row r="21" spans="1:9" x14ac:dyDescent="0.35">
      <c r="A21" s="187" t="str">
        <f>'Message ID'!A23</f>
        <v>ParaThr_CellV</v>
      </c>
      <c r="B21" s="189" t="str">
        <f>'Message ID'!D23</f>
        <v>/</v>
      </c>
      <c r="C21" s="189">
        <f>'Message ID'!Q23</f>
        <v>0</v>
      </c>
      <c r="D21" s="190">
        <f>VLOOKUP(A21,'Comm Matrix'!A:N,14,FALSE)</f>
        <v>67</v>
      </c>
      <c r="E21" s="190">
        <f t="shared" si="10"/>
        <v>12</v>
      </c>
      <c r="F21" s="140">
        <f t="shared" si="1"/>
        <v>0</v>
      </c>
      <c r="G21" s="193" cm="1">
        <f t="array" aca="1" ref="G21" ca="1">MATCH(FALSE, INDEX(TRIM(INDIRECT("'Comm Matrix'!G" &amp; (MATCH(A21,'Comm Matrix'!A:A,0)+1) &amp; ":G1000"))&lt;&gt;"", 0), 0)-1</f>
        <v>18</v>
      </c>
      <c r="H21" s="140">
        <f t="shared" si="2"/>
        <v>0</v>
      </c>
      <c r="I21" s="140">
        <f t="shared" si="3"/>
        <v>0</v>
      </c>
    </row>
    <row r="22" spans="1:9" x14ac:dyDescent="0.35">
      <c r="A22" s="187" t="str">
        <f>'Message ID'!A24</f>
        <v>ParaThr_RackV</v>
      </c>
      <c r="B22" s="189" t="str">
        <f>'Message ID'!D24</f>
        <v>/</v>
      </c>
      <c r="C22" s="189">
        <f>'Message ID'!Q24</f>
        <v>0</v>
      </c>
      <c r="D22" s="190">
        <f>VLOOKUP(A22,'Comm Matrix'!A:N,14,FALSE)</f>
        <v>10</v>
      </c>
      <c r="E22" s="190">
        <f t="shared" si="10"/>
        <v>12</v>
      </c>
      <c r="F22" s="140">
        <f t="shared" si="1"/>
        <v>0</v>
      </c>
      <c r="G22" s="193" cm="1">
        <f t="array" aca="1" ref="G22" ca="1">MATCH(FALSE, INDEX(TRIM(INDIRECT("'Comm Matrix'!G" &amp; (MATCH(A22,'Comm Matrix'!A:A,0)+1) &amp; ":G1000"))&lt;&gt;"", 0), 0)-1</f>
        <v>10</v>
      </c>
      <c r="H22" s="140">
        <f t="shared" si="2"/>
        <v>0</v>
      </c>
      <c r="I22" s="140">
        <f t="shared" si="3"/>
        <v>0</v>
      </c>
    </row>
    <row r="23" spans="1:9" x14ac:dyDescent="0.35">
      <c r="A23" s="187" t="str">
        <f>'Message ID'!A25</f>
        <v>ParaThr_RackV</v>
      </c>
      <c r="B23" s="189" t="str">
        <f>'Message ID'!D25</f>
        <v>/</v>
      </c>
      <c r="C23" s="189">
        <f>'Message ID'!Q25</f>
        <v>0</v>
      </c>
      <c r="D23" s="190">
        <f>VLOOKUP(A23,'Comm Matrix'!A:N,14,FALSE)</f>
        <v>10</v>
      </c>
      <c r="E23" s="190">
        <f t="shared" si="10"/>
        <v>12</v>
      </c>
      <c r="F23" s="140">
        <f t="shared" si="1"/>
        <v>0</v>
      </c>
      <c r="G23" s="193" cm="1">
        <f t="array" aca="1" ref="G23" ca="1">MATCH(FALSE, INDEX(TRIM(INDIRECT("'Comm Matrix'!G" &amp; (MATCH(A23,'Comm Matrix'!A:A,0)+1) &amp; ":G1000"))&lt;&gt;"", 0), 0)-1</f>
        <v>10</v>
      </c>
      <c r="H23" s="140">
        <f t="shared" si="2"/>
        <v>0</v>
      </c>
      <c r="I23" s="140">
        <f t="shared" si="3"/>
        <v>0</v>
      </c>
    </row>
    <row r="24" spans="1:9" x14ac:dyDescent="0.35">
      <c r="A24" s="187" t="str">
        <f>'Message ID'!A26</f>
        <v>ParaThr_RackI</v>
      </c>
      <c r="B24" s="189" t="str">
        <f>'Message ID'!D26</f>
        <v>/</v>
      </c>
      <c r="C24" s="189">
        <f>'Message ID'!Q26</f>
        <v>0</v>
      </c>
      <c r="D24" s="190">
        <f>VLOOKUP(A24,'Comm Matrix'!A:N,14,FALSE)</f>
        <v>60</v>
      </c>
      <c r="E24" s="190">
        <f t="shared" si="10"/>
        <v>12</v>
      </c>
      <c r="F24" s="140">
        <f t="shared" si="1"/>
        <v>0</v>
      </c>
      <c r="G24" s="193" cm="1">
        <f t="array" aca="1" ref="G24" ca="1">MATCH(FALSE, INDEX(TRIM(INDIRECT("'Comm Matrix'!G" &amp; (MATCH(A24,'Comm Matrix'!A:A,0)+1) &amp; ":G1000"))&lt;&gt;"", 0), 0)-1</f>
        <v>10</v>
      </c>
      <c r="H24" s="140">
        <f t="shared" si="2"/>
        <v>0</v>
      </c>
      <c r="I24" s="140">
        <f t="shared" si="3"/>
        <v>0</v>
      </c>
    </row>
    <row r="25" spans="1:9" x14ac:dyDescent="0.35">
      <c r="A25" s="187" t="str">
        <f>'Message ID'!A27</f>
        <v>ParaThr_RackI</v>
      </c>
      <c r="B25" s="189" t="str">
        <f>'Message ID'!D27</f>
        <v>/</v>
      </c>
      <c r="C25" s="189">
        <f>'Message ID'!Q27</f>
        <v>0</v>
      </c>
      <c r="D25" s="190">
        <f>VLOOKUP(A25,'Comm Matrix'!A:N,14,FALSE)</f>
        <v>60</v>
      </c>
      <c r="E25" s="190">
        <f t="shared" si="10"/>
        <v>12</v>
      </c>
      <c r="F25" s="140">
        <f t="shared" si="1"/>
        <v>0</v>
      </c>
      <c r="G25" s="193" cm="1">
        <f t="array" aca="1" ref="G25" ca="1">MATCH(FALSE, INDEX(TRIM(INDIRECT("'Comm Matrix'!G" &amp; (MATCH(A25,'Comm Matrix'!A:A,0)+1) &amp; ":G1000"))&lt;&gt;"", 0), 0)-1</f>
        <v>10</v>
      </c>
      <c r="H25" s="140">
        <f t="shared" si="2"/>
        <v>0</v>
      </c>
      <c r="I25" s="140">
        <f t="shared" si="3"/>
        <v>0</v>
      </c>
    </row>
    <row r="26" spans="1:9" x14ac:dyDescent="0.35">
      <c r="A26" s="187" t="str">
        <f>'Message ID'!A28</f>
        <v>ParaThr_ModuleT</v>
      </c>
      <c r="B26" s="189" t="str">
        <f>'Message ID'!D28</f>
        <v>/</v>
      </c>
      <c r="C26" s="189">
        <f>'Message ID'!Q28</f>
        <v>0</v>
      </c>
      <c r="D26" s="190">
        <f>VLOOKUP(A26,'Comm Matrix'!A:N,14,FALSE)</f>
        <v>140</v>
      </c>
      <c r="E26" s="190">
        <f t="shared" si="10"/>
        <v>12</v>
      </c>
      <c r="F26" s="140">
        <f t="shared" si="1"/>
        <v>0</v>
      </c>
      <c r="G26" s="193" cm="1">
        <f t="array" aca="1" ref="G26" ca="1">MATCH(FALSE, INDEX(TRIM(INDIRECT("'Comm Matrix'!G" &amp; (MATCH(A26,'Comm Matrix'!A:A,0)+1) &amp; ":G1000"))&lt;&gt;"", 0), 0)-1</f>
        <v>28</v>
      </c>
      <c r="H26" s="140">
        <f t="shared" si="2"/>
        <v>0</v>
      </c>
      <c r="I26" s="140">
        <f t="shared" si="3"/>
        <v>0</v>
      </c>
    </row>
    <row r="27" spans="1:9" x14ac:dyDescent="0.35">
      <c r="A27" s="187" t="str">
        <f>'Message ID'!A29</f>
        <v>ParaThr_ModuleT</v>
      </c>
      <c r="B27" s="189" t="str">
        <f>'Message ID'!D29</f>
        <v>/</v>
      </c>
      <c r="C27" s="189">
        <f>'Message ID'!Q29</f>
        <v>0</v>
      </c>
      <c r="D27" s="190">
        <f>VLOOKUP(A27,'Comm Matrix'!A:N,14,FALSE)</f>
        <v>140</v>
      </c>
      <c r="E27" s="190">
        <f t="shared" si="10"/>
        <v>12</v>
      </c>
      <c r="F27" s="140">
        <f t="shared" si="1"/>
        <v>0</v>
      </c>
      <c r="G27" s="193" cm="1">
        <f t="array" aca="1" ref="G27" ca="1">MATCH(FALSE, INDEX(TRIM(INDIRECT("'Comm Matrix'!G" &amp; (MATCH(A27,'Comm Matrix'!A:A,0)+1) &amp; ":G1000"))&lt;&gt;"", 0), 0)-1</f>
        <v>28</v>
      </c>
      <c r="H27" s="140">
        <f t="shared" si="2"/>
        <v>0</v>
      </c>
      <c r="I27" s="140">
        <f t="shared" si="3"/>
        <v>0</v>
      </c>
    </row>
    <row r="28" spans="1:9" x14ac:dyDescent="0.35">
      <c r="A28" s="187" t="str">
        <f>'Message ID'!A30</f>
        <v>ParaThr_SOX</v>
      </c>
      <c r="B28" s="189" t="str">
        <f>'Message ID'!D30</f>
        <v>/</v>
      </c>
      <c r="C28" s="189">
        <f>'Message ID'!Q30</f>
        <v>0</v>
      </c>
      <c r="D28" s="190">
        <f>VLOOKUP(A28,'Comm Matrix'!A:N,14,FALSE)</f>
        <v>30</v>
      </c>
      <c r="E28" s="190">
        <f t="shared" si="10"/>
        <v>12</v>
      </c>
      <c r="F28" s="140">
        <f t="shared" si="1"/>
        <v>0</v>
      </c>
      <c r="G28" s="193" cm="1">
        <f t="array" aca="1" ref="G28" ca="1">MATCH(FALSE, INDEX(TRIM(INDIRECT("'Comm Matrix'!G" &amp; (MATCH(A28,'Comm Matrix'!A:A,0)+1) &amp; ":G1000"))&lt;&gt;"", 0), 0)-1</f>
        <v>13</v>
      </c>
      <c r="H28" s="140">
        <f t="shared" si="2"/>
        <v>0</v>
      </c>
      <c r="I28" s="140">
        <f t="shared" si="3"/>
        <v>0</v>
      </c>
    </row>
    <row r="29" spans="1:9" x14ac:dyDescent="0.35">
      <c r="A29" s="187" t="str">
        <f>'Message ID'!A31</f>
        <v>ParaThr_SOX</v>
      </c>
      <c r="B29" s="189" t="str">
        <f>'Message ID'!D31</f>
        <v>/</v>
      </c>
      <c r="C29" s="189">
        <f>'Message ID'!Q31</f>
        <v>0</v>
      </c>
      <c r="D29" s="190">
        <f>VLOOKUP(A29,'Comm Matrix'!A:N,14,FALSE)</f>
        <v>30</v>
      </c>
      <c r="E29" s="190">
        <f t="shared" si="10"/>
        <v>12</v>
      </c>
      <c r="F29" s="140">
        <f t="shared" si="1"/>
        <v>0</v>
      </c>
      <c r="G29" s="193" cm="1">
        <f t="array" aca="1" ref="G29" ca="1">MATCH(FALSE, INDEX(TRIM(INDIRECT("'Comm Matrix'!G" &amp; (MATCH(A29,'Comm Matrix'!A:A,0)+1) &amp; ":G1000"))&lt;&gt;"", 0), 0)-1</f>
        <v>13</v>
      </c>
      <c r="H29" s="140">
        <f t="shared" si="2"/>
        <v>0</v>
      </c>
      <c r="I29" s="140">
        <f t="shared" si="3"/>
        <v>0</v>
      </c>
    </row>
    <row r="30" spans="1:9" x14ac:dyDescent="0.35">
      <c r="A30" s="187" t="str">
        <f>'Message ID'!A32</f>
        <v>ParaThr_AUX</v>
      </c>
      <c r="B30" s="189" t="str">
        <f>'Message ID'!D32</f>
        <v>/</v>
      </c>
      <c r="C30" s="189">
        <f>'Message ID'!Q32</f>
        <v>0</v>
      </c>
      <c r="D30" s="190">
        <f>VLOOKUP(A30,'Comm Matrix'!A:N,14,FALSE)</f>
        <v>1</v>
      </c>
      <c r="E30" s="190">
        <f t="shared" si="10"/>
        <v>12</v>
      </c>
      <c r="F30" s="140">
        <f t="shared" si="1"/>
        <v>0</v>
      </c>
      <c r="G30" s="193" cm="1">
        <f t="array" aca="1" ref="G30" ca="1">MATCH(FALSE, INDEX(TRIM(INDIRECT("'Comm Matrix'!G" &amp; (MATCH(A30,'Comm Matrix'!A:A,0)+1) &amp; ":G1000"))&lt;&gt;"", 0), 0)-1</f>
        <v>1</v>
      </c>
      <c r="H30" s="140">
        <f t="shared" si="2"/>
        <v>0</v>
      </c>
      <c r="I30" s="140">
        <f t="shared" si="3"/>
        <v>0</v>
      </c>
    </row>
    <row r="31" spans="1:9" x14ac:dyDescent="0.35">
      <c r="A31" s="187" t="str">
        <f>'Message ID'!A33</f>
        <v>ParaThr_AUX</v>
      </c>
      <c r="B31" s="189" t="str">
        <f>'Message ID'!D33</f>
        <v>/</v>
      </c>
      <c r="C31" s="189">
        <f>'Message ID'!Q33</f>
        <v>0</v>
      </c>
      <c r="D31" s="190">
        <f>VLOOKUP(A31,'Comm Matrix'!A:N,14,FALSE)</f>
        <v>1</v>
      </c>
      <c r="E31" s="190">
        <f t="shared" si="10"/>
        <v>12</v>
      </c>
      <c r="F31" s="140">
        <f t="shared" si="1"/>
        <v>0</v>
      </c>
      <c r="G31" s="193" cm="1">
        <f t="array" aca="1" ref="G31" ca="1">MATCH(FALSE, INDEX(TRIM(INDIRECT("'Comm Matrix'!G" &amp; (MATCH(A31,'Comm Matrix'!A:A,0)+1) &amp; ":G1000"))&lt;&gt;"", 0), 0)-1</f>
        <v>1</v>
      </c>
      <c r="H31" s="140">
        <f t="shared" si="2"/>
        <v>0</v>
      </c>
      <c r="I31" s="140">
        <f t="shared" si="3"/>
        <v>0</v>
      </c>
    </row>
    <row r="32" spans="1:9" x14ac:dyDescent="0.35">
      <c r="A32" s="187" t="str">
        <f>'Message ID'!A34</f>
        <v>ParaThr_TMS</v>
      </c>
      <c r="B32" s="189" t="str">
        <f>'Message ID'!D34</f>
        <v>/</v>
      </c>
      <c r="C32" s="189">
        <f>'Message ID'!Q34</f>
        <v>0</v>
      </c>
      <c r="D32" s="190">
        <f>VLOOKUP(A32,'Comm Matrix'!A:N,14,FALSE)</f>
        <v>48</v>
      </c>
      <c r="E32" s="305">
        <v>1</v>
      </c>
      <c r="F32" s="140">
        <f t="shared" si="1"/>
        <v>0</v>
      </c>
      <c r="G32" s="193" cm="1">
        <f t="array" aca="1" ref="G32" ca="1">MATCH(FALSE, INDEX(TRIM(INDIRECT("'Comm Matrix'!G" &amp; (MATCH(A32,'Comm Matrix'!A:A,0)+1) &amp; ":G1000"))&lt;&gt;"", 0), 0)-1</f>
        <v>39</v>
      </c>
      <c r="H32" s="140">
        <f t="shared" si="2"/>
        <v>0</v>
      </c>
      <c r="I32" s="140">
        <f t="shared" si="3"/>
        <v>0</v>
      </c>
    </row>
    <row r="33" spans="1:9" x14ac:dyDescent="0.35">
      <c r="A33" s="187" t="str">
        <f>'Message ID'!A35</f>
        <v>ParaThr_TMS</v>
      </c>
      <c r="B33" s="189" t="str">
        <f>'Message ID'!D35</f>
        <v>/</v>
      </c>
      <c r="C33" s="189">
        <f>'Message ID'!Q35</f>
        <v>0</v>
      </c>
      <c r="D33" s="190">
        <f>VLOOKUP(A33,'Comm Matrix'!A:N,14,FALSE)</f>
        <v>48</v>
      </c>
      <c r="E33" s="305">
        <v>1</v>
      </c>
      <c r="F33" s="140">
        <f t="shared" si="1"/>
        <v>0</v>
      </c>
      <c r="G33" s="193" cm="1">
        <f t="array" aca="1" ref="G33" ca="1">MATCH(FALSE, INDEX(TRIM(INDIRECT("'Comm Matrix'!G" &amp; (MATCH(A33,'Comm Matrix'!A:A,0)+1) &amp; ":G1000"))&lt;&gt;"", 0), 0)-1</f>
        <v>39</v>
      </c>
      <c r="H33" s="140">
        <f t="shared" si="2"/>
        <v>0</v>
      </c>
      <c r="I33" s="140">
        <f t="shared" si="3"/>
        <v>0</v>
      </c>
    </row>
    <row r="34" spans="1:9" x14ac:dyDescent="0.35">
      <c r="A34" s="187" t="str">
        <f>'Message ID'!A36</f>
        <v>ParaThr_TMS</v>
      </c>
      <c r="B34" s="189" t="str">
        <f>'Message ID'!D36</f>
        <v>/</v>
      </c>
      <c r="C34" s="189">
        <f>'Message ID'!Q36</f>
        <v>0</v>
      </c>
      <c r="D34" s="190">
        <f>VLOOKUP(A34,'Comm Matrix'!A:N,14,FALSE)</f>
        <v>48</v>
      </c>
      <c r="E34" s="190">
        <f t="shared" ref="E34:E53" si="11">IF(OR(ISNUMBER(SEARCH("RBMS", A34)), ISNUMBER(SEARCH("Para", A34))), $F$54, 1)</f>
        <v>12</v>
      </c>
      <c r="F34" s="140">
        <f t="shared" ref="F34:F35" si="12">IF(C34=1,D34*E34*60*60*24*C34/(B34/1000),0)/1024</f>
        <v>0</v>
      </c>
      <c r="G34" s="193" cm="1">
        <f t="array" aca="1" ref="G34" ca="1">MATCH(FALSE, INDEX(TRIM(INDIRECT("'Comm Matrix'!G" &amp; (MATCH(A34,'Comm Matrix'!A:A,0)+1) &amp; ":G1000"))&lt;&gt;"", 0), 0)-1</f>
        <v>39</v>
      </c>
      <c r="H34" s="140">
        <f t="shared" ref="H34:H35" si="13">IF(C34=1,G34*E34*60*60*24*C34/(B34/1000),0)/1024</f>
        <v>0</v>
      </c>
      <c r="I34" s="140">
        <f t="shared" ref="I34:I35" si="14">IF(C34=1,19*E34*60*60*24*C34/(B34/1000),0)/1024</f>
        <v>0</v>
      </c>
    </row>
    <row r="35" spans="1:9" x14ac:dyDescent="0.35">
      <c r="A35" s="187" t="str">
        <f>'Message ID'!A37</f>
        <v>ParaThr_TMS</v>
      </c>
      <c r="B35" s="189" t="str">
        <f>'Message ID'!D37</f>
        <v>/</v>
      </c>
      <c r="C35" s="189">
        <f>'Message ID'!Q37</f>
        <v>0</v>
      </c>
      <c r="D35" s="190">
        <f>VLOOKUP(A35,'Comm Matrix'!A:N,14,FALSE)</f>
        <v>48</v>
      </c>
      <c r="E35" s="190">
        <f t="shared" si="11"/>
        <v>12</v>
      </c>
      <c r="F35" s="140">
        <f t="shared" si="12"/>
        <v>0</v>
      </c>
      <c r="G35" s="193" cm="1">
        <f t="array" aca="1" ref="G35" ca="1">MATCH(FALSE, INDEX(TRIM(INDIRECT("'Comm Matrix'!G" &amp; (MATCH(A35,'Comm Matrix'!A:A,0)+1) &amp; ":G1000"))&lt;&gt;"", 0), 0)-1</f>
        <v>39</v>
      </c>
      <c r="H35" s="140">
        <f t="shared" si="13"/>
        <v>0</v>
      </c>
      <c r="I35" s="140">
        <f t="shared" si="14"/>
        <v>0</v>
      </c>
    </row>
    <row r="36" spans="1:9" x14ac:dyDescent="0.35">
      <c r="A36" s="187" t="str">
        <f>'Message ID'!A38</f>
        <v>HMI_RBMSDOCtrl</v>
      </c>
      <c r="B36" s="189" t="str">
        <f>'Message ID'!D38</f>
        <v>/</v>
      </c>
      <c r="C36" s="189">
        <f>'Message ID'!Q38</f>
        <v>0</v>
      </c>
      <c r="D36" s="190">
        <f>VLOOKUP(A36,'Comm Matrix'!A:N,14,FALSE)</f>
        <v>12</v>
      </c>
      <c r="E36" s="190">
        <f t="shared" si="11"/>
        <v>12</v>
      </c>
      <c r="F36" s="140">
        <f t="shared" si="1"/>
        <v>0</v>
      </c>
      <c r="G36" s="193" cm="1">
        <f t="array" aca="1" ref="G36" ca="1">MATCH(FALSE, INDEX(TRIM(INDIRECT("'Comm Matrix'!G" &amp; (MATCH(A36,'Comm Matrix'!A:A,0)+1) &amp; ":G1000"))&lt;&gt;"", 0), 0)-1</f>
        <v>12</v>
      </c>
      <c r="H36" s="140">
        <f t="shared" si="2"/>
        <v>0</v>
      </c>
      <c r="I36" s="140">
        <f t="shared" si="3"/>
        <v>0</v>
      </c>
    </row>
    <row r="37" spans="1:9" x14ac:dyDescent="0.35">
      <c r="A37" s="187" t="str">
        <f>'Message ID'!A39</f>
        <v>HMI_BBMSDOCtrl</v>
      </c>
      <c r="B37" s="189" t="str">
        <f>'Message ID'!D39</f>
        <v>/</v>
      </c>
      <c r="C37" s="189">
        <f>'Message ID'!Q39</f>
        <v>0</v>
      </c>
      <c r="D37" s="190">
        <f>VLOOKUP(A37,'Comm Matrix'!A:N,14,FALSE)</f>
        <v>12</v>
      </c>
      <c r="E37" s="190">
        <f t="shared" si="11"/>
        <v>1</v>
      </c>
      <c r="F37" s="140">
        <f t="shared" si="1"/>
        <v>0</v>
      </c>
      <c r="G37" s="193" cm="1">
        <f t="array" aca="1" ref="G37" ca="1">MATCH(FALSE, INDEX(TRIM(INDIRECT("'Comm Matrix'!G" &amp; (MATCH(A37,'Comm Matrix'!A:A,0)+1) &amp; ":G1000"))&lt;&gt;"", 0), 0)-1</f>
        <v>12</v>
      </c>
      <c r="H37" s="140">
        <f t="shared" si="2"/>
        <v>0</v>
      </c>
      <c r="I37" s="140">
        <f t="shared" si="3"/>
        <v>0</v>
      </c>
    </row>
    <row r="38" spans="1:9" x14ac:dyDescent="0.35">
      <c r="A38" s="187" t="str">
        <f>'Message ID'!A40</f>
        <v>RBMS_SOXdebugData1</v>
      </c>
      <c r="B38" s="189">
        <f>'Message ID'!D40</f>
        <v>1000</v>
      </c>
      <c r="C38" s="189">
        <f>'Message ID'!Q40</f>
        <v>1</v>
      </c>
      <c r="D38" s="190">
        <f>VLOOKUP(A38,'Comm Matrix'!A:N,14,FALSE)</f>
        <v>155</v>
      </c>
      <c r="E38" s="190">
        <f t="shared" si="11"/>
        <v>12</v>
      </c>
      <c r="F38" s="140">
        <f t="shared" si="1"/>
        <v>156937.5</v>
      </c>
      <c r="G38" s="193" cm="1">
        <f t="array" aca="1" ref="G38" ca="1">MATCH(FALSE, INDEX(TRIM(INDIRECT("'Comm Matrix'!G" &amp; (MATCH(A38,'Comm Matrix'!A:A,0)+1) &amp; ":G1000"))&lt;&gt;"", 0), 0)-1</f>
        <v>32</v>
      </c>
      <c r="H38" s="140">
        <f t="shared" ca="1" si="2"/>
        <v>32400</v>
      </c>
      <c r="I38" s="140">
        <f t="shared" si="3"/>
        <v>19237.5</v>
      </c>
    </row>
    <row r="39" spans="1:9" x14ac:dyDescent="0.35">
      <c r="A39" s="187" t="str">
        <f>'Message ID'!A41</f>
        <v>RBMS_SOXdebugData2</v>
      </c>
      <c r="B39" s="189">
        <f>'Message ID'!D41</f>
        <v>1000</v>
      </c>
      <c r="C39" s="189">
        <f>'Message ID'!Q41</f>
        <v>1</v>
      </c>
      <c r="D39" s="190">
        <f>VLOOKUP(A39,'Comm Matrix'!A:N,14,FALSE)</f>
        <v>125</v>
      </c>
      <c r="E39" s="190">
        <f t="shared" si="11"/>
        <v>12</v>
      </c>
      <c r="F39" s="140">
        <f t="shared" si="1"/>
        <v>126562.5</v>
      </c>
      <c r="G39" s="245" cm="1">
        <f t="array" aca="1" ref="G39" ca="1">9+MATCH(TRUE, INDEX(TRIM(INDIRECT("'Comm Matrix'!A" &amp; (MATCH(A39,'Comm Matrix'!A:A,0)+1) &amp; ":A1000"))&lt;&gt;"", 0), 0)-1</f>
        <v>41</v>
      </c>
      <c r="H39" s="140">
        <f t="shared" ca="1" si="2"/>
        <v>41512.5</v>
      </c>
      <c r="I39" s="140">
        <f t="shared" si="3"/>
        <v>19237.5</v>
      </c>
    </row>
    <row r="40" spans="1:9" x14ac:dyDescent="0.35">
      <c r="A40" s="187" t="str">
        <f>'Message ID'!A42</f>
        <v>HMI_RackFaultCali</v>
      </c>
      <c r="B40" s="189" t="str">
        <f>'Message ID'!D42</f>
        <v>/</v>
      </c>
      <c r="C40" s="189">
        <f>'Message ID'!Q42</f>
        <v>0</v>
      </c>
      <c r="D40" s="190">
        <f>VLOOKUP(A40,'Comm Matrix'!A:N,14,FALSE)</f>
        <v>8</v>
      </c>
      <c r="E40" s="190">
        <f t="shared" si="11"/>
        <v>1</v>
      </c>
      <c r="F40" s="140">
        <f t="shared" si="1"/>
        <v>0</v>
      </c>
      <c r="G40" s="193" cm="1">
        <f t="array" aca="1" ref="G40" ca="1">MATCH(FALSE, INDEX(TRIM(INDIRECT("'Comm Matrix'!G" &amp; (MATCH(A40,'Comm Matrix'!A:A,0)+1) &amp; ":G1000"))&lt;&gt;"", 0), 0)-1</f>
        <v>2</v>
      </c>
      <c r="H40" s="140">
        <f t="shared" si="2"/>
        <v>0</v>
      </c>
      <c r="I40" s="140">
        <f t="shared" si="3"/>
        <v>0</v>
      </c>
    </row>
    <row r="41" spans="1:9" x14ac:dyDescent="0.35">
      <c r="A41" s="187" t="str">
        <f>'Message ID'!A43</f>
        <v>HMI_BankFaultCali</v>
      </c>
      <c r="B41" s="189" t="str">
        <f>'Message ID'!D43</f>
        <v>/</v>
      </c>
      <c r="C41" s="189">
        <f>'Message ID'!Q43</f>
        <v>0</v>
      </c>
      <c r="D41" s="190">
        <f>VLOOKUP(A41,'Comm Matrix'!A:N,14,FALSE)</f>
        <v>1005</v>
      </c>
      <c r="E41" s="190">
        <f t="shared" si="11"/>
        <v>1</v>
      </c>
      <c r="F41" s="140">
        <f t="shared" si="1"/>
        <v>0</v>
      </c>
      <c r="G41" s="193" cm="1">
        <f t="array" aca="1" ref="G41" ca="1">MATCH(FALSE, INDEX(TRIM(INDIRECT("'Comm Matrix'!G" &amp; (MATCH(A41,'Comm Matrix'!A:A,0)+1) &amp; ":G1000"))&lt;&gt;"", 0), 0)-1</f>
        <v>3</v>
      </c>
      <c r="H41" s="140">
        <f t="shared" si="2"/>
        <v>0</v>
      </c>
      <c r="I41" s="140">
        <f t="shared" si="3"/>
        <v>0</v>
      </c>
    </row>
    <row r="42" spans="1:9" x14ac:dyDescent="0.35">
      <c r="A42" s="187" t="str">
        <f>'Message ID'!A44</f>
        <v>HMI_FltOvTiNbr</v>
      </c>
      <c r="B42" s="189" t="str">
        <f>'Message ID'!D44</f>
        <v>/</v>
      </c>
      <c r="C42" s="189">
        <f>'Message ID'!Q44</f>
        <v>0</v>
      </c>
      <c r="D42" s="190">
        <f>VLOOKUP(A42,'Comm Matrix'!A:N,14,FALSE)</f>
        <v>1002</v>
      </c>
      <c r="E42" s="190">
        <f t="shared" si="11"/>
        <v>1</v>
      </c>
      <c r="F42" s="140">
        <f t="shared" si="1"/>
        <v>0</v>
      </c>
      <c r="G42" s="210">
        <v>200</v>
      </c>
      <c r="H42" s="140">
        <f t="shared" si="2"/>
        <v>0</v>
      </c>
      <c r="I42" s="140">
        <f t="shared" si="3"/>
        <v>0</v>
      </c>
    </row>
    <row r="43" spans="1:9" x14ac:dyDescent="0.35">
      <c r="A43" s="187" t="str">
        <f>'Message ID'!A45</f>
        <v>RBMS_Debug</v>
      </c>
      <c r="B43" s="189">
        <f>'Message ID'!D45</f>
        <v>1000</v>
      </c>
      <c r="C43" s="189">
        <f>'Message ID'!Q45</f>
        <v>1</v>
      </c>
      <c r="D43" s="190">
        <f>VLOOKUP(A43,'Comm Matrix'!A:N,14,FALSE)</f>
        <v>77</v>
      </c>
      <c r="E43" s="190">
        <f t="shared" si="11"/>
        <v>12</v>
      </c>
      <c r="F43" s="140">
        <f t="shared" si="1"/>
        <v>77962.5</v>
      </c>
      <c r="G43" s="193" cm="1">
        <f t="array" aca="1" ref="G43" ca="1">MATCH(FALSE, INDEX(TRIM(INDIRECT("'Comm Matrix'!G" &amp; (MATCH(A43,'Comm Matrix'!A:A,0)+1) &amp; ":G1000"))&lt;&gt;"", 0), 0)-1</f>
        <v>29</v>
      </c>
      <c r="H43" s="140">
        <f t="shared" ca="1" si="2"/>
        <v>29362.5</v>
      </c>
      <c r="I43" s="140">
        <f t="shared" si="3"/>
        <v>19237.5</v>
      </c>
    </row>
    <row r="44" spans="1:9" x14ac:dyDescent="0.35">
      <c r="A44" s="187" t="str">
        <f>'Message ID'!A46</f>
        <v>BBMS_A_SOCInfo</v>
      </c>
      <c r="B44" s="189">
        <f>'Message ID'!D46</f>
        <v>1000</v>
      </c>
      <c r="C44" s="189">
        <f>'Message ID'!Q46</f>
        <v>1</v>
      </c>
      <c r="D44" s="190">
        <f>VLOOKUP(A44,'Comm Matrix'!A:N,14,FALSE)</f>
        <v>344</v>
      </c>
      <c r="E44" s="190">
        <f t="shared" si="11"/>
        <v>1</v>
      </c>
      <c r="F44" s="140">
        <f t="shared" si="1"/>
        <v>29025</v>
      </c>
      <c r="G44" s="245">
        <f>16+16+12+12+12</f>
        <v>68</v>
      </c>
      <c r="H44" s="140">
        <f>IF(C44=1,G44*E44*60*60*24*C44/(B44/1000),0)/1024</f>
        <v>5737.5</v>
      </c>
      <c r="I44" s="140">
        <f t="shared" si="3"/>
        <v>1603.125</v>
      </c>
    </row>
    <row r="45" spans="1:9" x14ac:dyDescent="0.35">
      <c r="A45" s="187" t="str">
        <f>'Message ID'!A47</f>
        <v>BBMS_A_SOHInfo</v>
      </c>
      <c r="B45" s="189">
        <f>'Message ID'!D47</f>
        <v>1000</v>
      </c>
      <c r="C45" s="189">
        <f>'Message ID'!Q47</f>
        <v>1</v>
      </c>
      <c r="D45" s="190">
        <f>VLOOKUP(A45,'Comm Matrix'!A:N,14,FALSE)</f>
        <v>504</v>
      </c>
      <c r="E45" s="190">
        <f t="shared" si="11"/>
        <v>1</v>
      </c>
      <c r="F45" s="140">
        <f t="shared" si="1"/>
        <v>42525</v>
      </c>
      <c r="G45" s="245">
        <f>16+16+16+12+12+12</f>
        <v>84</v>
      </c>
      <c r="H45" s="140">
        <f t="shared" si="2"/>
        <v>7087.5</v>
      </c>
      <c r="I45" s="140">
        <f t="shared" si="3"/>
        <v>1603.125</v>
      </c>
    </row>
    <row r="46" spans="1:9" x14ac:dyDescent="0.35">
      <c r="A46" s="187" t="str">
        <f>'Message ID'!A48</f>
        <v>BBMS_A_Fault</v>
      </c>
      <c r="B46" s="189">
        <f>'Message ID'!D48</f>
        <v>1000</v>
      </c>
      <c r="C46" s="189">
        <f>'Message ID'!Q48</f>
        <v>1</v>
      </c>
      <c r="D46" s="190">
        <f>VLOOKUP(A46,'Comm Matrix'!A:N,14,FALSE)</f>
        <v>200</v>
      </c>
      <c r="E46" s="190">
        <f t="shared" si="11"/>
        <v>1</v>
      </c>
      <c r="F46" s="140">
        <f t="shared" si="1"/>
        <v>16875</v>
      </c>
      <c r="G46" s="210">
        <f>200</f>
        <v>200</v>
      </c>
      <c r="H46" s="140">
        <f t="shared" si="2"/>
        <v>16875</v>
      </c>
      <c r="I46" s="140">
        <f t="shared" si="3"/>
        <v>1603.125</v>
      </c>
    </row>
    <row r="47" spans="1:9" x14ac:dyDescent="0.35">
      <c r="A47" s="187" t="str">
        <f>'Message ID'!A49</f>
        <v>HMI_FltEna</v>
      </c>
      <c r="B47" s="189" t="str">
        <f>'Message ID'!D49</f>
        <v>/</v>
      </c>
      <c r="C47" s="189">
        <f>'Message ID'!Q49</f>
        <v>0</v>
      </c>
      <c r="D47" s="190">
        <f>VLOOKUP(A47,'Comm Matrix'!A:N,14,FALSE)</f>
        <v>200</v>
      </c>
      <c r="E47" s="190">
        <f t="shared" si="11"/>
        <v>1</v>
      </c>
      <c r="F47" s="140">
        <f t="shared" ref="F47:F49" si="15">IF(C47=1,D47*E47*60*60*24*C47/(B47/1000),0)/1024</f>
        <v>0</v>
      </c>
      <c r="G47" s="210">
        <f>200</f>
        <v>200</v>
      </c>
      <c r="H47" s="140">
        <f t="shared" ref="H47:H49" si="16">IF(C47=1,G47*E47*60*60*24*C47/(B47/1000),0)/1024</f>
        <v>0</v>
      </c>
      <c r="I47" s="140">
        <f t="shared" ref="I47:I49" si="17">IF(C47=1,19*E47*60*60*24*C47/(B47/1000),0)/1024</f>
        <v>0</v>
      </c>
    </row>
    <row r="48" spans="1:9" x14ac:dyDescent="0.35">
      <c r="A48" s="187" t="str">
        <f>'Message ID'!A50</f>
        <v>HMI_FltEna</v>
      </c>
      <c r="B48" s="189" t="str">
        <f>'Message ID'!D50</f>
        <v>/</v>
      </c>
      <c r="C48" s="189">
        <f>'Message ID'!Q50</f>
        <v>0</v>
      </c>
      <c r="D48" s="190">
        <f>VLOOKUP(A48,'Comm Matrix'!A:N,14,FALSE)</f>
        <v>200</v>
      </c>
      <c r="E48" s="190">
        <f t="shared" si="11"/>
        <v>1</v>
      </c>
      <c r="F48" s="140">
        <f t="shared" si="15"/>
        <v>0</v>
      </c>
      <c r="G48" s="245">
        <f>200</f>
        <v>200</v>
      </c>
      <c r="H48" s="140">
        <f t="shared" si="16"/>
        <v>0</v>
      </c>
      <c r="I48" s="140">
        <f t="shared" si="17"/>
        <v>0</v>
      </c>
    </row>
    <row r="49" spans="1:9" x14ac:dyDescent="0.35">
      <c r="A49" s="187" t="str">
        <f>'Message ID'!A51</f>
        <v>Selfdr_Info</v>
      </c>
      <c r="B49" s="189" t="str">
        <f>'Message ID'!D51</f>
        <v>/</v>
      </c>
      <c r="C49" s="189">
        <f>'Message ID'!Q51</f>
        <v>0</v>
      </c>
      <c r="D49" s="190">
        <f>VLOOKUP(A49,'Comm Matrix'!A:N,14,FALSE)</f>
        <v>13</v>
      </c>
      <c r="E49" s="190">
        <f t="shared" si="11"/>
        <v>1</v>
      </c>
      <c r="F49" s="140">
        <f t="shared" si="15"/>
        <v>0</v>
      </c>
      <c r="G49" s="260" cm="1">
        <f t="array" aca="1" ref="G49" ca="1">MATCH(FALSE, INDEX(TRIM(INDIRECT("'Comm Matrix'!G" &amp; (MATCH(A49,'Comm Matrix'!A:A,0)+1) &amp; ":G1000"))&lt;&gt;"", 0), 0)-1</f>
        <v>3</v>
      </c>
      <c r="H49" s="140">
        <f t="shared" si="16"/>
        <v>0</v>
      </c>
      <c r="I49" s="140">
        <f t="shared" si="17"/>
        <v>0</v>
      </c>
    </row>
    <row r="50" spans="1:9" x14ac:dyDescent="0.35">
      <c r="A50" s="187" t="str">
        <f>'Message ID'!A53</f>
        <v>BBMS_SafetySignal</v>
      </c>
      <c r="B50" s="189">
        <f>'Message ID'!D53</f>
        <v>1000</v>
      </c>
      <c r="C50" s="189">
        <f>'Message ID'!Q53</f>
        <v>0</v>
      </c>
      <c r="D50" s="190">
        <f>VLOOKUP(A50,'Comm Matrix'!A:N,14,FALSE)</f>
        <v>7</v>
      </c>
      <c r="E50" s="190">
        <f t="shared" si="11"/>
        <v>1</v>
      </c>
      <c r="F50" s="140">
        <f t="shared" ref="F50" si="18">IF(C50=1,D50*E50*60*60*24*C50/(B50/1000),0)/1024</f>
        <v>0</v>
      </c>
      <c r="G50" s="260" cm="1">
        <f t="array" aca="1" ref="G50" ca="1">MATCH(FALSE, INDEX(TRIM(INDIRECT("'Comm Matrix'!G" &amp; (MATCH(A50,'Comm Matrix'!A:A,0)+1) &amp; ":G1000"))&lt;&gt;"", 0), 0)-1</f>
        <v>4</v>
      </c>
      <c r="H50" s="140">
        <f t="shared" ref="H50" si="19">IF(C50=1,G50*E50*60*60*24*C50/(B50/1000),0)/1024</f>
        <v>0</v>
      </c>
      <c r="I50" s="140">
        <f t="shared" ref="I50" si="20">IF(C50=1,19*E50*60*60*24*C50/(B50/1000),0)/1024</f>
        <v>0</v>
      </c>
    </row>
    <row r="51" spans="1:9" x14ac:dyDescent="0.35">
      <c r="A51" s="187" t="str">
        <f>'Message ID'!A54</f>
        <v>BBMS_A_CtlWord</v>
      </c>
      <c r="B51" s="189">
        <f>'Message ID'!D54</f>
        <v>1000</v>
      </c>
      <c r="C51" s="189">
        <f>'Message ID'!Q54</f>
        <v>0</v>
      </c>
      <c r="D51" s="190">
        <f>VLOOKUP(A51,'Comm Matrix'!A:N,14,FALSE)</f>
        <v>5</v>
      </c>
      <c r="E51" s="190">
        <f t="shared" si="11"/>
        <v>1</v>
      </c>
      <c r="F51" s="140">
        <f t="shared" ref="F51:F52" si="21">IF(C51=1,D51*E51*60*60*24*C51/(B51/1000),0)/1024</f>
        <v>0</v>
      </c>
      <c r="G51" s="260" cm="1">
        <f t="array" aca="1" ref="G51" ca="1">MATCH(FALSE, INDEX(TRIM(INDIRECT("'Comm Matrix'!G" &amp; (MATCH(A51,'Comm Matrix'!A:A,0)+1) &amp; ":G1000"))&lt;&gt;"", 0), 0)-1</f>
        <v>4</v>
      </c>
      <c r="H51" s="140">
        <f t="shared" ref="H51:H52" si="22">IF(C51=1,G51*E51*60*60*24*C51/(B51/1000),0)/1024</f>
        <v>0</v>
      </c>
      <c r="I51" s="140">
        <f t="shared" ref="I51:I52" si="23">IF(C51=1,19*E51*60*60*24*C51/(B51/1000),0)/1024</f>
        <v>0</v>
      </c>
    </row>
    <row r="52" spans="1:9" x14ac:dyDescent="0.35">
      <c r="A52" s="187" t="str">
        <f>'Message ID'!A55</f>
        <v>System_Info</v>
      </c>
      <c r="B52" s="189" t="str">
        <f>'Message ID'!D55</f>
        <v>/</v>
      </c>
      <c r="C52" s="189">
        <f>'Message ID'!Q55</f>
        <v>0</v>
      </c>
      <c r="D52" s="190">
        <f>VLOOKUP(A52,'Comm Matrix'!A:N,14,FALSE)</f>
        <v>3</v>
      </c>
      <c r="E52" s="190">
        <f t="shared" si="11"/>
        <v>1</v>
      </c>
      <c r="F52" s="140">
        <f t="shared" si="21"/>
        <v>0</v>
      </c>
      <c r="G52" s="260" cm="1">
        <f t="array" aca="1" ref="G52" ca="1">MATCH(FALSE, INDEX(TRIM(INDIRECT("'Comm Matrix'!G" &amp; (MATCH(A52,'Comm Matrix'!A:A,0)+1) &amp; ":G1000"))&lt;&gt;"", 0), 0)-1</f>
        <v>2</v>
      </c>
      <c r="H52" s="140">
        <f t="shared" si="22"/>
        <v>0</v>
      </c>
      <c r="I52" s="140">
        <f t="shared" si="23"/>
        <v>0</v>
      </c>
    </row>
    <row r="53" spans="1:9" x14ac:dyDescent="0.35">
      <c r="A53" s="187" t="str">
        <f>'Message ID'!A56</f>
        <v>System_Info</v>
      </c>
      <c r="B53" s="189" t="str">
        <f>'Message ID'!D56</f>
        <v>/</v>
      </c>
      <c r="C53" s="189">
        <f>'Message ID'!Q56</f>
        <v>0</v>
      </c>
      <c r="D53" s="190">
        <f>VLOOKUP(A53,'Comm Matrix'!A:N,14,FALSE)</f>
        <v>3</v>
      </c>
      <c r="E53" s="190">
        <f t="shared" si="11"/>
        <v>1</v>
      </c>
      <c r="F53" s="140">
        <f t="shared" ref="F53" si="24">IF(C53=1,D53*E53*60*60*24*C53/(B53/1000),0)/1024</f>
        <v>0</v>
      </c>
      <c r="G53" s="260" cm="1">
        <f t="array" aca="1" ref="G53" ca="1">MATCH(FALSE, INDEX(TRIM(INDIRECT("'Comm Matrix'!G" &amp; (MATCH(A53,'Comm Matrix'!A:A,0)+1) &amp; ":G1000"))&lt;&gt;"", 0), 0)-1</f>
        <v>2</v>
      </c>
      <c r="H53" s="140">
        <f t="shared" ref="H53" si="25">IF(C53=1,G53*E53*60*60*24*C53/(B53/1000),0)/1024</f>
        <v>0</v>
      </c>
      <c r="I53" s="140">
        <f t="shared" ref="I53" si="26">IF(C53=1,19*E53*60*60*24*C53/(B53/1000),0)/1024</f>
        <v>0</v>
      </c>
    </row>
    <row r="54" spans="1:9" x14ac:dyDescent="0.35">
      <c r="C54" s="189"/>
      <c r="E54" s="188" t="s">
        <v>1170</v>
      </c>
      <c r="F54">
        <v>12</v>
      </c>
    </row>
    <row r="55" spans="1:9" x14ac:dyDescent="0.35">
      <c r="E55" s="188" t="s">
        <v>1172</v>
      </c>
      <c r="F55">
        <f>SUM(F2:F50)</f>
        <v>6755501.25</v>
      </c>
      <c r="H55">
        <f ca="1">SUM(H2:H50)</f>
        <v>2009913.75</v>
      </c>
      <c r="I55">
        <f>SUM(I2:I50)</f>
        <v>184680</v>
      </c>
    </row>
    <row r="56" spans="1:9" x14ac:dyDescent="0.35">
      <c r="E56" s="188" t="s">
        <v>1173</v>
      </c>
      <c r="F56">
        <f>F55/1024/1024</f>
        <v>6.4425480365753174</v>
      </c>
      <c r="G56"/>
      <c r="H56">
        <f t="shared" ref="H56" ca="1" si="27">H55/1024/1024</f>
        <v>1.9168031215667725</v>
      </c>
      <c r="I56">
        <f>I55/1024/1024</f>
        <v>0.17612457275390625</v>
      </c>
    </row>
    <row r="57" spans="1:9" x14ac:dyDescent="0.35">
      <c r="E57" s="188" t="s">
        <v>1174</v>
      </c>
      <c r="F57">
        <f ca="1">SUM(F56,H56:I56)</f>
        <v>8.5354757308959961</v>
      </c>
      <c r="G57"/>
    </row>
    <row r="58" spans="1:9" x14ac:dyDescent="0.35">
      <c r="E58" s="188" t="s">
        <v>1176</v>
      </c>
      <c r="F58">
        <v>512</v>
      </c>
    </row>
    <row r="59" spans="1:9" x14ac:dyDescent="0.35">
      <c r="E59" s="188" t="s">
        <v>1175</v>
      </c>
      <c r="F59">
        <f ca="1">F58/F57</f>
        <v>59.984940048122397</v>
      </c>
    </row>
  </sheetData>
  <phoneticPr fontId="43" type="noConversion"/>
  <pageMargins left="0.7" right="0.7" top="0.75" bottom="0.75" header="0.3" footer="0.3"/>
  <pageSetup paperSize="9" orientation="portrait" r:id="rId1"/>
  <ignoredErrors>
    <ignoredError sqref="G8:G9 G44 G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Revision</vt:lpstr>
      <vt:lpstr>Legend</vt:lpstr>
      <vt:lpstr>Station ID</vt:lpstr>
      <vt:lpstr>Message ID</vt:lpstr>
      <vt:lpstr>Comm Matrix</vt:lpstr>
      <vt:lpstr>Device ID</vt:lpstr>
      <vt:lpstr>SSD Store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徐楚</dc:creator>
  <cp:lastModifiedBy>hongfei du</cp:lastModifiedBy>
  <dcterms:created xsi:type="dcterms:W3CDTF">2024-09-10T02:10:04Z</dcterms:created>
  <dcterms:modified xsi:type="dcterms:W3CDTF">2026-09-28T03:26:59Z</dcterms:modified>
</cp:coreProperties>
</file>