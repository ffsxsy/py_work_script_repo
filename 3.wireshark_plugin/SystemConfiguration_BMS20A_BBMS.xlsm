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Jenkins\workspace\ASW_FW_CodeGen\ASW_FW_CodeGen\BMS20A_BBMS_cfg7_MU24W190\BMS20A_BBMS\"/>
    </mc:Choice>
  </mc:AlternateContent>
  <bookViews>
    <workbookView xWindow="1680" yWindow="3105" windowWidth="34875" windowHeight="17280" firstSheet="1" activeTab="3"/>
  </bookViews>
  <sheets>
    <sheet name="History" sheetId="5" r:id="rId1"/>
    <sheet name="SystemParameter" sheetId="1" r:id="rId2"/>
    <sheet name="FaultList" sheetId="2" r:id="rId3"/>
    <sheet name="Fault Category" sheetId="8" r:id="rId4"/>
  </sheets>
  <functionGroups builtInGroupCount="18"/>
  <calcPr calcId="162913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" l="1"/>
  <c r="C26" i="1"/>
  <c r="C3" i="1"/>
  <c r="C32" i="1"/>
  <c r="C39" i="1"/>
  <c r="C29" i="1"/>
  <c r="C40" i="1"/>
  <c r="C41" i="1" s="1"/>
  <c r="C35" i="1"/>
  <c r="C37" i="1"/>
  <c r="C27" i="1"/>
  <c r="C28" i="1"/>
  <c r="C38" i="1"/>
  <c r="C31" i="1"/>
  <c r="C30" i="1"/>
  <c r="C34" i="1"/>
  <c r="C33" i="1"/>
  <c r="C36" i="1"/>
</calcChain>
</file>

<file path=xl/sharedStrings.xml><?xml version="1.0" encoding="utf-8"?>
<sst xmlns="http://schemas.openxmlformats.org/spreadsheetml/2006/main" count="856" uniqueCount="423">
  <si>
    <t>Name</t>
    <phoneticPr fontId="1" type="noConversion"/>
  </si>
  <si>
    <t>PackageAttribute</t>
    <phoneticPr fontId="1" type="noConversion"/>
  </si>
  <si>
    <t>Value</t>
    <phoneticPr fontId="1" type="noConversion"/>
  </si>
  <si>
    <t>StorageClass</t>
    <phoneticPr fontId="1" type="noConversion"/>
  </si>
  <si>
    <t>CustomStorageClass</t>
    <phoneticPr fontId="1" type="noConversion"/>
  </si>
  <si>
    <t>MemorySection</t>
    <phoneticPr fontId="1" type="noConversion"/>
  </si>
  <si>
    <t>HeaderFile</t>
    <phoneticPr fontId="1" type="noConversion"/>
  </si>
  <si>
    <t>DefinitionFile</t>
    <phoneticPr fontId="1" type="noConversion"/>
  </si>
  <si>
    <t>DataType</t>
    <phoneticPr fontId="1" type="noConversion"/>
  </si>
  <si>
    <t>Min</t>
    <phoneticPr fontId="1" type="noConversion"/>
  </si>
  <si>
    <t>Max</t>
    <phoneticPr fontId="1" type="noConversion"/>
  </si>
  <si>
    <t>Dimensions</t>
    <phoneticPr fontId="1" type="noConversion"/>
  </si>
  <si>
    <t>DocUnits</t>
    <phoneticPr fontId="1" type="noConversion"/>
  </si>
  <si>
    <t>Description</t>
    <phoneticPr fontId="1" type="noConversion"/>
  </si>
  <si>
    <t>Custom</t>
  </si>
  <si>
    <t>SystemDefine</t>
  </si>
  <si>
    <t>-</t>
  </si>
  <si>
    <t>int32</t>
  </si>
  <si>
    <t>[]</t>
  </si>
  <si>
    <t>Nbr</t>
  </si>
  <si>
    <t>Number of cell parallel between modules within a branch</t>
  </si>
  <si>
    <t>FAULT_TOTAL_NUMBER</t>
    <phoneticPr fontId="1" type="noConversion"/>
  </si>
  <si>
    <t>System total fault number</t>
  </si>
  <si>
    <t>CELL_RATE_CAPACITY</t>
  </si>
  <si>
    <t>Single cell capacity</t>
  </si>
  <si>
    <t>kWh</t>
  </si>
  <si>
    <t>Single rack branch sum energy</t>
  </si>
  <si>
    <t>[1]</t>
  </si>
  <si>
    <t>HIL_TEST_ENABLE</t>
  </si>
  <si>
    <t>Custom</t>
    <phoneticPr fontId="0" type="noConversion"/>
  </si>
  <si>
    <t>SystemDefine</t>
    <phoneticPr fontId="0" type="noConversion"/>
  </si>
  <si>
    <t>-</t>
    <phoneticPr fontId="0" type="noConversion"/>
  </si>
  <si>
    <t>int32</t>
    <phoneticPr fontId="0" type="noConversion"/>
  </si>
  <si>
    <t>Nbr</t>
    <phoneticPr fontId="0" type="noConversion"/>
  </si>
  <si>
    <t>Actual total cell number</t>
  </si>
  <si>
    <t>Yes</t>
  </si>
  <si>
    <t>BMS.Parameter</t>
    <phoneticPr fontId="1" type="noConversion"/>
  </si>
  <si>
    <t>NA</t>
    <phoneticPr fontId="1" type="noConversion"/>
  </si>
  <si>
    <t>BESS_ALLOWED_RACK_FOR_PARTIAL_OPERATION_MIN</t>
    <phoneticPr fontId="1" type="noConversion"/>
  </si>
  <si>
    <t>CELL_PARALLEL_NUMBER_PER_RACK_BMS</t>
    <phoneticPr fontId="1" type="noConversion"/>
  </si>
  <si>
    <t>CELL_PARALLEL_NUMBER_INTERNAL_MODULE</t>
    <phoneticPr fontId="1" type="noConversion"/>
  </si>
  <si>
    <t>[0]</t>
    <phoneticPr fontId="1" type="noConversion"/>
  </si>
  <si>
    <t>[0]</t>
    <phoneticPr fontId="1" type="noConversion"/>
  </si>
  <si>
    <t>[1 1]</t>
    <phoneticPr fontId="1" type="noConversion"/>
  </si>
  <si>
    <t>-</t>
    <phoneticPr fontId="1" type="noConversion"/>
  </si>
  <si>
    <t>[1]</t>
    <phoneticPr fontId="1" type="noConversion"/>
  </si>
  <si>
    <t>-</t>
    <phoneticPr fontId="1" type="noConversion"/>
  </si>
  <si>
    <t>[1]</t>
    <phoneticPr fontId="1" type="noConversion"/>
  </si>
  <si>
    <t>[10]</t>
    <phoneticPr fontId="1" type="noConversion"/>
  </si>
  <si>
    <t>[1 1]</t>
    <phoneticPr fontId="1" type="noConversion"/>
  </si>
  <si>
    <t>[1]</t>
    <phoneticPr fontId="1" type="noConversion"/>
  </si>
  <si>
    <t>[10]</t>
    <phoneticPr fontId="1" type="noConversion"/>
  </si>
  <si>
    <t>[1 1]</t>
    <phoneticPr fontId="1" type="noConversion"/>
  </si>
  <si>
    <t>Number of cell parallel within a module</t>
  </si>
  <si>
    <t>Number of cell parallel between modules within a branch</t>
    <phoneticPr fontId="1" type="noConversion"/>
  </si>
  <si>
    <t>Formula</t>
    <phoneticPr fontId="1" type="noConversion"/>
  </si>
  <si>
    <t>NA</t>
    <phoneticPr fontId="1" type="noConversion"/>
  </si>
  <si>
    <t>NA</t>
    <phoneticPr fontId="1" type="noConversion"/>
  </si>
  <si>
    <t>NA</t>
    <phoneticPr fontId="1" type="noConversion"/>
  </si>
  <si>
    <t>NA</t>
    <phoneticPr fontId="1" type="noConversion"/>
  </si>
  <si>
    <t>BMS.Parameter</t>
    <phoneticPr fontId="1" type="noConversion"/>
  </si>
  <si>
    <t>-</t>
    <phoneticPr fontId="1" type="noConversion"/>
  </si>
  <si>
    <t>single</t>
    <phoneticPr fontId="1" type="noConversion"/>
  </si>
  <si>
    <t>[1]</t>
    <phoneticPr fontId="1" type="noConversion"/>
  </si>
  <si>
    <t>[2000]</t>
    <phoneticPr fontId="1" type="noConversion"/>
  </si>
  <si>
    <t>[1 1]</t>
    <phoneticPr fontId="1" type="noConversion"/>
  </si>
  <si>
    <t>kWh</t>
    <phoneticPr fontId="1" type="noConversion"/>
  </si>
  <si>
    <t>Single cell rate energy</t>
    <phoneticPr fontId="1" type="noConversion"/>
  </si>
  <si>
    <t>CELL_RATE_ENERGY*CELL_PARALLEL_NUMBER_PER_RACK_BMS*CELL_PARALLEL_NUMBER_INTERNAL_MODULE*TOTAL_SERIES_CELL_NUMBER_PER_RACK_BMS</t>
    <phoneticPr fontId="1" type="noConversion"/>
  </si>
  <si>
    <t>[200]</t>
    <phoneticPr fontId="1" type="noConversion"/>
  </si>
  <si>
    <t>RACK_NUMBER_FOR_EVERY_BANK</t>
    <phoneticPr fontId="1" type="noConversion"/>
  </si>
  <si>
    <t>BMS.Parameter</t>
    <phoneticPr fontId="1" type="noConversion"/>
  </si>
  <si>
    <t>Custom</t>
    <phoneticPr fontId="1" type="noConversion"/>
  </si>
  <si>
    <t>-</t>
    <phoneticPr fontId="1" type="noConversion"/>
  </si>
  <si>
    <t>int32</t>
    <phoneticPr fontId="1" type="noConversion"/>
  </si>
  <si>
    <t>[1]</t>
    <phoneticPr fontId="1" type="noConversion"/>
  </si>
  <si>
    <t>[100]</t>
    <phoneticPr fontId="1" type="noConversion"/>
  </si>
  <si>
    <t>[1 1]</t>
    <phoneticPr fontId="1" type="noConversion"/>
  </si>
  <si>
    <t>Nbr</t>
    <phoneticPr fontId="1" type="noConversion"/>
  </si>
  <si>
    <t>Actual AFE number</t>
  </si>
  <si>
    <t>BMS.Parameter</t>
    <phoneticPr fontId="1" type="noConversion"/>
  </si>
  <si>
    <t>[13]</t>
    <phoneticPr fontId="1" type="noConversion"/>
  </si>
  <si>
    <t>[1]</t>
    <phoneticPr fontId="1" type="noConversion"/>
  </si>
  <si>
    <t>[30]</t>
    <phoneticPr fontId="1" type="noConversion"/>
  </si>
  <si>
    <t>Cell voltage sampling number for every AFE</t>
    <phoneticPr fontId="1" type="noConversion"/>
  </si>
  <si>
    <t>RACK_AFE_NUMBER</t>
    <phoneticPr fontId="1" type="noConversion"/>
  </si>
  <si>
    <t>AFE_CELL_VOLTAGE_SAMPLING_NUMBER</t>
    <phoneticPr fontId="1" type="noConversion"/>
  </si>
  <si>
    <t>[32]</t>
    <phoneticPr fontId="1" type="noConversion"/>
  </si>
  <si>
    <t>BMS.Parameter</t>
    <phoneticPr fontId="1" type="noConversion"/>
  </si>
  <si>
    <t>Import</t>
    <phoneticPr fontId="1" type="noConversion"/>
  </si>
  <si>
    <t>-</t>
    <phoneticPr fontId="1" type="noConversion"/>
  </si>
  <si>
    <t>-</t>
    <phoneticPr fontId="1" type="noConversion"/>
  </si>
  <si>
    <t>uint8</t>
  </si>
  <si>
    <t>[]</t>
    <phoneticPr fontId="1" type="noConversion"/>
  </si>
  <si>
    <t>[1 8]</t>
    <phoneticPr fontId="1" type="noConversion"/>
  </si>
  <si>
    <t>BBMS_SW_VERSION</t>
    <phoneticPr fontId="1" type="noConversion"/>
  </si>
  <si>
    <t>[255]</t>
  </si>
  <si>
    <t>0 for LFP, 1 for NCM, 2 for LCO, 3 for LNO, 4 for LMO, 5 for NCA, 6 for SIB</t>
  </si>
  <si>
    <t>[1175]</t>
    <phoneticPr fontId="1" type="noConversion"/>
  </si>
  <si>
    <t>[4]</t>
    <phoneticPr fontId="1" type="noConversion"/>
  </si>
  <si>
    <t>NA</t>
  </si>
  <si>
    <t>CURRENT_SENSOR_ZERO_DRIFT_A</t>
  </si>
  <si>
    <t>BMS.Parameter</t>
  </si>
  <si>
    <t>[2]</t>
  </si>
  <si>
    <t>single</t>
  </si>
  <si>
    <t>[0]</t>
  </si>
  <si>
    <t>[2000]</t>
  </si>
  <si>
    <t>[1 1]</t>
  </si>
  <si>
    <t>A</t>
  </si>
  <si>
    <t>current sensor zero drift threshold</t>
  </si>
  <si>
    <t>-</t>
    <phoneticPr fontId="1" type="noConversion"/>
  </si>
  <si>
    <t>int32</t>
    <phoneticPr fontId="1" type="noConversion"/>
  </si>
  <si>
    <t>[100]</t>
    <phoneticPr fontId="1" type="noConversion"/>
  </si>
  <si>
    <t>AFE number per module</t>
    <phoneticPr fontId="1" type="noConversion"/>
  </si>
  <si>
    <t>CELL_TYPE</t>
    <phoneticPr fontId="1" type="noConversion"/>
  </si>
  <si>
    <t>int32</t>
    <phoneticPr fontId="1" type="noConversion"/>
  </si>
  <si>
    <t>[1]</t>
    <phoneticPr fontId="1" type="noConversion"/>
  </si>
  <si>
    <t>[100]</t>
    <phoneticPr fontId="1" type="noConversion"/>
  </si>
  <si>
    <t>[1 1]</t>
    <phoneticPr fontId="1" type="noConversion"/>
  </si>
  <si>
    <t>Actual module number</t>
  </si>
  <si>
    <t>RACK_AFE_NUMBER/MODULE_AFE_NUMBER</t>
    <phoneticPr fontId="1" type="noConversion"/>
  </si>
  <si>
    <t>[1]</t>
    <phoneticPr fontId="1" type="noConversion"/>
  </si>
  <si>
    <t>[1000]</t>
    <phoneticPr fontId="1" type="noConversion"/>
  </si>
  <si>
    <t>Actual module/cell temperature number per rack</t>
    <phoneticPr fontId="1" type="noConversion"/>
  </si>
  <si>
    <t>RACK_MODULE_NUMBER*MODULE_CELL_TEMPERATURE_SENSOR_NUMBER</t>
    <phoneticPr fontId="1" type="noConversion"/>
  </si>
  <si>
    <t>MODULE_AFE_NUMBER</t>
    <phoneticPr fontId="1" type="noConversion"/>
  </si>
  <si>
    <r>
      <t>Rack</t>
    </r>
    <r>
      <rPr>
        <sz val="11"/>
        <rFont val="宋体"/>
        <family val="3"/>
        <charset val="134"/>
      </rPr>
      <t>软件版本号</t>
    </r>
    <phoneticPr fontId="1" type="noConversion"/>
  </si>
  <si>
    <t>AFE_TEMPERATURE_SENSOR_MUX_NUMBER</t>
  </si>
  <si>
    <t>temperature sampling mux number for every AFE</t>
  </si>
  <si>
    <t>RACK_TEMPERATURE_SENSOR_MUX_NUMBER</t>
  </si>
  <si>
    <t>temperature sampling mux number for every rack</t>
  </si>
  <si>
    <t>CELL_RATE_VOLTAGE</t>
  </si>
  <si>
    <t>uint16</t>
  </si>
  <si>
    <t>[10000]</t>
  </si>
  <si>
    <t>mV</t>
  </si>
  <si>
    <t>Rated Voltage of the Battery Cell</t>
  </si>
  <si>
    <t>CELL_RATE_CAPACITY*CELL_RATE_VOLTAGE/1000/1000</t>
  </si>
  <si>
    <t>RACK_AFE_NUMBER_MAX * AFE_TEMPERATURE_SENSOR_MUX_NUMBER</t>
  </si>
  <si>
    <t>RACK_AFE_NUMBER_MAX</t>
  </si>
  <si>
    <t>[32]</t>
  </si>
  <si>
    <t>[100]</t>
  </si>
  <si>
    <t>The capability of max AFE number</t>
  </si>
  <si>
    <t>ACIS_BMS_BOARD</t>
  </si>
  <si>
    <t>[3]</t>
  </si>
  <si>
    <t>different board-level BMS 1:BBMS 2:RBMS of two-tier BMS 3:RBMS of three-tier BMS</t>
  </si>
  <si>
    <t>[3]</t>
    <phoneticPr fontId="1" type="noConversion"/>
  </si>
  <si>
    <t>NVM_WRITE_FLAG_HOLD_TIME</t>
  </si>
  <si>
    <t>[65535]</t>
  </si>
  <si>
    <t>ms</t>
  </si>
  <si>
    <t>The NVM write flag from ASW must remain set to true during this period to ensure the signal is successfully received by BSW.</t>
  </si>
  <si>
    <t>RACK_MODULE_NUMBER</t>
  </si>
  <si>
    <t>TOTAL_SERIES_CELL_NUMBER_PER_RACK_BMS</t>
  </si>
  <si>
    <t>TOTAL_MODULE_TEMPERATURE_SENSOR_NUMBER_PER_RACK_BMS</t>
  </si>
  <si>
    <t>CELL_RATE_ENERGY</t>
  </si>
  <si>
    <t>RATE_ENERGY_PER_BRANCH</t>
  </si>
  <si>
    <t>[3200]</t>
  </si>
  <si>
    <t>故障等级</t>
  </si>
  <si>
    <t>故障报警</t>
  </si>
  <si>
    <t>继电器状态</t>
  </si>
  <si>
    <t>上下高压限制</t>
  </si>
  <si>
    <t>不限制</t>
  </si>
  <si>
    <t>闭合</t>
  </si>
  <si>
    <t>CAT1</t>
  </si>
  <si>
    <t>断开</t>
  </si>
  <si>
    <t>禁止上高压</t>
  </si>
  <si>
    <t>TOTAL_SERIES_CELL_NUMBER_PER_RACK_MAX_REAL</t>
  </si>
  <si>
    <t>[416]</t>
  </si>
  <si>
    <t>[1000]</t>
  </si>
  <si>
    <t>Actual total cell number for real 1500v system</t>
  </si>
  <si>
    <t>RACK_MODULE_NUMBER_MAX</t>
  </si>
  <si>
    <t>The capability of max module number</t>
  </si>
  <si>
    <t>RACK_AFE_NUMBER_MAX/MODULE_AFE_NUMBER</t>
  </si>
  <si>
    <t>BBMS Platform
0:BBMS1.0
1:BBMS2.0 M Core 
2:BBMS2.0 A Core</t>
  </si>
  <si>
    <t>BBMS_Platform</t>
  </si>
  <si>
    <t>Max number of cell parallel between modules within a branch</t>
  </si>
  <si>
    <t>RACK_NUMBER_FOR_EVERY_BANK_MAX</t>
  </si>
  <si>
    <t>[12]</t>
  </si>
  <si>
    <t>Classification</t>
  </si>
  <si>
    <t>bms</t>
  </si>
  <si>
    <t>peripherals</t>
  </si>
  <si>
    <t>bms</t>
  </si>
  <si>
    <t>FaultDescription</t>
  </si>
  <si>
    <t>SSD故障【BSWSSSDLostFlg；SbEMCR_SSDLostFltFlg】</t>
  </si>
  <si>
    <t>SD故障【BSWSSDLostFlg；SbEMCR_SDLostFltFlg】</t>
  </si>
  <si>
    <t>M核通讯故障【BSWSMCoreCommFltFlg；SbEMCR_MCoreCommFltFlg】</t>
  </si>
  <si>
    <t>EMS通讯节点丢失故障【BSWEMSMsgAvlFlg、SbEMCR_EMSCommLostFltFlg】</t>
  </si>
  <si>
    <t>至少一个RBMS的LAN通讯丢失【SbEMCR_OneRackLanCommLostPreFltFlg；SbEMCR_OneRackLanCommLostFltFlg】</t>
  </si>
  <si>
    <t>所有RBMS的LAN通讯丢失【SbEMCR_AllRackLanCommLostPreFltFlg；SbEMCR_AllRackLanCommLostFltFlg】</t>
  </si>
  <si>
    <t>至少一个RBMS通讯丢失【SbEMCR_OneRackCommLostPreFltFlg；SbEMCR_OneRackCommLostFltFlg】</t>
  </si>
  <si>
    <t>所有RBMS通讯丢失【SbEMCR_AllRackCommLostPreFltFlg；SbEMCR_AllRackCommLostFltFlg】</t>
  </si>
  <si>
    <t>FaultName</t>
  </si>
  <si>
    <t>EMCR_SSD_Fault</t>
  </si>
  <si>
    <t>EMCR_SD_Fault</t>
  </si>
  <si>
    <t>EMCR_M_CORE_COMMUNICATION_FAULT</t>
  </si>
  <si>
    <t>EMCR_EMS_TO_BMS_COMMUNICATION_LOST_FAULT</t>
  </si>
  <si>
    <t>EMCR_ONERACK_TO_BANK_LAN_COMMUNICATION_LOST_FAULT</t>
  </si>
  <si>
    <t>EMCR_ALLRACK_TO_BANK_LAN_COMMUNICATION_LOST_FAULT</t>
  </si>
  <si>
    <t>EMCR_ONERACK_TO_BANK_COMMUNICATION_LOST_FAULT</t>
  </si>
  <si>
    <t>EMCR_ALLRACK_TO_BANK_COMMUNICATION_LOST_FAULT</t>
  </si>
  <si>
    <t>DiagnoseEnableCondition</t>
  </si>
  <si>
    <t>上电</t>
  </si>
  <si>
    <t>上电一分钟、通讯使能</t>
  </si>
  <si>
    <t>FaultAssertCriteria</t>
  </si>
  <si>
    <t>BSWSSSDLost == 1(SSD出现故障)</t>
  </si>
  <si>
    <t>BSWSSDLost == 1(SD出现故障)</t>
  </si>
  <si>
    <t>收不到M核的信号</t>
  </si>
  <si>
    <t>收不到EMS节点信号</t>
  </si>
  <si>
    <t>至少有一个RBMS的LAN通讯丢失</t>
  </si>
  <si>
    <t>所有RBMS的LAN通讯丢失</t>
  </si>
  <si>
    <t>收到至少有一个RBMS心跳信号不变化</t>
  </si>
  <si>
    <t>收到的所有RBMS心跳信号不变化</t>
  </si>
  <si>
    <t>FaultAssertDebounceTime</t>
  </si>
  <si>
    <t>【CcEMCR_SSDLostJudgeDurms=3000】ms</t>
  </si>
  <si>
    <t>【CcEMCR_SDLostJudgeDurms=3000】ms</t>
  </si>
  <si>
    <t>【CcEMCR_MCoreCommFltJudgeDurms=30000】ms</t>
  </si>
  <si>
    <t>【CcEMCR_EMSCommLostJudgeDurms=30000】ms</t>
  </si>
  <si>
    <t>【CcEMCR_OneRackCommLostJudgeDurms=30000】ms</t>
  </si>
  <si>
    <t>【CcEMCR_AllRackCommLostJudgeDurms=30000】ms</t>
  </si>
  <si>
    <t>FaultDeassertCriteria</t>
  </si>
  <si>
    <t>BSWSSSDLost == 0(SSD正常)</t>
  </si>
  <si>
    <t>BSWSSDLost == 0(SD正常)</t>
  </si>
  <si>
    <t>收到M核的信号</t>
  </si>
  <si>
    <t>收到EMS节点信号</t>
  </si>
  <si>
    <t>至少有一个RBMS的LAN通讯恢复</t>
  </si>
  <si>
    <t>所有RBMS的LAN通讯恢复</t>
  </si>
  <si>
    <t>收到所有RBMS心跳信号变化</t>
  </si>
  <si>
    <t>FaultDeassertDebounceTime</t>
  </si>
  <si>
    <t>【CcEMCR_SSDLostRcvryDurms=3000】ms</t>
  </si>
  <si>
    <t>【CcEMCR_SDLostRcvryDurms=3000】ms</t>
  </si>
  <si>
    <t>【CcEMCR_MCoreCommFltRcvryDurms=30000】ms</t>
  </si>
  <si>
    <t>【CcEMCR_EMSCommLostRcvryDurms=30000】ms</t>
  </si>
  <si>
    <t>【CcEMCR_OneRackCommLostRcvryeDurms=30000】ms</t>
  </si>
  <si>
    <t>【CcEMCR_AllRackCommLostRcvryDurms=30000】ms</t>
  </si>
  <si>
    <t>EnableFault</t>
  </si>
  <si>
    <t>1</t>
  </si>
  <si>
    <t>FaultID</t>
  </si>
  <si>
    <t>FaultLevel</t>
  </si>
  <si>
    <t>3</t>
  </si>
  <si>
    <t>ChargeSOPCoef(%)</t>
  </si>
  <si>
    <t>100</t>
  </si>
  <si>
    <t>DischargeSOPCoef(%)</t>
  </si>
  <si>
    <t>100</t>
  </si>
  <si>
    <t>Date</t>
  </si>
  <si>
    <t>2024-10-30</t>
  </si>
  <si>
    <t>2024-11-19</t>
  </si>
  <si>
    <t>2024-11-20</t>
  </si>
  <si>
    <t>2024-11-27</t>
  </si>
  <si>
    <t>2024-11-28</t>
  </si>
  <si>
    <t>2024-12-10</t>
  </si>
  <si>
    <t>2024-12-23</t>
  </si>
  <si>
    <t>2024-12-24</t>
  </si>
  <si>
    <t>2025-01-24</t>
  </si>
  <si>
    <t>2025-03-20</t>
  </si>
  <si>
    <t>2025-03-27</t>
  </si>
  <si>
    <t>2025-04-10</t>
  </si>
  <si>
    <t>2025-04-11</t>
  </si>
  <si>
    <t>2025-04-14</t>
  </si>
  <si>
    <t>2025-04-16</t>
  </si>
  <si>
    <t>2025-04-23</t>
  </si>
  <si>
    <t>2025-05-06</t>
  </si>
  <si>
    <t>2025-05-19</t>
  </si>
  <si>
    <t>2025-05-29</t>
  </si>
  <si>
    <t>2025-05-30</t>
  </si>
  <si>
    <t>2025-06-10</t>
  </si>
  <si>
    <t>2025-06-24</t>
  </si>
  <si>
    <t>2025-07-04</t>
  </si>
  <si>
    <t>2025-07-14</t>
  </si>
  <si>
    <t>2025-08-14</t>
  </si>
  <si>
    <t>Version</t>
  </si>
  <si>
    <t>V0.1</t>
  </si>
  <si>
    <t>V2</t>
  </si>
  <si>
    <t>V3</t>
  </si>
  <si>
    <t>V4</t>
  </si>
  <si>
    <t>V5</t>
  </si>
  <si>
    <t>V6</t>
  </si>
  <si>
    <t>V7</t>
  </si>
  <si>
    <t>V8</t>
  </si>
  <si>
    <t>V9</t>
  </si>
  <si>
    <t>V1.0</t>
  </si>
  <si>
    <t>V1.1</t>
  </si>
  <si>
    <t>V1.2</t>
  </si>
  <si>
    <t>V1.3</t>
  </si>
  <si>
    <t>V1.4</t>
  </si>
  <si>
    <t>V1.5</t>
  </si>
  <si>
    <t>V1.6</t>
  </si>
  <si>
    <t>V1.7</t>
  </si>
  <si>
    <t>V1.8</t>
  </si>
  <si>
    <t>V1.9</t>
  </si>
  <si>
    <t>V2.0</t>
  </si>
  <si>
    <t>V2.1</t>
  </si>
  <si>
    <t>V2.2</t>
  </si>
  <si>
    <t>V2.3</t>
  </si>
  <si>
    <t>V2.4</t>
  </si>
  <si>
    <t>V2.5</t>
  </si>
  <si>
    <t>V2.6</t>
  </si>
  <si>
    <t>V2.7</t>
  </si>
  <si>
    <t>Author</t>
  </si>
  <si>
    <t>xuc01</t>
  </si>
  <si>
    <t>cheny07</t>
  </si>
  <si>
    <t>lijy06</t>
  </si>
  <si>
    <t>cheny07</t>
  </si>
  <si>
    <t>lijy06</t>
  </si>
  <si>
    <t>xuc01</t>
  </si>
  <si>
    <t>cheny07</t>
  </si>
  <si>
    <t>luof03</t>
  </si>
  <si>
    <t>xuc01</t>
  </si>
  <si>
    <t>cheny07</t>
  </si>
  <si>
    <t>luof03</t>
  </si>
  <si>
    <t>lijy06</t>
  </si>
  <si>
    <t>xuc01</t>
  </si>
  <si>
    <t>cheny07</t>
  </si>
  <si>
    <t>xuc01</t>
  </si>
  <si>
    <t>lijy06</t>
  </si>
  <si>
    <t>zhangyf03</t>
  </si>
  <si>
    <t>lihw</t>
  </si>
  <si>
    <t>Description</t>
  </si>
  <si>
    <t>1st draft from LC25_BBMS</t>
  </si>
  <si>
    <t>BMS20A_BBMS,BMS20M_BBMS-【FaultList】
Correct:
ACIS_FIRE_EXTINGUISHER_ALERT_FAULT
FaultAssertCriteria:消防二级信号低电平→消防二级信号高电平
Comments:→DI4H
ACIS_FIRE_EXTINGUISHER_ALARM_FAULT
FaultAssertCriteria:消防一级信号低电平→消防一级信号高电平
FaultDeassertCriteria:消防一级信号高电平→消防一级信号低电平
Comments:→DI3H
ACIS_FIRE_EXTINGUISHER_WARN_FAULT
FaultAssertCriteria:消防故障信号低电平→消防故障信号高电平
FaultDeassertCriteria:消防故障信号高电平→消防故障信号低电平
DischargeFaultLevel:3→2
ChargeFaultLevel:3→2
Comments:→DI2H
ACIS_PCS_EPO_FAULT
EnableFault:1→0
ACIS_DISTRIBUTION_CAB_EPO_FAULT
EnableFault:1→0
ACIS_QF1_BREAKER_FAULT
FaultAssertCriteria:QF1断路器闭合（低电平）→QF1断路器断开（高电平）
FaultDeassertCriteria:QF1断路器断开（高电平）→QF1断路器闭合（低电平）
Comments:→DI8L
ACIS_SPD2_SURGE_FAULT
FaultDeassertCriteria:SPD2浪涌告警解除（高电平）→下电
DischargeFaultLevel:3→1
ChargeFaultLevel:3→1
Comments:→DI10L
THMC_TMS_LEVEL1_FAULT
FaultDeassertDebounceTime:2s→下电
DischargeFaultLevel:2→1
ChargeFaultLevel:2→1
THMC_TMS_LEVEL2_FAULT
DischargeFaultLevel:3→2
ChargeFaultLevel:3→2
THMC_TMS_REQUEST_DIFF_FAULT
FaultAssertDebounceTime:10s→300s
FaultDeassertDebounceTime:10s→120s
ACIS_DOOR_OPEN_FAULT
Comments:→DI9L
ACIS_WATER_FLOOD_FAULT
Comments:→DI1H
ACIS_CONTAINER_EPO_FAULT
Comments:→DI7L
&gt;&gt;&gt;&gt;&gt;&gt;&gt;&gt;&gt;&gt;&gt;&gt;&gt;&gt;&gt;&gt;&gt;&gt;&gt;&gt;</t>
  </si>
  <si>
    <t>BMS10_BBMS,BMS20A_BBMS,LC25_BBMS-【FaultList】
Add:
EMCR_DEHUMIDIFIER_TO_BMS_COMMUNICATION_LOST_FAULT
EMCR_POWER_SUPPLY_ABNORMAL_FAULT
Correct:
EMCR_UPS_TO_BMS_COMMUNICATION_LOST_FAULT
EnableFault:1→0
EMCR_ENERGYMETER_TO_BMS_COMMUNICATION_LOST_FAULT
EnableFault:1→0
EMCR_EMS_TO_BMS_COMMUNICATION_LOST_FAULT
EnableFault:1→0
&gt;&gt;&gt;&gt;&gt;&gt;&gt;&gt;&gt;&gt;&gt;&gt;&gt;&gt;&gt;&gt;&gt;&gt;&gt;&gt;</t>
  </si>
  <si>
    <t>BMS20A_BBMS,BMS20M_BBMS-【FaultList】
Add:
ACIS_FIRE_ALARM_ACTIVATED_FAULT
Correct:
ACIS_CONBUSTILE_GAS_FAULT
FaultAssertCriteria:可燃气体告警（低电平）→可燃气体告警（DI5H高边外部无输入，MCU检测高电平）
FaultDeassertCriteria:可燃气体告警解除（高电平）→可燃气体告警解除（DI5H高边外部有输入，MCU检测低电平）
EnableFault:0→1
Comments:→DI5H
ACIS_EXPLOSIONPROOF_FAN_FAULT
FaultAssertCriteria:防爆风机告警（低电平）→防爆风机告警（DI12L低边外部无输入，MCU检测高电平）
FaultDeassertCriteria:防爆风机告警解除（高电平）→防爆风机告警解除（DI12L低边外部无输入，MCU检测高电平）
Comments:→DI12L
ACIS_CONTAINER_EPO_FAULT
FaultAssertCriteria:DI9L低边：常闭（外部有输入）→DI7L(DI7L低边外部无输入，MCU检测高电平）
&gt;&gt;&gt;&gt;&gt;&gt;&gt;&gt;&gt;&gt;&gt;&gt;&gt;&gt;&gt;&gt;&gt;&gt;&gt;&gt;</t>
  </si>
  <si>
    <t>BMS20M_BBMS,BMS20A_BBMS-【FaultList】
Correct:
ACIS_EXPLOSIONPROOF_FAN_FAULT
FaultDeassertCriteria:防爆风机告警解除（DI12L低边外部无输入，MCU检测高电平）→防爆风机告警解除（DI12L低边外部无输入，MCU检测低电平）
&gt;&gt;&gt;&gt;&gt;&gt;&gt;&gt;&gt;&gt;&gt;&gt;&gt;&gt;&gt;&gt;&gt;&gt;&gt;&gt;</t>
  </si>
  <si>
    <t>BMS10_BBMS,BMS20A_BBMS,BMS20M_BBMS,LC25_BBMS-【FaultList】
Correct:
EMCR_DEHUMIDIFIER_TO_BMS_COMMUNICATION_LOST_FAULT
FaultDeassertDebounceTime:NA→5s
&gt;&gt;&gt;&gt;&gt;&gt;&gt;&gt;&gt;&gt;&gt;&gt;&gt;&gt;&gt;&gt;&gt;&gt;&gt;&gt;</t>
  </si>
  <si>
    <t>Add System Parameter CURRENT_SENSOR_ZERO_DRIFT_A</t>
  </si>
  <si>
    <t>Add System Parameter:
MODULE_AFE_NUMBER
MODULE_CELL_TEMPERATURE_SENSOR_NUMBER
RACK_MODULE_NUMBER
TOTAL_MODULE_TEMPERATURE_SENSOR_NUMBER_PER_RACK_BMS</t>
  </si>
  <si>
    <t>BMS20A_BBMS,BMS20M_BBMS-【FaultList】
Correct:
ACIS_PCS_EPO_FAULT
&gt;&gt;&gt;&gt;&gt;&gt;&gt;&gt;&gt;&gt;&gt;&gt;&gt;&gt;&gt;&gt;&gt;&gt;&gt;&gt;</t>
  </si>
  <si>
    <t>BMS20M_BBMS,BMS20A_BBMS-【FaultList】
Correct:
LVPH_24V_INTERNAL_POWER_SUPPLY_OVERORUNDER_VOLTAGE_FAULT
EnableFault:1→0
LVPH_12V_INTERNAL_POWER_SUPPLY_OVERORUNDER_VOLTAGE_FAULT
EnableFault:1→0
&gt;&gt;&gt;&gt;&gt;&gt;&gt;&gt;&gt;&gt;&gt;&gt;&gt;&gt;&gt;&gt;&gt;&gt;&gt;&gt;</t>
  </si>
  <si>
    <t>SystemParam: 
add: CELL_RATE_VOLTAGE, AFE_TEMPERATURE_SENSOR_MUX_NUMBER, RACK_TEMPERATURE_SENSOR_MUX_NUMBER,
correct CELL_RATE_ENERGY</t>
  </si>
  <si>
    <t>SystemParam: correct RACK_TEMPERATURE_SENSOR_MUX_NUMBER formula</t>
  </si>
  <si>
    <t>SystemParam: Add ACIS_BMS_BOARD</t>
  </si>
  <si>
    <t>所有二级板的:ACIS_BMS_BOARD 【Value】手动修改
&gt;&gt;&gt;&gt;&gt;&gt;&gt;&gt;&gt;&gt;&gt;&gt;&gt;&gt;&gt;&gt;&gt;&gt;&gt;&gt;</t>
  </si>
  <si>
    <t>BMS10_BBMS,BMS20A_BBMS,BMS20CNA_BBMS,BMS20CNM_BBMS,BMS20M_BBMS,LC25_BBMS,RTG10A_BBMS,RTG10CNA_BBMS,RTG10CNM_BBMS,RTG10M_BBMS-【FaultList】
Correct:
ACIS_ESTOP_FAULT
EnableFault:1→0
&gt;&gt;&gt;&gt;&gt;&gt;&gt;&gt;&gt;&gt;&gt;&gt;&gt;&gt;&gt;&gt;&gt;&gt;&gt;&gt;</t>
  </si>
  <si>
    <t>BMS20A_BBMS,BMS20CNA_BBMS,RTG10A_BBMS,RTG10CNA_BBMS-【FaultList】
Correct:
LVPH_24V_INTERNAL_POWER_SUPPLY_OVERORUNDER_VOLTAGE_FAULT → LVPS_24V_INTERNAL_POWER_SUPPLY_OVERORUNDER_VOLTAGE_FAULT
LVPH_12V_INTERNAL_POWER_SUPPLY_OVERORUNDER_VOLTAGE_FAULT → 
LVPS_12V_INTERNAL_POWER_SUPPLY_OVERORUNDER_VOLTAGE_FAULT
&gt;&gt;&gt;&gt;&gt;&gt;&gt;&gt;&gt;&gt;&gt;&gt;&gt;&gt;&gt;&gt;&gt;&gt;&gt;&gt;</t>
  </si>
  <si>
    <t>BMS10_BBMS,BMS20A_BBMS,BMS20CNA_BBMS,BMS20CNM_BBMS,BMS20M_BBMS,LC25_BBMS,RTG10A_BBMS,RTG10CNA_BBMS,RTG10CNM_BBMS,RTG10M_BBMS-【FaultList】
Correct:
BKPC_RACK_TO_BANK_COMMUNICATION_LOST_FAULT
FaultDescription:所有RBMS通讯丢失→所有RBMS通讯丢失【SbEMCR_AllRackCommLostPreFltFlg；SbEMCR_AllRackCommLostFltFlg】
DiagnoseEnableCondition:上电→上电一分钟、通讯使能
BKPC_ONERACK_TO_BANK_COMM_LOST_FAULT
FaultDescription:至少一个RBMS通讯丢失→至少一个RBMS通讯丢失【SbEMCR_OneRackCommLostPreFltFlg；SbEMCR_OneRackCommLostFltFlg】
DiagnoseEnableCondition:上电→上电一分钟、通讯使能
FaultDeassertCriteria:no rolling counter missing and check sum fail→下电
FaultDeassertDebounceTime:10s→NA
BKPC_PCS_TO_BANK_COMMUNICATION_LOST_FAULT
FaultDescription:PCS通信丢失故障→PCS通信丢失故障【BSWSPCSHeartbeat；SbEMCR_PCSCommLostFltFlg】
DiagnoseEnableCondition:PCS通讯故障配置使能→上电
&gt;&gt;&gt;&gt;&gt;&gt;&gt;&gt;&gt;&gt;&gt;&gt;&gt;&gt;&gt;&gt;&gt;&gt;&gt;&gt;</t>
  </si>
  <si>
    <t>SystemParam: Add NVM_WRITE_FLAG_HOLD_TIME</t>
  </si>
  <si>
    <t>SystemParam: update macro defination</t>
  </si>
  <si>
    <t>SystemParam: update CELL_RATE_VOLTAGE defination</t>
  </si>
  <si>
    <t>所有项目添加 Classification列</t>
  </si>
  <si>
    <t>SystemParam: add TOTAL_SERIES_CELL_NUMBER_PER_RACK_MAX_REAL/RACK_MODULE_NUMBER_MAX</t>
  </si>
  <si>
    <t>BMS20A_BBMS-【FaultList】
Add:
EMCR_SSD_Fault
EMCR_SD_Fault
&gt;&gt;&gt;&gt;&gt;&gt;&gt;&gt;&gt;&gt;&gt;&gt;&gt;&gt;&gt;&gt;&gt;&gt;&gt;&gt;</t>
  </si>
  <si>
    <t>5个项目：BMS20A_BBMS，BMS20CNA_BBMS，BMS21CNA_BBMS，RTG10A_BBMS，RTG10CNA_BBMS
【FaultList】
Add:
EMCR_M_CORE_COMMUNICATION_FAULT
EMCR_EMS_TO_BMS_COMMUNICATION_LOST_FAULT
EMCR_ONERACK_TO_BANK_LAN_COMMUNICATION_LOST_FAULT
EMCR_ALLRACK_TO_BANK_LAN_COMMUNICATION_LOST_FAULT
EMCR_ONERACK_TO_BANK_COMMUNICATION_LOST_FAULT
EMCR_ALLRACK_TO_BANK_COMMUNICATION_LOST_FAULT
Correct:
EMCR_SSD_Fault
FaultAssertCriteria：BSWSSSDLost ==1 → BSWSSSDLost == 1(SSD出现故障)
FaultDeassertCriteria：BSWSSSDLost == 0 → BSWSSSDLost == 0(SSD正常)
EMCR_SD_Fault
FaultAssertCriteria：BSWSSDLost ==1 → BSWSSDLost == 1(SD出现故障)
FaultDeassertCriteria：BSWSSDLost == 0 → BSWSSDLost == 0(SD正常)
【SystemParameter】
Add:
BBMS_Platform</t>
  </si>
  <si>
    <t>12个项目：BMS10_BBMS，BMS20A_BBMS，BMS20CNA_BBMS，BMS20CNM_BBMS，BMS20M_BBMS，BMS21CNA_BBMS，BMS21CNM_BBMS，LC25_BBMS，RTG10A_BBMS，RTG10CNA_BBMS，RTG10CNM_BBMS，RTG10M_BBMS
【SystemParameter】
Add:
RACK_NUMBER_FOR_EVERY_BANK_MAX</t>
  </si>
  <si>
    <t>12个项目：BMS10_BBMS，BMS20A_BBMS，BMS20CNA_BBMS，BMS20CNM_BBMS，BMS20M_BBMS，BMS21CNA_BBMS，BMS21CNM_BBMS，LC25_BBMS，RTG10A_BBMS，RTG10CNA_BBMS，RTG10CNM_BBMS，RTG10M_BBMS
【SystemParameter】
Correct:
RACK_NUMBER_FOR_EVERY_BANK_MAX
Max：[] → [100]
Min：[] → [1]</t>
  </si>
  <si>
    <t>列名变更：
DischargeFaultLevel → FaultLevel
ChargeFaultLevel → ChargeSOPCoef(%)
FaultResponse → DischargeSOPCoef(%)
SOPCoef百分比数值填充：
1级故障：0
2级故障：50
3级故障：100</t>
  </si>
  <si>
    <t>CAT3/CAT2</t>
  </si>
  <si>
    <r>
      <rPr>
        <b/>
        <sz val="11"/>
        <color theme="1"/>
        <rFont val="等线"/>
        <family val="2"/>
        <scheme val="minor"/>
      </rPr>
      <t>说明：</t>
    </r>
    <r>
      <rPr>
        <sz val="11"/>
        <color theme="1"/>
        <rFont val="等线"/>
        <family val="2"/>
        <scheme val="minor"/>
      </rPr>
      <t xml:space="preserve">
</t>
    </r>
    <r>
      <rPr>
        <b/>
        <sz val="11"/>
        <color theme="1"/>
        <rFont val="等线"/>
        <family val="3"/>
        <charset val="134"/>
        <scheme val="minor"/>
      </rPr>
      <t xml:space="preserve">1. 故障断高压说明：
    </t>
    </r>
    <r>
      <rPr>
        <sz val="11"/>
        <color theme="1"/>
        <rFont val="等线"/>
        <family val="2"/>
        <scheme val="minor"/>
      </rPr>
      <t>系统发生一级故障后，继电器将在 4 秒内断开；
    若在此期间检测到电流低于 20A，可提前断开高压，提升响应效率。</t>
    </r>
    <r>
      <rPr>
        <b/>
        <sz val="11"/>
        <color theme="1"/>
        <rFont val="等线"/>
        <family val="3"/>
        <charset val="134"/>
        <scheme val="minor"/>
      </rPr>
      <t xml:space="preserve">
2. 功率限制：
    </t>
    </r>
    <r>
      <rPr>
        <sz val="11"/>
        <color theme="1"/>
        <rFont val="等线"/>
        <family val="2"/>
        <scheme val="minor"/>
      </rPr>
      <t xml:space="preserve">基于置起故障的最低功率限制百分比，分别进行充电与放电功率限制；
    故障列表列“ChargeSOPCoef(%)”：充电限制百分比；
    故障列表列“DischargeSOPCoef(%)”：放电限制百分比；
    二级板与三级板均会进行SOP限制
</t>
    </r>
    <r>
      <rPr>
        <b/>
        <sz val="11"/>
        <color theme="1"/>
        <rFont val="等线"/>
        <family val="2"/>
        <scheme val="minor"/>
      </rPr>
      <t>3. 示例说明：</t>
    </r>
    <r>
      <rPr>
        <sz val="11"/>
        <color theme="1"/>
        <rFont val="等线"/>
        <family val="2"/>
        <scheme val="minor"/>
      </rPr>
      <t xml:space="preserve">
    二级板的所有置起故障中，ChargeSOPCoef(%)最低值为100，DischargeSOPCoef(%)最低值为50，
    三级板的所有置起故障中，ChargeSOPCoef(%)最低值为50，DischargeSOPCoef(%)最低值为100，
    则二级板输出的充电SOP不限制，放电SOP限制为50%，
    三级板输出的充电SOP限制为50%，放电SOP限制为50%。</t>
    </r>
  </si>
  <si>
    <t>V2.8</t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</si>
  <si>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Delete:
BESS_ENABLE_PARTIAL_OPERATION
</t>
  </si>
  <si>
    <t>RACK_AFE_NUMBER * AFE_CELL_VOLTAGE_SAMPLING_NUMBER</t>
  </si>
  <si>
    <t>Import</t>
  </si>
  <si>
    <t>minimum allowed operation rack number</t>
  </si>
  <si>
    <t>V2.9</t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</si>
  <si>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Add:
RACK_MODULE_NUMBER_MAX
RACK_TEMPERATURE_SENSOR_MUX_NUMBER
Correct:
TOTAL_SERIES_CELL_NUMBER_PER_RACK_BMS
Formula：NA → RACK_AFE_NUMBER * AFE_CELL_VOLTAGE_SAMPLING_NUMBER
BESS_ALLOWED_RACK_FOR_PARTIAL_OPERATION_MIN
CustomStorageClass：SystemDefine → Import
Description：- → minimum allowed operation rack number
Delete:
RACK_TEMPERATURE_SENSOR_MUX_NUMBER
RACK_MODULE_NUMBER_MAX
</t>
  </si>
  <si>
    <t>uint8</t>
    <phoneticPr fontId="1" type="noConversion"/>
  </si>
  <si>
    <t>V3.0</t>
  </si>
  <si>
    <t xml:space="preserve">14个项目：BMS10_BBMS，BMS20A_BBMS，BMS20CNA_BBMS，BMS20CNM_BBMS，BMS20M_BBMS，BMS21CNA_BBMS，BMS21CNM_BBMS，BMS23A_BBMS，BMS23M_BBMS，LC25_BBMS，RTG10A_BBMS，RTG10CNA_BBMS，RTG10CNM_BBMS，RTG10M_BBMS
【SystemParameter】
Correct:
BESS_ALLOWED_RACK_FOR_PARTIAL_OPERATION_MIN
DataType：int32 → uint8
</t>
  </si>
  <si>
    <t>【CcEMCR_RackLanCommLostJudgeDurms=30000】ms</t>
    <phoneticPr fontId="1" type="noConversion"/>
  </si>
  <si>
    <t>【CcEMCR_RackLanCommLostRcvryDurms=30000】ms</t>
    <phoneticPr fontId="1" type="noConversion"/>
  </si>
  <si>
    <t>【CcEMCR_RackLanCommLostJudgeDurms=30000】ms</t>
    <phoneticPr fontId="1" type="noConversion"/>
  </si>
  <si>
    <t>【CcEMCR_RackLanCommLostRcvryDurms=30000】ms</t>
    <phoneticPr fontId="1" type="noConversion"/>
  </si>
  <si>
    <t>V3.1</t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</si>
  <si>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【FaultList】
Correct:
EMCR_ALLRACK_TO_BANK_LAN_COMMUNICATION_LOST_FAULT
EnableFault：1 → 0
FaultAssertDebounceTime：【CcEMCR_AllRackLanCommLostJudgeDurms=30000】ms → 【CcEMCR_RackLanCommLostJudgeDurms=30000】ms
FaultDeassertDebounceTime：【CcEMCR_AllRackLanCommLostRcvryDurms=30000】ms → 【CcEMCR_RackLanCommLostRcvryDurms=30000】ms
EMCR_ONERACK_TO_BANK_LAN_COMMUNICATION_LOST_FAULT
EnableFault：1 → 0
FaultAssertDebounceTime：【CcEMCR_OneRackLanCommLostJudgeDurms=30000】ms → 【CcEMCR_RackLanCommLostJudgeDurms=30000】ms
FaultDeassertDebounceTime：【CcEMCR_OneRackLanCommLostRcvryDurms=30000】ms → 【CcEMCR_RackLanCommLostRcvryDurms=30000】ms
</t>
  </si>
  <si>
    <t>V3.2</t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</si>
  <si>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【SystemParameter】
Delete:
MODULE_CELL_TEMPERATURE_SENSOR_NUMBER
</t>
  </si>
  <si>
    <t>V3.3</t>
  </si>
  <si>
    <t xml:space="preserve">工具选择16个项目：BMS10_BBMS，BMS20A_BBMS，BMS20CNA_BBMS，BMS20CNM_BBMS，BMS20M_BBMS，BMS21CNA_BBMS，BMS21CNM_BBMS，BMS23A_BBMS，BMS23M_BBMS，BMS24A_BBMS，BMS24M_BBMS，LC25_BBMS，RTG10A_BBMS，RTG10CNA_BBMS，RTG10CNM_BBMS，RTG10M_BBMS
【SystemParameter】
Add:
MODULE_CELL_TEMPERATURE_SENSOR_NUMBER
</t>
  </si>
  <si>
    <t>V3.4</t>
  </si>
  <si>
    <t>Cell temp sensor number per module</t>
  </si>
  <si>
    <t>MODULE_CELL_TEMPERATURE_SENSOR_NUMBER</t>
  </si>
  <si>
    <t>[29]</t>
  </si>
  <si>
    <t>V3.5</t>
  </si>
  <si>
    <t>boolean</t>
  </si>
  <si>
    <t>Fault status disable array (0: Enable, 1: Disable)</t>
  </si>
  <si>
    <t>/</t>
  </si>
  <si>
    <t>[Tab_FaultList.EnableFault==0, ones(1, FAULT_NUMBER_RESERVED)]</t>
  </si>
  <si>
    <t>CaFDCH_FltStsDisaAryFlg</t>
  </si>
  <si>
    <t>Import_Safety</t>
  </si>
  <si>
    <t>Safety fault status disable array (0: Enable, 1: Disable)</t>
  </si>
  <si>
    <t>CaFDCH_FltStsDisaArySftyFlg</t>
  </si>
  <si>
    <t>Fault recovery mode array (0: 可在线恢复, 1: 下电恢复)</t>
  </si>
  <si>
    <t>[contains(Tab_FaultList.FaultDeassertCriteria,'下电'), zeros(1, FAULT_NUMBER_RESERVED)]</t>
  </si>
  <si>
    <t>CaFDCH_FltRcvryModeFlg</t>
  </si>
  <si>
    <t>Safety fault recovery mode array (0: 可在线恢复, 1: 下电恢复)</t>
  </si>
  <si>
    <t>CaFDCH_FltRcvryModeSftyFlg</t>
  </si>
  <si>
    <t>Charge SOP coefficient when fault asserted</t>
  </si>
  <si>
    <t>[1 FAULT_NUMBER_USED]</t>
  </si>
  <si>
    <t>pct</t>
  </si>
  <si>
    <t>Tab_FaultList("ChargeSOPCoef(%)")</t>
  </si>
  <si>
    <t>FAULT_CH_SOP_COEF</t>
  </si>
  <si>
    <t>Discharge SOP coefficient when fault asserted</t>
  </si>
  <si>
    <t>Tab_FaultList("DischargeSOPCoef(%)")</t>
  </si>
  <si>
    <t>FAULT_DCHA_SOP_COEF</t>
  </si>
  <si>
    <t>System fault level when fault asserted</t>
  </si>
  <si>
    <t>Tab_FaultList.FaultLevel</t>
  </si>
  <si>
    <t>FRLM_FLT_LIST_LVL</t>
  </si>
  <si>
    <t>Used fault number</t>
  </si>
  <si>
    <t>height(Tab_FaultList.FaultLevel)</t>
  </si>
  <si>
    <t>FAULT_NUMBER_USED</t>
  </si>
  <si>
    <t>Reserved fault number</t>
  </si>
  <si>
    <t>FAULT_TOTAL_NUMBER - FAULT_NUMBER_USED</t>
  </si>
  <si>
    <t>FAULT_NUMBER_RESERVED</t>
  </si>
  <si>
    <t>V3.6</t>
  </si>
  <si>
    <t xml:space="preserve">工具选择43个项目：BMS10_BBMS，BMS10_RBMS，BMS11_RBMS，BMS12_RBMS，BMS13_RBMS，BMS14_RBMS，BMS20A_BBMS，BMS20CNA_BBMS，BMS20CNM_BBMS，BMS20CN_RBMS，BMS20M_BBMS，BMS20_RBMS，BMS21CNA_BBMS，BMS21CNM_BBMS，BMS21CN_RBMS，BMS23A_BBMS，BMS23M_BBMS，BMS23_RBMS，BMS24A_BBMS，BMS24M_BBMS，BMS24_RBMS，BMS25A_BBMS，BMS25M_BBMS，BMS25_RBMS，BMS26A_BBMS，BMS26M_BBMS，BMS26_RBMS，LC25_BBMS，LC25_RBMS，MIC_RBMS，RTG10A_BBMS，RTG10CNA_BBMS，RTG10CNM_BBMS，RTG10CN_RBMS，RTG10HMA_BBMS，RTG10HMM_BBMS，RTG10HM_RBMS，RTG10M_BBMS，RTG10_RBMS，SF05T_RBMS，SF05_RBMS，SIB_RBMS，TD_RBMS
【SystemParameter】
Add:
CaFDCH_FltStsDisaAryFlg
CaFDCH_FltStsDisaArySftyFlg
CaFDCH_FltRcvryModeFlg
CaFDCH_FltRcvryModeSftyFlg
FAULT_CH_SOP_COEF
FAULT_DCHA_SOP_COEF
FRLM_FLT_LIST_LVL
FAULT_NUMBER_USED
FAULT_NUMBER_RESERVED
</t>
  </si>
  <si>
    <t>[1 200]</t>
    <phoneticPr fontId="1" type="noConversion"/>
  </si>
  <si>
    <t>[1 200]</t>
    <phoneticPr fontId="1" type="noConversion"/>
  </si>
  <si>
    <t>[1 200]</t>
    <phoneticPr fontId="1" type="noConversion"/>
  </si>
  <si>
    <t>V3.7</t>
  </si>
  <si>
    <t xml:space="preserve">工具选择43个项目：BMS10_BBMS，BMS10_RBMS，BMS11_RBMS，BMS12_RBMS，BMS13_RBMS，BMS14_RBMS，BMS20A_BBMS，BMS20CNA_BBMS，BMS20CNM_BBMS，BMS20CN_RBMS，BMS20M_BBMS，BMS20_RBMS，BMS21CNA_BBMS，BMS21CNM_BBMS，BMS21CN_RBMS，BMS23A_BBMS，BMS23M_BBMS，BMS23_RBMS，BMS24A_BBMS，BMS24M_BBMS，BMS24_RBMS，BMS25A_BBMS，BMS25M_BBMS，BMS25_RBMS，BMS26A_BBMS，BMS26M_BBMS，BMS26_RBMS，LC25_BBMS，LC25_RBMS，MIC_RBMS，RTG10A_BBMS，RTG10CNA_BBMS，RTG10CNM_BBMS，RTG10CN_RBMS，RTG10HMA_BBMS，RTG10HMM_BBMS，RTG10HM_RBMS，RTG10M_BBMS，RTG10_RBMS，SF05T_RBMS，SF05_RBMS，SIB_RBMS，TD_RBMS
【SystemParameter】
Correct:
CaFDCH_FltStsDisaAryFlg
Dimensions：[1 FAULT_TOTAL_NUMBER] → [1 200]
CaFDCH_FltStsDisaArySftyFlg
Dimensions：[1 FAULT_TOTAL_NUMBER] → [1 200]
CaFDCH_FltRcvryModeFlg
Dimensions：[1 FAULT_TOTAL_NUMBER] → [1 200]
CaFDCH_FltRcvryModeSftyFlg
Dimensions：[1 FAULT_TOTAL_NUMBER] → [1 200]
</t>
  </si>
  <si>
    <t>Number of PCS connected to BBMS</t>
  </si>
  <si>
    <t>PCS_NUM</t>
  </si>
  <si>
    <t>Number of racks for each bank.
Element [1] is the rack number of the original bank;
elements [2..N] are the rack numbers of the split banks (per PCS).</t>
  </si>
  <si>
    <t>RACK_NUMBER_PER_PCS</t>
  </si>
  <si>
    <t>Total number of banks in the system.
If PCS_NUM = 1, the system has only one bank.
If PCS_NUM &gt; 1, the system contains PCS_NUM split banks plus one original bank.</t>
  </si>
  <si>
    <t>if PCS_NUM==1, return 1, 
else return PCS_NUM+1</t>
  </si>
  <si>
    <t>V3.8</t>
  </si>
  <si>
    <t xml:space="preserve">工具选择11个项目：BMS20A_BBMS，BMS20CNA_BBMS，BMS21CNA_BBMS，BMS23A_BBMS，BMS24A_BBMS，BMS25A_BBMS，BMS26A_BBMS，BMS27A_BBMS，RTG10A_BBMS，RTG10CNA_BBMS，RTG10HMA_BBMS
【SystemParameter】
Add:
PCS_NUM
RACK_NUMBER_PER_PCS
BANK_TOTAL_NUMER
</t>
  </si>
  <si>
    <t>BANK_TOTAL_NUMBER</t>
  </si>
  <si>
    <t>V3.9</t>
  </si>
  <si>
    <t xml:space="preserve">工具选择22个项目：BMS20A_BBMS，BMS20CNA_BBMS，BMS21CNA_BBMS，BMS23A_BBMS，BMS24A_BBMS，BMS25A_BBMS，BMS26A_BBMS，BMS27A_BBMS，RTG10A_BBMS，RTG10CNA_BBMS，RTG10HMA_BBMS，BMS20CNM_BBMS，BMS20M_BBMS，BMS21CNM_BBMS，BMS23M_BBMS，BMS24M_BBMS，BMS25M_BBMS，BMS26M_BBMS，BMS27M_BBMS，RTG10CNM_BBMS，RTG10HMM_BBMS，RTG10M_BBMS
【SystemParameter】
Add:
BANK_TOTAL_NUMBER
Delete:
BANK_TOTAL_NUMER
</t>
  </si>
  <si>
    <t>[1 BANK_TOTAL_NUMBER]</t>
    <phoneticPr fontId="1" type="noConversion"/>
  </si>
  <si>
    <t>V4.0</t>
  </si>
  <si>
    <t xml:space="preserve">工具选择22个项目：BMS20A_BBMS，BMS20CNA_BBMS，BMS21CNA_BBMS，BMS23A_BBMS，BMS24A_BBMS，BMS25A_BBMS，BMS26A_BBMS，BMS27A_BBMS，RTG10A_BBMS，RTG10CNA_BBMS，RTG10HMA_BBMS，BMS20CNM_BBMS，BMS20M_BBMS，BMS21CNM_BBMS，BMS23M_BBMS，BMS24M_BBMS，BMS25M_BBMS，BMS26M_BBMS，BMS27M_BBMS，RTG10CNM_BBMS，RTG10HMM_BBMS，RTG10M_BBMS
【SystemParameter】
Correct:
RACK_NUMBER_PER_PCS
Dimensions：[1 BANK_TOTAL_NUMER] → [1 BANK_TOTAL_NUMBER]
</t>
  </si>
  <si>
    <t>[4]</t>
    <phoneticPr fontId="1" type="noConversion"/>
  </si>
  <si>
    <t>[77 85 50 52 87 49 57 48]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</si>
</sst>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Arial"/>
      <family val="2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name val="微软雅黑"/>
      <family val="2"/>
      <charset val="134"/>
    </font>
    <font>
      <b/>
      <sz val="11"/>
      <name val="Arial"/>
      <family val="2"/>
    </font>
    <font>
      <b/>
      <sz val="11"/>
      <name val="等线"/>
      <family val="2"/>
      <scheme val="minor"/>
    </font>
    <font>
      <sz val="11"/>
      <name val="等线"/>
      <family val="2"/>
      <scheme val="minor"/>
    </font>
    <font>
      <sz val="10.5"/>
      <name val="Arial"/>
      <family val="2"/>
    </font>
    <font>
      <sz val="10.5"/>
      <name val="微软雅黑"/>
      <family val="2"/>
      <charset val="134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</borders>
  <cellStyleXfs count="5">
    <xf numFmtId="0" fontId="0" fillId="0" borderId="0"/>
    <xf numFmtId="0" fontId="4" fillId="0" borderId="0">
      <alignment vertical="center"/>
    </xf>
    <xf numFmtId="0" fontId="5" fillId="0" borderId="0"/>
    <xf numFmtId="0" fontId="13" fillId="0" borderId="2"/>
    <xf numFmtId="0" fontId="13" fillId="0" borderId="3"/>
  </cellStyleXfs>
  <cellXfs count="37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Fill="1" applyBorder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/>
      <protection locked="0"/>
    </xf>
    <xf numFmtId="0" fontId="11" fillId="0" borderId="1" xfId="0" applyFont="1" applyFill="1" applyBorder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0" fontId="12" fillId="0" borderId="1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wrapText="1"/>
      <protection locked="0"/>
    </xf>
    <xf numFmtId="0" fontId="2" fillId="0" borderId="1" xfId="0" quotePrefix="1" applyFont="1" applyFill="1" applyBorder="1" applyAlignment="1" applyProtection="1">
      <alignment horizontal="center" vertical="center" wrapText="1"/>
      <protection locked="0"/>
    </xf>
    <xf numFmtId="0" fontId="2" fillId="0" borderId="1" xfId="0" quotePrefix="1" applyFont="1" applyFill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Font="1" applyFill="1" applyBorder="1" applyAlignment="1" applyProtection="1">
      <alignment horizontal="center" vertical="center" wrapText="1"/>
      <protection locked="0"/>
    </xf>
    <xf numFmtId="0" fontId="2" fillId="3" borderId="1" xfId="0" quotePrefix="1" applyFont="1" applyFill="1" applyBorder="1" applyAlignment="1" applyProtection="1">
      <alignment horizontal="left" vertical="center" wrapText="1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hidden="1"/>
    </xf>
    <xf numFmtId="0" fontId="3" fillId="5" borderId="1" xfId="4" applyFont="1" applyFill="1" applyBorder="1" applyAlignment="1">
      <alignment horizontal="center" vertical="center" wrapText="1"/>
    </xf>
    <xf numFmtId="0" fontId="13" fillId="0" borderId="3" xfId="4" applyAlignment="1">
      <alignment vertical="center" wrapText="1"/>
    </xf>
    <xf numFmtId="0" fontId="13" fillId="0" borderId="1" xfId="4" applyBorder="1" applyAlignment="1">
      <alignment horizontal="center" vertical="center" wrapText="1"/>
    </xf>
    <xf numFmtId="0" fontId="13" fillId="0" borderId="3" xfId="4" applyAlignment="1">
      <alignment horizontal="left" vertical="center" wrapText="1"/>
    </xf>
    <xf numFmtId="14" fontId="0" fillId="0" borderId="0" xfId="0" applyNumberFormat="1" applyAlignment="1">
      <alignment wrapText="1"/>
    </xf>
    <xf numFmtId="0" fontId="10" fillId="4" borderId="1" xfId="0" applyFont="1" applyFill="1" applyBorder="1" applyAlignment="1" applyProtection="1">
      <alignment vertical="center"/>
    </xf>
    <xf numFmtId="0" fontId="10" fillId="0" borderId="1" xfId="0" applyFont="1" applyBorder="1" applyAlignment="1" applyProtection="1">
      <alignment vertical="center" wrapText="1"/>
      <protection locked="0"/>
    </xf>
    <xf numFmtId="0" fontId="13" fillId="0" borderId="1" xfId="4" applyBorder="1" applyAlignment="1">
      <alignment horizontal="left" vertical="center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ice Xie" id="{941504E1-95E3-4E84-98AE-60ACAEBFFF1E}" userId="S::hao.xie2@envision-digital.com::112b9e85-f890-45ef-9d58-433eca64e3e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" dT="2022-12-01T23:49:09.36" personId="{941504E1-95E3-4E84-98AE-60ACAEBFFF1E}" id="{9CC99AEE-4FBD-4B80-AB4E-274D0A09E3B5}">
    <text>(0:Disable, 1:Enable)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1"/>
  <sheetViews>
    <sheetView workbookViewId="0">
      <selection sqref="A1:D22"/>
    </sheetView>
  </sheetViews>
  <sheetFormatPr defaultColWidth="9" defaultRowHeight="14.25" x14ac:dyDescent="0.2"/>
  <cols>
    <col min="1" max="1" width="10.5" style="1" bestFit="1" customWidth="1"/>
    <col min="2" max="2" width="7.5" style="1" bestFit="1" customWidth="1"/>
    <col min="3" max="3" width="9.625" style="1" bestFit="1" customWidth="1"/>
    <col min="4" max="4" width="196.75" style="1" bestFit="1" customWidth="1"/>
    <col min="5" max="5" width="9" style="1"/>
    <col min="6" max="6" width="4.875" style="1" customWidth="1"/>
    <col min="7" max="8" width="9" style="1"/>
    <col min="9" max="9" width="60.125" style="1" customWidth="1"/>
    <col min="10" max="16384" width="9" style="1"/>
  </cols>
  <sheetData>
    <row r="1" spans="1:4" x14ac:dyDescent="0.2">
      <c r="A1" s="1" t="s">
        <v>242</v>
      </c>
      <c r="B1" s="1" t="s">
        <v>268</v>
      </c>
      <c r="C1" s="1" t="s">
        <v>296</v>
      </c>
      <c r="D1" s="1" t="s">
        <v>315</v>
      </c>
    </row>
    <row r="2" spans="1:4" ht="28.5" x14ac:dyDescent="0.2">
      <c r="A2" s="1" t="s">
        <v>243</v>
      </c>
      <c r="B2" s="1" t="s">
        <v>269</v>
      </c>
      <c r="C2" s="1" t="s">
        <v>297</v>
      </c>
      <c r="D2" s="1" t="s">
        <v>316</v>
      </c>
    </row>
    <row r="3" spans="1:4" ht="409.5" x14ac:dyDescent="0.2">
      <c r="A3" s="1" t="s">
        <v>244</v>
      </c>
      <c r="B3" s="1" t="s">
        <v>270</v>
      </c>
      <c r="C3" s="1" t="s">
        <v>298</v>
      </c>
      <c r="D3" s="1" t="s">
        <v>317</v>
      </c>
    </row>
    <row r="4" spans="1:4" ht="199.5" x14ac:dyDescent="0.2">
      <c r="A4" s="1" t="s">
        <v>245</v>
      </c>
      <c r="B4" s="1" t="s">
        <v>271</v>
      </c>
      <c r="C4" s="1" t="s">
        <v>299</v>
      </c>
      <c r="D4" s="1" t="s">
        <v>318</v>
      </c>
    </row>
    <row r="5" spans="1:4" ht="256.5" x14ac:dyDescent="0.2">
      <c r="A5" s="1" t="s">
        <v>246</v>
      </c>
      <c r="B5" s="1" t="s">
        <v>272</v>
      </c>
      <c r="C5" s="1" t="s">
        <v>300</v>
      </c>
      <c r="D5" s="1" t="s">
        <v>319</v>
      </c>
    </row>
    <row r="6" spans="1:4" ht="85.5" x14ac:dyDescent="0.2">
      <c r="A6" s="1" t="s">
        <v>247</v>
      </c>
      <c r="B6" s="1" t="s">
        <v>273</v>
      </c>
      <c r="C6" s="1" t="s">
        <v>300</v>
      </c>
      <c r="D6" s="1" t="s">
        <v>320</v>
      </c>
    </row>
    <row r="7" spans="1:4" ht="85.5" x14ac:dyDescent="0.2">
      <c r="A7" s="1" t="s">
        <v>248</v>
      </c>
      <c r="B7" s="1" t="s">
        <v>274</v>
      </c>
      <c r="C7" s="1" t="s">
        <v>301</v>
      </c>
      <c r="D7" s="1" t="s">
        <v>321</v>
      </c>
    </row>
    <row r="8" spans="1:4" ht="28.5" x14ac:dyDescent="0.2">
      <c r="A8" s="1" t="s">
        <v>249</v>
      </c>
      <c r="B8" s="1" t="s">
        <v>275</v>
      </c>
      <c r="C8" s="1" t="s">
        <v>302</v>
      </c>
      <c r="D8" s="1" t="s">
        <v>322</v>
      </c>
    </row>
    <row r="9" spans="1:4" ht="71.25" x14ac:dyDescent="0.2">
      <c r="A9" s="1" t="s">
        <v>249</v>
      </c>
      <c r="B9" s="1" t="s">
        <v>276</v>
      </c>
      <c r="C9" s="1" t="s">
        <v>302</v>
      </c>
      <c r="D9" s="1" t="s">
        <v>323</v>
      </c>
    </row>
    <row r="10" spans="1:4" ht="71.25" x14ac:dyDescent="0.2">
      <c r="A10" s="1" t="s">
        <v>250</v>
      </c>
      <c r="B10" s="1" t="s">
        <v>277</v>
      </c>
      <c r="C10" s="1" t="s">
        <v>303</v>
      </c>
      <c r="D10" s="1" t="s">
        <v>324</v>
      </c>
    </row>
    <row r="11" spans="1:4" ht="114" x14ac:dyDescent="0.2">
      <c r="A11" s="1" t="s">
        <v>251</v>
      </c>
      <c r="B11" s="1" t="s">
        <v>278</v>
      </c>
      <c r="C11" s="1" t="s">
        <v>304</v>
      </c>
      <c r="D11" s="1" t="s">
        <v>325</v>
      </c>
    </row>
    <row r="12" spans="1:4" ht="42.75" x14ac:dyDescent="0.2">
      <c r="A12" s="1" t="s">
        <v>252</v>
      </c>
      <c r="B12" s="1" t="s">
        <v>279</v>
      </c>
      <c r="C12" s="1" t="s">
        <v>305</v>
      </c>
      <c r="D12" s="1" t="s">
        <v>326</v>
      </c>
    </row>
    <row r="13" spans="1:4" ht="28.5" x14ac:dyDescent="0.2">
      <c r="A13" s="1" t="s">
        <v>253</v>
      </c>
      <c r="B13" s="1" t="s">
        <v>280</v>
      </c>
      <c r="C13" s="1" t="s">
        <v>305</v>
      </c>
      <c r="D13" s="1" t="s">
        <v>327</v>
      </c>
    </row>
    <row r="14" spans="1:4" ht="28.5" x14ac:dyDescent="0.2">
      <c r="A14" s="1" t="s">
        <v>254</v>
      </c>
      <c r="B14" s="1" t="s">
        <v>281</v>
      </c>
      <c r="C14" s="1" t="s">
        <v>305</v>
      </c>
      <c r="D14" s="1" t="s">
        <v>328</v>
      </c>
    </row>
    <row r="15" spans="1:4" ht="28.5" x14ac:dyDescent="0.2">
      <c r="A15" s="1" t="s">
        <v>255</v>
      </c>
      <c r="B15" s="1" t="s">
        <v>282</v>
      </c>
      <c r="C15" s="1" t="s">
        <v>306</v>
      </c>
      <c r="D15" s="1" t="s">
        <v>329</v>
      </c>
    </row>
    <row r="16" spans="1:4" ht="85.5" x14ac:dyDescent="0.2">
      <c r="A16" s="1" t="s">
        <v>255</v>
      </c>
      <c r="B16" s="1" t="s">
        <v>283</v>
      </c>
      <c r="C16" s="1" t="s">
        <v>306</v>
      </c>
      <c r="D16" s="1" t="s">
        <v>330</v>
      </c>
    </row>
    <row r="17" spans="1:4" ht="99.75" x14ac:dyDescent="0.2">
      <c r="A17" s="1" t="s">
        <v>256</v>
      </c>
      <c r="B17" s="1" t="s">
        <v>284</v>
      </c>
      <c r="C17" s="1" t="s">
        <v>307</v>
      </c>
      <c r="D17" s="1" t="s">
        <v>331</v>
      </c>
    </row>
    <row r="18" spans="1:4" ht="213.75" x14ac:dyDescent="0.2">
      <c r="A18" s="1" t="s">
        <v>257</v>
      </c>
      <c r="B18" s="1" t="s">
        <v>285</v>
      </c>
      <c r="C18" s="1" t="s">
        <v>308</v>
      </c>
      <c r="D18" s="1" t="s">
        <v>332</v>
      </c>
    </row>
    <row r="19" spans="1:4" ht="28.5" x14ac:dyDescent="0.2">
      <c r="A19" s="1" t="s">
        <v>258</v>
      </c>
      <c r="B19" s="1" t="s">
        <v>286</v>
      </c>
      <c r="C19" s="1" t="s">
        <v>309</v>
      </c>
      <c r="D19" s="1" t="s">
        <v>333</v>
      </c>
    </row>
    <row r="20" spans="1:4" ht="28.5" x14ac:dyDescent="0.2">
      <c r="A20" s="1" t="s">
        <v>259</v>
      </c>
      <c r="B20" s="1" t="s">
        <v>287</v>
      </c>
      <c r="C20" s="1" t="s">
        <v>309</v>
      </c>
      <c r="D20" s="1" t="s">
        <v>334</v>
      </c>
    </row>
    <row r="21" spans="1:4" ht="28.5" x14ac:dyDescent="0.2">
      <c r="A21" s="1" t="s">
        <v>260</v>
      </c>
      <c r="B21" s="1" t="s">
        <v>288</v>
      </c>
      <c r="C21" s="1" t="s">
        <v>309</v>
      </c>
      <c r="D21" s="1" t="s">
        <v>335</v>
      </c>
    </row>
    <row r="22" spans="1:4" ht="28.5" x14ac:dyDescent="0.2">
      <c r="A22" s="1" t="s">
        <v>261</v>
      </c>
      <c r="B22" s="1" t="s">
        <v>289</v>
      </c>
      <c r="C22" s="1" t="s">
        <v>310</v>
      </c>
      <c r="D22" s="1" t="s">
        <v>336</v>
      </c>
    </row>
    <row r="23" spans="1:4" ht="28.5" x14ac:dyDescent="0.2">
      <c r="A23" s="1" t="s">
        <v>262</v>
      </c>
      <c r="B23" s="1" t="s">
        <v>290</v>
      </c>
      <c r="C23" s="1" t="s">
        <v>311</v>
      </c>
      <c r="D23" s="1" t="s">
        <v>337</v>
      </c>
    </row>
    <row r="24" spans="1:4" ht="85.5" x14ac:dyDescent="0.2">
      <c r="A24" s="1" t="s">
        <v>263</v>
      </c>
      <c r="B24" s="1" t="s">
        <v>291</v>
      </c>
      <c r="C24" s="1" t="s">
        <v>312</v>
      </c>
      <c r="D24" s="1" t="s">
        <v>338</v>
      </c>
    </row>
    <row r="25" spans="1:4" ht="370.5" x14ac:dyDescent="0.2">
      <c r="A25" s="1" t="s">
        <v>264</v>
      </c>
      <c r="B25" s="1" t="s">
        <v>292</v>
      </c>
      <c r="C25" s="1" t="s">
        <v>312</v>
      </c>
      <c r="D25" s="1" t="s">
        <v>339</v>
      </c>
    </row>
    <row r="26" spans="1:4" ht="85.5" x14ac:dyDescent="0.2">
      <c r="A26" s="1" t="s">
        <v>265</v>
      </c>
      <c r="B26" s="1" t="s">
        <v>293</v>
      </c>
      <c r="C26" s="1" t="s">
        <v>313</v>
      </c>
      <c r="D26" s="1" t="s">
        <v>340</v>
      </c>
    </row>
    <row r="27" spans="1:4" ht="114" x14ac:dyDescent="0.2">
      <c r="A27" s="1" t="s">
        <v>266</v>
      </c>
      <c r="B27" s="1" t="s">
        <v>294</v>
      </c>
      <c r="C27" s="1" t="s">
        <v>313</v>
      </c>
      <c r="D27" s="1" t="s">
        <v>341</v>
      </c>
    </row>
    <row r="28" spans="1:4" ht="128.25" x14ac:dyDescent="0.2">
      <c r="A28" s="1" t="s">
        <v>267</v>
      </c>
      <c r="B28" s="1" t="s">
        <v>295</v>
      </c>
      <c r="C28" s="1" t="s">
        <v>314</v>
      </c>
      <c r="D28" s="1" t="s">
        <v>342</v>
      </c>
    </row>
    <row r="29" spans="1:4" ht="128.25" x14ac:dyDescent="0.2">
      <c r="A29" s="33">
        <v>45902</v>
      </c>
      <c r="B29" s="1" t="s">
        <v>345</v>
      </c>
      <c r="C29" s="1" t="s">
        <v>313</v>
      </c>
      <c r="D29" s="1" t="s">
        <v>346</v>
      </c>
    </row>
    <row r="30" spans="1:4" ht="327.75" x14ac:dyDescent="0.2">
      <c r="A30" s="33">
        <v>45903</v>
      </c>
      <c r="B30" s="1" t="s">
        <v>350</v>
      </c>
      <c r="C30" s="1" t="s">
        <v>297</v>
      </c>
      <c r="D30" s="1" t="s">
        <v>351</v>
      </c>
    </row>
    <row r="31" spans="1:4" ht="156.75" x14ac:dyDescent="0.2">
      <c r="A31" s="33">
        <v>45910</v>
      </c>
      <c r="B31" s="1" t="s">
        <v>353</v>
      </c>
      <c r="C31" s="1" t="s">
        <v>313</v>
      </c>
      <c r="D31" s="1" t="s">
        <v>354</v>
      </c>
    </row>
    <row r="32" spans="1:4" ht="256.5" x14ac:dyDescent="0.2">
      <c r="A32" s="33">
        <v>45925</v>
      </c>
      <c r="B32" s="1" t="s">
        <v>359</v>
      </c>
      <c r="C32" s="1" t="s">
        <v>297</v>
      </c>
      <c r="D32" s="1" t="s">
        <v>360</v>
      </c>
    </row>
    <row r="33" spans="1:4" ht="128.25" x14ac:dyDescent="0.2">
      <c r="A33" s="33">
        <v>45946</v>
      </c>
      <c r="B33" s="1" t="s">
        <v>361</v>
      </c>
      <c r="C33" s="1" t="s">
        <v>313</v>
      </c>
      <c r="D33" s="1" t="s">
        <v>362</v>
      </c>
    </row>
    <row r="34" spans="1:4" ht="128.25" x14ac:dyDescent="0.2">
      <c r="A34" s="33">
        <v>45946</v>
      </c>
      <c r="B34" s="1" t="s">
        <v>363</v>
      </c>
      <c r="C34" s="1" t="s">
        <v>313</v>
      </c>
      <c r="D34" s="1" t="s">
        <v>364</v>
      </c>
    </row>
    <row r="35" spans="1:4" ht="128.25" x14ac:dyDescent="0.2">
      <c r="A35" s="33">
        <v>45946</v>
      </c>
      <c r="B35" s="1" t="s">
        <v>365</v>
      </c>
      <c r="C35" s="1" t="s">
        <v>313</v>
      </c>
      <c r="D35" s="1" t="s">
        <v>362</v>
      </c>
    </row>
    <row r="36" spans="1:4" ht="128.25" x14ac:dyDescent="0.2">
      <c r="A36" s="33">
        <v>45946</v>
      </c>
      <c r="B36" s="1" t="s">
        <v>369</v>
      </c>
      <c r="C36" s="1" t="s">
        <v>313</v>
      </c>
      <c r="D36" s="1" t="s">
        <v>364</v>
      </c>
    </row>
    <row r="37" spans="1:4" ht="270.75" x14ac:dyDescent="0.2">
      <c r="A37" s="33">
        <v>45987</v>
      </c>
      <c r="B37" s="1" t="s">
        <v>400</v>
      </c>
      <c r="C37" s="1" t="s">
        <v>297</v>
      </c>
      <c r="D37" s="1" t="s">
        <v>401</v>
      </c>
    </row>
    <row r="38" spans="1:4" ht="313.5" x14ac:dyDescent="0.2">
      <c r="A38" s="33">
        <v>45987</v>
      </c>
      <c r="B38" s="1" t="s">
        <v>405</v>
      </c>
      <c r="C38" s="1" t="s">
        <v>297</v>
      </c>
      <c r="D38" s="1" t="s">
        <v>406</v>
      </c>
    </row>
    <row r="39" spans="1:4" ht="142.5" x14ac:dyDescent="0.2">
      <c r="A39" s="33">
        <v>46086</v>
      </c>
      <c r="B39" s="1" t="s">
        <v>413</v>
      </c>
      <c r="C39" s="1" t="s">
        <v>297</v>
      </c>
      <c r="D39" s="1" t="s">
        <v>414</v>
      </c>
    </row>
    <row r="40" spans="1:4" ht="171" x14ac:dyDescent="0.2">
      <c r="A40" s="33">
        <v>46086</v>
      </c>
      <c r="B40" s="1" t="s">
        <v>416</v>
      </c>
      <c r="C40" s="1" t="s">
        <v>297</v>
      </c>
      <c r="D40" s="1" t="s">
        <v>417</v>
      </c>
    </row>
    <row r="41" spans="1:4" ht="156.75" x14ac:dyDescent="0.2">
      <c r="A41" s="33">
        <v>46086</v>
      </c>
      <c r="B41" s="1" t="s">
        <v>419</v>
      </c>
      <c r="C41" s="1" t="s">
        <v>297</v>
      </c>
      <c r="D41" s="1" t="s">
        <v>420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2"/>
  <sheetViews>
    <sheetView showGridLines="0" zoomScale="70" zoomScaleNormal="70" workbookViewId="0">
      <selection activeCell="C20" sqref="C20"/>
    </sheetView>
  </sheetViews>
  <sheetFormatPr defaultColWidth="9.125" defaultRowHeight="14.25" x14ac:dyDescent="0.2"/>
  <cols>
    <col min="1" max="1" width="52.25" style="22" customWidth="1"/>
    <col min="2" max="2" width="16.25" style="22" customWidth="1"/>
    <col min="3" max="3" width="23.125" style="22" customWidth="1"/>
    <col min="4" max="4" width="12.875" style="22" customWidth="1"/>
    <col min="5" max="5" width="21.875" style="22" customWidth="1"/>
    <col min="6" max="6" width="15.875" style="22" customWidth="1"/>
    <col min="7" max="7" width="11.75" style="22" customWidth="1"/>
    <col min="8" max="8" width="16.25" style="22" customWidth="1"/>
    <col min="9" max="9" width="19.25" style="22" customWidth="1"/>
    <col min="10" max="11" width="9.125" style="22"/>
    <col min="12" max="12" width="12.75" style="22" customWidth="1"/>
    <col min="13" max="13" width="12.875" style="22" customWidth="1"/>
    <col min="14" max="14" width="56.875" style="22" customWidth="1"/>
    <col min="15" max="15" width="30.875" style="22" customWidth="1"/>
    <col min="16" max="16384" width="9.125" style="12"/>
  </cols>
  <sheetData>
    <row r="1" spans="1:15" s="11" customFormat="1" ht="15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10" t="s">
        <v>55</v>
      </c>
    </row>
    <row r="2" spans="1:15" s="13" customFormat="1" x14ac:dyDescent="0.2">
      <c r="A2" s="7" t="s">
        <v>70</v>
      </c>
      <c r="B2" s="4" t="s">
        <v>36</v>
      </c>
      <c r="C2" s="4" t="s">
        <v>99</v>
      </c>
      <c r="D2" s="4" t="s">
        <v>14</v>
      </c>
      <c r="E2" s="4" t="s">
        <v>15</v>
      </c>
      <c r="F2" s="20" t="s">
        <v>16</v>
      </c>
      <c r="G2" s="20" t="s">
        <v>16</v>
      </c>
      <c r="H2" s="20" t="s">
        <v>16</v>
      </c>
      <c r="I2" s="4" t="s">
        <v>17</v>
      </c>
      <c r="J2" s="4" t="s">
        <v>18</v>
      </c>
      <c r="K2" s="4" t="s">
        <v>18</v>
      </c>
      <c r="L2" s="4" t="s">
        <v>49</v>
      </c>
      <c r="M2" s="4" t="s">
        <v>19</v>
      </c>
      <c r="N2" s="7" t="s">
        <v>20</v>
      </c>
      <c r="O2" s="4" t="s">
        <v>37</v>
      </c>
    </row>
    <row r="3" spans="1:15" s="13" customFormat="1" ht="42.75" x14ac:dyDescent="0.2">
      <c r="A3" s="7" t="s">
        <v>410</v>
      </c>
      <c r="B3" s="4" t="s">
        <v>102</v>
      </c>
      <c r="C3" s="4" t="str">
        <f ca="1">"[" &amp; GetParamValue("RACK_NUMBER_FOR_EVERY_BANK") &amp; "]"</f>
        <v>[4]</v>
      </c>
      <c r="D3" s="4" t="s">
        <v>14</v>
      </c>
      <c r="E3" s="4" t="s">
        <v>348</v>
      </c>
      <c r="F3" s="20" t="s">
        <v>16</v>
      </c>
      <c r="G3" s="20" t="s">
        <v>16</v>
      </c>
      <c r="H3" s="20" t="s">
        <v>16</v>
      </c>
      <c r="I3" s="4" t="s">
        <v>92</v>
      </c>
      <c r="J3" s="4" t="s">
        <v>105</v>
      </c>
      <c r="K3" s="4" t="s">
        <v>96</v>
      </c>
      <c r="L3" s="4" t="s">
        <v>418</v>
      </c>
      <c r="M3" s="4" t="s">
        <v>19</v>
      </c>
      <c r="N3" s="7" t="s">
        <v>409</v>
      </c>
      <c r="O3" s="4" t="s">
        <v>100</v>
      </c>
    </row>
    <row r="4" spans="1:15" s="13" customFormat="1" x14ac:dyDescent="0.2">
      <c r="A4" s="7" t="s">
        <v>408</v>
      </c>
      <c r="B4" s="4" t="s">
        <v>102</v>
      </c>
      <c r="C4" s="4" t="s">
        <v>27</v>
      </c>
      <c r="D4" s="4" t="s">
        <v>14</v>
      </c>
      <c r="E4" s="4" t="s">
        <v>15</v>
      </c>
      <c r="F4" s="20" t="s">
        <v>16</v>
      </c>
      <c r="G4" s="20" t="s">
        <v>16</v>
      </c>
      <c r="H4" s="20" t="s">
        <v>16</v>
      </c>
      <c r="I4" s="4" t="s">
        <v>17</v>
      </c>
      <c r="J4" s="4" t="s">
        <v>105</v>
      </c>
      <c r="K4" s="4" t="s">
        <v>96</v>
      </c>
      <c r="L4" s="4" t="s">
        <v>107</v>
      </c>
      <c r="M4" s="4" t="s">
        <v>19</v>
      </c>
      <c r="N4" s="7" t="s">
        <v>407</v>
      </c>
      <c r="O4" s="4" t="s">
        <v>100</v>
      </c>
    </row>
    <row r="5" spans="1:15" s="13" customFormat="1" x14ac:dyDescent="0.2">
      <c r="A5" s="7" t="s">
        <v>367</v>
      </c>
      <c r="B5" s="4" t="s">
        <v>102</v>
      </c>
      <c r="C5" s="4" t="s">
        <v>368</v>
      </c>
      <c r="D5" s="4" t="s">
        <v>14</v>
      </c>
      <c r="E5" s="4" t="s">
        <v>15</v>
      </c>
      <c r="F5" s="20" t="s">
        <v>16</v>
      </c>
      <c r="G5" s="20" t="s">
        <v>16</v>
      </c>
      <c r="H5" s="20" t="s">
        <v>16</v>
      </c>
      <c r="I5" s="4" t="s">
        <v>17</v>
      </c>
      <c r="J5" s="4" t="s">
        <v>27</v>
      </c>
      <c r="K5" s="4" t="s">
        <v>140</v>
      </c>
      <c r="L5" s="4" t="s">
        <v>107</v>
      </c>
      <c r="M5" s="4" t="s">
        <v>19</v>
      </c>
      <c r="N5" s="7" t="s">
        <v>366</v>
      </c>
      <c r="O5" s="4" t="s">
        <v>100</v>
      </c>
    </row>
    <row r="6" spans="1:15" s="13" customFormat="1" x14ac:dyDescent="0.2">
      <c r="A6" s="7" t="s">
        <v>175</v>
      </c>
      <c r="B6" s="4" t="s">
        <v>102</v>
      </c>
      <c r="C6" s="4" t="s">
        <v>176</v>
      </c>
      <c r="D6" s="4" t="s">
        <v>14</v>
      </c>
      <c r="E6" s="4" t="s">
        <v>15</v>
      </c>
      <c r="F6" s="20" t="s">
        <v>16</v>
      </c>
      <c r="G6" s="20" t="s">
        <v>16</v>
      </c>
      <c r="H6" s="20" t="s">
        <v>16</v>
      </c>
      <c r="I6" s="4" t="s">
        <v>17</v>
      </c>
      <c r="J6" s="4" t="s">
        <v>45</v>
      </c>
      <c r="K6" s="4" t="s">
        <v>76</v>
      </c>
      <c r="L6" s="4" t="s">
        <v>107</v>
      </c>
      <c r="M6" s="4" t="s">
        <v>19</v>
      </c>
      <c r="N6" s="7" t="s">
        <v>174</v>
      </c>
      <c r="O6" s="4" t="s">
        <v>100</v>
      </c>
    </row>
    <row r="7" spans="1:15" s="13" customFormat="1" ht="57" x14ac:dyDescent="0.2">
      <c r="A7" s="7" t="s">
        <v>173</v>
      </c>
      <c r="B7" s="4" t="s">
        <v>102</v>
      </c>
      <c r="C7" s="4" t="s">
        <v>103</v>
      </c>
      <c r="D7" s="4" t="s">
        <v>14</v>
      </c>
      <c r="E7" s="4" t="s">
        <v>15</v>
      </c>
      <c r="F7" s="20" t="s">
        <v>16</v>
      </c>
      <c r="G7" s="20" t="s">
        <v>16</v>
      </c>
      <c r="H7" s="20" t="s">
        <v>16</v>
      </c>
      <c r="I7" s="4" t="s">
        <v>92</v>
      </c>
      <c r="J7" s="4" t="s">
        <v>105</v>
      </c>
      <c r="K7" s="4" t="s">
        <v>96</v>
      </c>
      <c r="L7" s="4" t="s">
        <v>107</v>
      </c>
      <c r="M7" s="4" t="s">
        <v>16</v>
      </c>
      <c r="N7" s="7" t="s">
        <v>172</v>
      </c>
      <c r="O7" s="4" t="s">
        <v>100</v>
      </c>
    </row>
    <row r="8" spans="1:15" s="13" customFormat="1" x14ac:dyDescent="0.2">
      <c r="A8" s="7" t="s">
        <v>21</v>
      </c>
      <c r="B8" s="4" t="s">
        <v>36</v>
      </c>
      <c r="C8" s="4" t="s">
        <v>69</v>
      </c>
      <c r="D8" s="4" t="s">
        <v>14</v>
      </c>
      <c r="E8" s="4" t="s">
        <v>15</v>
      </c>
      <c r="F8" s="20" t="s">
        <v>16</v>
      </c>
      <c r="G8" s="20" t="s">
        <v>16</v>
      </c>
      <c r="H8" s="20" t="s">
        <v>16</v>
      </c>
      <c r="I8" s="4" t="s">
        <v>17</v>
      </c>
      <c r="J8" s="4" t="s">
        <v>18</v>
      </c>
      <c r="K8" s="4" t="s">
        <v>18</v>
      </c>
      <c r="L8" s="4" t="s">
        <v>52</v>
      </c>
      <c r="M8" s="4" t="s">
        <v>19</v>
      </c>
      <c r="N8" s="7" t="s">
        <v>22</v>
      </c>
      <c r="O8" s="4" t="s">
        <v>56</v>
      </c>
    </row>
    <row r="9" spans="1:15" s="13" customFormat="1" ht="28.5" x14ac:dyDescent="0.2">
      <c r="A9" s="7" t="s">
        <v>114</v>
      </c>
      <c r="B9" s="4" t="s">
        <v>36</v>
      </c>
      <c r="C9" s="4" t="s">
        <v>41</v>
      </c>
      <c r="D9" s="4" t="s">
        <v>14</v>
      </c>
      <c r="E9" s="4" t="s">
        <v>15</v>
      </c>
      <c r="F9" s="20" t="s">
        <v>16</v>
      </c>
      <c r="G9" s="20" t="s">
        <v>16</v>
      </c>
      <c r="H9" s="20" t="s">
        <v>16</v>
      </c>
      <c r="I9" s="4" t="s">
        <v>17</v>
      </c>
      <c r="J9" s="4" t="s">
        <v>42</v>
      </c>
      <c r="K9" s="4" t="s">
        <v>96</v>
      </c>
      <c r="L9" s="4" t="s">
        <v>43</v>
      </c>
      <c r="M9" s="4" t="s">
        <v>44</v>
      </c>
      <c r="N9" s="7" t="s">
        <v>97</v>
      </c>
      <c r="O9" s="4" t="s">
        <v>56</v>
      </c>
    </row>
    <row r="10" spans="1:15" s="13" customFormat="1" x14ac:dyDescent="0.2">
      <c r="A10" s="7" t="s">
        <v>39</v>
      </c>
      <c r="B10" s="4" t="s">
        <v>36</v>
      </c>
      <c r="C10" s="4" t="s">
        <v>27</v>
      </c>
      <c r="D10" s="4" t="s">
        <v>14</v>
      </c>
      <c r="E10" s="4" t="s">
        <v>15</v>
      </c>
      <c r="F10" s="20" t="s">
        <v>16</v>
      </c>
      <c r="G10" s="20" t="s">
        <v>16</v>
      </c>
      <c r="H10" s="20" t="s">
        <v>16</v>
      </c>
      <c r="I10" s="4" t="s">
        <v>17</v>
      </c>
      <c r="J10" s="4" t="s">
        <v>47</v>
      </c>
      <c r="K10" s="4" t="s">
        <v>48</v>
      </c>
      <c r="L10" s="4" t="s">
        <v>49</v>
      </c>
      <c r="M10" s="4" t="s">
        <v>19</v>
      </c>
      <c r="N10" s="7" t="s">
        <v>54</v>
      </c>
      <c r="O10" s="4" t="s">
        <v>58</v>
      </c>
    </row>
    <row r="11" spans="1:15" s="13" customFormat="1" x14ac:dyDescent="0.2">
      <c r="A11" s="14" t="s">
        <v>40</v>
      </c>
      <c r="B11" s="4" t="s">
        <v>36</v>
      </c>
      <c r="C11" s="4" t="s">
        <v>27</v>
      </c>
      <c r="D11" s="4" t="s">
        <v>14</v>
      </c>
      <c r="E11" s="4" t="s">
        <v>15</v>
      </c>
      <c r="F11" s="20" t="s">
        <v>16</v>
      </c>
      <c r="G11" s="20" t="s">
        <v>16</v>
      </c>
      <c r="H11" s="20" t="s">
        <v>16</v>
      </c>
      <c r="I11" s="4" t="s">
        <v>17</v>
      </c>
      <c r="J11" s="4" t="s">
        <v>50</v>
      </c>
      <c r="K11" s="4" t="s">
        <v>51</v>
      </c>
      <c r="L11" s="4" t="s">
        <v>52</v>
      </c>
      <c r="M11" s="4" t="s">
        <v>19</v>
      </c>
      <c r="N11" s="7" t="s">
        <v>53</v>
      </c>
      <c r="O11" s="4" t="s">
        <v>57</v>
      </c>
    </row>
    <row r="12" spans="1:15" s="13" customFormat="1" x14ac:dyDescent="0.2">
      <c r="A12" s="7" t="s">
        <v>23</v>
      </c>
      <c r="B12" s="4" t="s">
        <v>36</v>
      </c>
      <c r="C12" s="4" t="s">
        <v>98</v>
      </c>
      <c r="D12" s="4" t="s">
        <v>14</v>
      </c>
      <c r="E12" s="4" t="s">
        <v>15</v>
      </c>
      <c r="F12" s="20" t="s">
        <v>16</v>
      </c>
      <c r="G12" s="20" t="s">
        <v>16</v>
      </c>
      <c r="H12" s="20" t="s">
        <v>16</v>
      </c>
      <c r="I12" s="4" t="s">
        <v>17</v>
      </c>
      <c r="J12" s="4" t="s">
        <v>18</v>
      </c>
      <c r="K12" s="4" t="s">
        <v>18</v>
      </c>
      <c r="L12" s="4" t="s">
        <v>43</v>
      </c>
      <c r="M12" s="20" t="s">
        <v>16</v>
      </c>
      <c r="N12" s="7" t="s">
        <v>24</v>
      </c>
      <c r="O12" s="4" t="s">
        <v>59</v>
      </c>
    </row>
    <row r="13" spans="1:15" s="13" customFormat="1" x14ac:dyDescent="0.2">
      <c r="A13" s="14" t="s">
        <v>38</v>
      </c>
      <c r="B13" s="4" t="s">
        <v>36</v>
      </c>
      <c r="C13" s="4" t="s">
        <v>421</v>
      </c>
      <c r="D13" s="4" t="s">
        <v>14</v>
      </c>
      <c r="E13" s="4" t="s">
        <v>348</v>
      </c>
      <c r="F13" s="20" t="s">
        <v>16</v>
      </c>
      <c r="G13" s="20" t="s">
        <v>16</v>
      </c>
      <c r="H13" s="20" t="s">
        <v>16</v>
      </c>
      <c r="I13" s="4" t="s">
        <v>352</v>
      </c>
      <c r="J13" s="4" t="s">
        <v>18</v>
      </c>
      <c r="K13" s="4" t="s">
        <v>18</v>
      </c>
      <c r="L13" s="4" t="s">
        <v>52</v>
      </c>
      <c r="M13" s="20" t="s">
        <v>16</v>
      </c>
      <c r="N13" s="21" t="s">
        <v>349</v>
      </c>
      <c r="O13" s="4" t="s">
        <v>37</v>
      </c>
    </row>
    <row r="14" spans="1:15" s="13" customFormat="1" x14ac:dyDescent="0.2">
      <c r="A14" s="7" t="s">
        <v>85</v>
      </c>
      <c r="B14" s="4" t="s">
        <v>71</v>
      </c>
      <c r="C14" s="8" t="s">
        <v>87</v>
      </c>
      <c r="D14" s="4" t="s">
        <v>72</v>
      </c>
      <c r="E14" s="4" t="s">
        <v>15</v>
      </c>
      <c r="F14" s="4" t="s">
        <v>73</v>
      </c>
      <c r="G14" s="4" t="s">
        <v>44</v>
      </c>
      <c r="H14" s="4" t="s">
        <v>44</v>
      </c>
      <c r="I14" s="4" t="s">
        <v>74</v>
      </c>
      <c r="J14" s="4" t="s">
        <v>75</v>
      </c>
      <c r="K14" s="4" t="s">
        <v>76</v>
      </c>
      <c r="L14" s="4" t="s">
        <v>77</v>
      </c>
      <c r="M14" s="4" t="s">
        <v>78</v>
      </c>
      <c r="N14" s="7" t="s">
        <v>79</v>
      </c>
      <c r="O14" s="4" t="s">
        <v>37</v>
      </c>
    </row>
    <row r="15" spans="1:15" s="15" customFormat="1" ht="17.25" x14ac:dyDescent="0.2">
      <c r="A15" s="16" t="s">
        <v>125</v>
      </c>
      <c r="B15" s="17" t="s">
        <v>60</v>
      </c>
      <c r="C15" s="17" t="s">
        <v>99</v>
      </c>
      <c r="D15" s="17" t="s">
        <v>14</v>
      </c>
      <c r="E15" s="17" t="s">
        <v>15</v>
      </c>
      <c r="F15" s="17" t="s">
        <v>46</v>
      </c>
      <c r="G15" s="17" t="s">
        <v>110</v>
      </c>
      <c r="H15" s="17" t="s">
        <v>110</v>
      </c>
      <c r="I15" s="17" t="s">
        <v>111</v>
      </c>
      <c r="J15" s="17" t="s">
        <v>45</v>
      </c>
      <c r="K15" s="17" t="s">
        <v>112</v>
      </c>
      <c r="L15" s="17" t="s">
        <v>49</v>
      </c>
      <c r="M15" s="17" t="s">
        <v>19</v>
      </c>
      <c r="N15" s="18" t="s">
        <v>113</v>
      </c>
      <c r="O15" s="17" t="s">
        <v>57</v>
      </c>
    </row>
    <row r="16" spans="1:15" s="13" customFormat="1" x14ac:dyDescent="0.2">
      <c r="A16" s="7" t="s">
        <v>86</v>
      </c>
      <c r="B16" s="4" t="s">
        <v>80</v>
      </c>
      <c r="C16" s="4" t="s">
        <v>81</v>
      </c>
      <c r="D16" s="4" t="s">
        <v>14</v>
      </c>
      <c r="E16" s="4" t="s">
        <v>15</v>
      </c>
      <c r="F16" s="4" t="s">
        <v>16</v>
      </c>
      <c r="G16" s="4" t="s">
        <v>16</v>
      </c>
      <c r="H16" s="4" t="s">
        <v>16</v>
      </c>
      <c r="I16" s="4" t="s">
        <v>17</v>
      </c>
      <c r="J16" s="4" t="s">
        <v>82</v>
      </c>
      <c r="K16" s="4" t="s">
        <v>83</v>
      </c>
      <c r="L16" s="4" t="s">
        <v>43</v>
      </c>
      <c r="M16" s="4" t="s">
        <v>19</v>
      </c>
      <c r="N16" s="7" t="s">
        <v>84</v>
      </c>
      <c r="O16" s="4" t="s">
        <v>37</v>
      </c>
    </row>
    <row r="17" spans="1:15" s="13" customFormat="1" ht="18" customHeight="1" x14ac:dyDescent="0.2">
      <c r="A17" s="7" t="s">
        <v>95</v>
      </c>
      <c r="B17" s="4" t="s">
        <v>88</v>
      </c>
      <c r="C17" s="4" t="s">
        <v>422</v>
      </c>
      <c r="D17" s="4" t="s">
        <v>14</v>
      </c>
      <c r="E17" s="4" t="s">
        <v>89</v>
      </c>
      <c r="F17" s="4" t="s">
        <v>44</v>
      </c>
      <c r="G17" s="4" t="s">
        <v>90</v>
      </c>
      <c r="H17" s="4" t="s">
        <v>91</v>
      </c>
      <c r="I17" s="4" t="s">
        <v>92</v>
      </c>
      <c r="J17" s="4" t="s">
        <v>93</v>
      </c>
      <c r="K17" s="4" t="s">
        <v>93</v>
      </c>
      <c r="L17" s="4" t="s">
        <v>94</v>
      </c>
      <c r="M17" s="4" t="s">
        <v>19</v>
      </c>
      <c r="N17" s="7" t="s">
        <v>126</v>
      </c>
      <c r="O17" s="4" t="s">
        <v>37</v>
      </c>
    </row>
    <row r="18" spans="1:15" s="13" customFormat="1" x14ac:dyDescent="0.2">
      <c r="A18" s="7" t="s">
        <v>28</v>
      </c>
      <c r="B18" s="4" t="s">
        <v>36</v>
      </c>
      <c r="C18" s="4" t="s">
        <v>27</v>
      </c>
      <c r="D18" s="4" t="s">
        <v>14</v>
      </c>
      <c r="E18" s="4" t="s">
        <v>15</v>
      </c>
      <c r="F18" s="20" t="s">
        <v>16</v>
      </c>
      <c r="G18" s="20" t="s">
        <v>16</v>
      </c>
      <c r="H18" s="20" t="s">
        <v>16</v>
      </c>
      <c r="I18" s="4" t="s">
        <v>17</v>
      </c>
      <c r="J18" s="4" t="s">
        <v>18</v>
      </c>
      <c r="K18" s="4" t="s">
        <v>18</v>
      </c>
      <c r="L18" s="4" t="s">
        <v>43</v>
      </c>
      <c r="M18" s="20" t="s">
        <v>16</v>
      </c>
      <c r="N18" s="21" t="s">
        <v>16</v>
      </c>
      <c r="O18" s="4" t="s">
        <v>56</v>
      </c>
    </row>
    <row r="19" spans="1:15" s="13" customFormat="1" x14ac:dyDescent="0.2">
      <c r="A19" s="7" t="s">
        <v>101</v>
      </c>
      <c r="B19" s="4" t="s">
        <v>102</v>
      </c>
      <c r="C19" s="4" t="s">
        <v>103</v>
      </c>
      <c r="D19" s="4" t="s">
        <v>14</v>
      </c>
      <c r="E19" s="4" t="s">
        <v>15</v>
      </c>
      <c r="F19" s="20" t="s">
        <v>16</v>
      </c>
      <c r="G19" s="20" t="s">
        <v>16</v>
      </c>
      <c r="H19" s="20" t="s">
        <v>16</v>
      </c>
      <c r="I19" s="4" t="s">
        <v>104</v>
      </c>
      <c r="J19" s="4" t="s">
        <v>105</v>
      </c>
      <c r="K19" s="4" t="s">
        <v>106</v>
      </c>
      <c r="L19" s="4" t="s">
        <v>107</v>
      </c>
      <c r="M19" s="20" t="s">
        <v>108</v>
      </c>
      <c r="N19" s="21" t="s">
        <v>109</v>
      </c>
      <c r="O19" s="4" t="s">
        <v>100</v>
      </c>
    </row>
    <row r="20" spans="1:15" s="27" customFormat="1" x14ac:dyDescent="0.2">
      <c r="A20" s="23" t="s">
        <v>127</v>
      </c>
      <c r="B20" s="24" t="s">
        <v>102</v>
      </c>
      <c r="C20" s="24" t="s">
        <v>103</v>
      </c>
      <c r="D20" s="24" t="s">
        <v>14</v>
      </c>
      <c r="E20" s="24" t="s">
        <v>15</v>
      </c>
      <c r="F20" s="25" t="s">
        <v>16</v>
      </c>
      <c r="G20" s="25" t="s">
        <v>16</v>
      </c>
      <c r="H20" s="25" t="s">
        <v>16</v>
      </c>
      <c r="I20" s="24" t="s">
        <v>17</v>
      </c>
      <c r="J20" s="24" t="s">
        <v>18</v>
      </c>
      <c r="K20" s="24" t="s">
        <v>18</v>
      </c>
      <c r="L20" s="24" t="s">
        <v>107</v>
      </c>
      <c r="M20" s="25" t="s">
        <v>19</v>
      </c>
      <c r="N20" s="26" t="s">
        <v>128</v>
      </c>
      <c r="O20" s="24" t="s">
        <v>100</v>
      </c>
    </row>
    <row r="21" spans="1:15" s="27" customFormat="1" x14ac:dyDescent="0.2">
      <c r="A21" s="23" t="s">
        <v>138</v>
      </c>
      <c r="B21" s="24" t="s">
        <v>102</v>
      </c>
      <c r="C21" s="24" t="s">
        <v>139</v>
      </c>
      <c r="D21" s="24" t="s">
        <v>14</v>
      </c>
      <c r="E21" s="24" t="s">
        <v>15</v>
      </c>
      <c r="F21" s="25" t="s">
        <v>16</v>
      </c>
      <c r="G21" s="25" t="s">
        <v>16</v>
      </c>
      <c r="H21" s="25" t="s">
        <v>16</v>
      </c>
      <c r="I21" s="24" t="s">
        <v>17</v>
      </c>
      <c r="J21" s="24" t="s">
        <v>27</v>
      </c>
      <c r="K21" s="24" t="s">
        <v>140</v>
      </c>
      <c r="L21" s="24" t="s">
        <v>107</v>
      </c>
      <c r="M21" s="25" t="s">
        <v>19</v>
      </c>
      <c r="N21" s="26" t="s">
        <v>141</v>
      </c>
      <c r="O21" s="24" t="s">
        <v>100</v>
      </c>
    </row>
    <row r="22" spans="1:15" s="27" customFormat="1" ht="28.5" x14ac:dyDescent="0.2">
      <c r="A22" s="23" t="s">
        <v>142</v>
      </c>
      <c r="B22" s="24" t="s">
        <v>102</v>
      </c>
      <c r="C22" s="24" t="s">
        <v>145</v>
      </c>
      <c r="D22" s="24" t="s">
        <v>14</v>
      </c>
      <c r="E22" s="24" t="s">
        <v>15</v>
      </c>
      <c r="F22" s="25" t="s">
        <v>16</v>
      </c>
      <c r="G22" s="25" t="s">
        <v>16</v>
      </c>
      <c r="H22" s="25" t="s">
        <v>16</v>
      </c>
      <c r="I22" s="24" t="s">
        <v>92</v>
      </c>
      <c r="J22" s="24" t="s">
        <v>27</v>
      </c>
      <c r="K22" s="24" t="s">
        <v>143</v>
      </c>
      <c r="L22" s="24" t="s">
        <v>107</v>
      </c>
      <c r="M22" s="25" t="s">
        <v>16</v>
      </c>
      <c r="N22" s="26" t="s">
        <v>144</v>
      </c>
      <c r="O22" s="24" t="s">
        <v>100</v>
      </c>
    </row>
    <row r="23" spans="1:15" s="27" customFormat="1" ht="28.5" x14ac:dyDescent="0.2">
      <c r="A23" s="23" t="s">
        <v>146</v>
      </c>
      <c r="B23" s="24" t="s">
        <v>102</v>
      </c>
      <c r="C23" s="24" t="s">
        <v>106</v>
      </c>
      <c r="D23" s="24" t="s">
        <v>14</v>
      </c>
      <c r="E23" s="24" t="s">
        <v>15</v>
      </c>
      <c r="F23" s="25" t="s">
        <v>16</v>
      </c>
      <c r="G23" s="25" t="s">
        <v>16</v>
      </c>
      <c r="H23" s="25" t="s">
        <v>16</v>
      </c>
      <c r="I23" s="24" t="s">
        <v>132</v>
      </c>
      <c r="J23" s="24" t="s">
        <v>27</v>
      </c>
      <c r="K23" s="24" t="s">
        <v>147</v>
      </c>
      <c r="L23" s="24" t="s">
        <v>107</v>
      </c>
      <c r="M23" s="25" t="s">
        <v>148</v>
      </c>
      <c r="N23" s="26" t="s">
        <v>149</v>
      </c>
      <c r="O23" s="24" t="s">
        <v>100</v>
      </c>
    </row>
    <row r="24" spans="1:15" s="27" customFormat="1" x14ac:dyDescent="0.2">
      <c r="A24" s="23" t="s">
        <v>131</v>
      </c>
      <c r="B24" s="24" t="s">
        <v>102</v>
      </c>
      <c r="C24" s="24" t="s">
        <v>155</v>
      </c>
      <c r="D24" s="24" t="s">
        <v>14</v>
      </c>
      <c r="E24" s="24" t="s">
        <v>15</v>
      </c>
      <c r="F24" s="25" t="s">
        <v>16</v>
      </c>
      <c r="G24" s="25" t="s">
        <v>16</v>
      </c>
      <c r="H24" s="25" t="s">
        <v>16</v>
      </c>
      <c r="I24" s="24" t="s">
        <v>132</v>
      </c>
      <c r="J24" s="24" t="s">
        <v>105</v>
      </c>
      <c r="K24" s="24" t="s">
        <v>133</v>
      </c>
      <c r="L24" s="24" t="s">
        <v>107</v>
      </c>
      <c r="M24" s="25" t="s">
        <v>134</v>
      </c>
      <c r="N24" s="26" t="s">
        <v>135</v>
      </c>
      <c r="O24" s="24" t="s">
        <v>100</v>
      </c>
    </row>
    <row r="25" spans="1:15" s="27" customFormat="1" x14ac:dyDescent="0.2">
      <c r="A25" s="23" t="s">
        <v>165</v>
      </c>
      <c r="B25" s="24" t="s">
        <v>102</v>
      </c>
      <c r="C25" s="24" t="s">
        <v>166</v>
      </c>
      <c r="D25" s="24" t="s">
        <v>14</v>
      </c>
      <c r="E25" s="24" t="s">
        <v>15</v>
      </c>
      <c r="F25" s="25" t="s">
        <v>16</v>
      </c>
      <c r="G25" s="25" t="s">
        <v>16</v>
      </c>
      <c r="H25" s="25" t="s">
        <v>16</v>
      </c>
      <c r="I25" s="24" t="s">
        <v>17</v>
      </c>
      <c r="J25" s="24" t="s">
        <v>27</v>
      </c>
      <c r="K25" s="24" t="s">
        <v>167</v>
      </c>
      <c r="L25" s="24" t="s">
        <v>107</v>
      </c>
      <c r="M25" s="25" t="s">
        <v>19</v>
      </c>
      <c r="N25" s="26" t="s">
        <v>168</v>
      </c>
      <c r="O25" s="24" t="s">
        <v>100</v>
      </c>
    </row>
    <row r="26" spans="1:15" s="19" customFormat="1" ht="33" x14ac:dyDescent="0.3">
      <c r="A26" s="16" t="s">
        <v>150</v>
      </c>
      <c r="B26" s="17" t="s">
        <v>102</v>
      </c>
      <c r="C26" s="28" t="str">
        <f ca="1">"[" &amp; GetParamValue("RACK_AFE_NUMBER")/GetParamValue("MODULE_AFE_NUMBER") &amp; "]"</f>
        <v>[8]</v>
      </c>
      <c r="D26" s="17" t="s">
        <v>14</v>
      </c>
      <c r="E26" s="17" t="s">
        <v>15</v>
      </c>
      <c r="F26" s="17" t="s">
        <v>46</v>
      </c>
      <c r="G26" s="17" t="s">
        <v>46</v>
      </c>
      <c r="H26" s="17" t="s">
        <v>46</v>
      </c>
      <c r="I26" s="17" t="s">
        <v>115</v>
      </c>
      <c r="J26" s="17" t="s">
        <v>116</v>
      </c>
      <c r="K26" s="17" t="s">
        <v>117</v>
      </c>
      <c r="L26" s="17" t="s">
        <v>118</v>
      </c>
      <c r="M26" s="17" t="s">
        <v>19</v>
      </c>
      <c r="N26" s="18" t="s">
        <v>119</v>
      </c>
      <c r="O26" s="17" t="s">
        <v>120</v>
      </c>
    </row>
    <row r="27" spans="1:15" ht="42.75" x14ac:dyDescent="0.2">
      <c r="A27" s="3" t="s">
        <v>151</v>
      </c>
      <c r="B27" s="2" t="s">
        <v>102</v>
      </c>
      <c r="C27" s="28" t="str">
        <f ca="1">"[" &amp; GetParamValue("RACK_AFE_NUMBER")*GetParamValue("AFE_CELL_VOLTAGE_SAMPLING_NUMBER") &amp; "]"</f>
        <v>[416]</v>
      </c>
      <c r="D27" s="2" t="s">
        <v>29</v>
      </c>
      <c r="E27" s="2" t="s">
        <v>30</v>
      </c>
      <c r="F27" s="2" t="s">
        <v>31</v>
      </c>
      <c r="G27" s="2" t="s">
        <v>31</v>
      </c>
      <c r="H27" s="2" t="s">
        <v>31</v>
      </c>
      <c r="I27" s="2" t="s">
        <v>32</v>
      </c>
      <c r="J27" s="2" t="s">
        <v>18</v>
      </c>
      <c r="K27" s="2" t="s">
        <v>18</v>
      </c>
      <c r="L27" s="2" t="s">
        <v>43</v>
      </c>
      <c r="M27" s="2" t="s">
        <v>33</v>
      </c>
      <c r="N27" s="3" t="s">
        <v>34</v>
      </c>
      <c r="O27" s="4" t="s">
        <v>347</v>
      </c>
    </row>
    <row r="28" spans="1:15" s="19" customFormat="1" ht="49.5" x14ac:dyDescent="0.3">
      <c r="A28" s="18" t="s">
        <v>152</v>
      </c>
      <c r="B28" s="17" t="s">
        <v>102</v>
      </c>
      <c r="C28" s="28" t="str">
        <f ca="1">"[" &amp; GetParamValue("RACK_MODULE_NUMBER")*GetParamValue("MODULE_CELL_TEMPERATURE_SENSOR_NUMBER") &amp; "]"</f>
        <v>[232]</v>
      </c>
      <c r="D28" s="17" t="s">
        <v>14</v>
      </c>
      <c r="E28" s="17" t="s">
        <v>15</v>
      </c>
      <c r="F28" s="17" t="s">
        <v>110</v>
      </c>
      <c r="G28" s="17" t="s">
        <v>110</v>
      </c>
      <c r="H28" s="17" t="s">
        <v>110</v>
      </c>
      <c r="I28" s="17" t="s">
        <v>111</v>
      </c>
      <c r="J28" s="17" t="s">
        <v>121</v>
      </c>
      <c r="K28" s="17" t="s">
        <v>122</v>
      </c>
      <c r="L28" s="17" t="s">
        <v>118</v>
      </c>
      <c r="M28" s="17" t="s">
        <v>19</v>
      </c>
      <c r="N28" s="18" t="s">
        <v>123</v>
      </c>
      <c r="O28" s="17" t="s">
        <v>124</v>
      </c>
    </row>
    <row r="29" spans="1:15" ht="28.5" x14ac:dyDescent="0.2">
      <c r="A29" s="7" t="s">
        <v>153</v>
      </c>
      <c r="B29" s="2" t="s">
        <v>102</v>
      </c>
      <c r="C29" s="28" t="str">
        <f ca="1">"[" &amp; GetParamValue("CELL_RATE_CAPACITY") * GetParamValue("CELL_RATE_VOLTAGE") / 1000 / 1000  &amp; "]"</f>
        <v>[3.76]</v>
      </c>
      <c r="D29" s="2" t="s">
        <v>14</v>
      </c>
      <c r="E29" s="2" t="s">
        <v>15</v>
      </c>
      <c r="F29" s="2" t="s">
        <v>61</v>
      </c>
      <c r="G29" s="2" t="s">
        <v>61</v>
      </c>
      <c r="H29" s="2" t="s">
        <v>61</v>
      </c>
      <c r="I29" s="2" t="s">
        <v>62</v>
      </c>
      <c r="J29" s="2" t="s">
        <v>63</v>
      </c>
      <c r="K29" s="2" t="s">
        <v>64</v>
      </c>
      <c r="L29" s="2" t="s">
        <v>65</v>
      </c>
      <c r="M29" s="2" t="s">
        <v>66</v>
      </c>
      <c r="N29" s="3" t="s">
        <v>67</v>
      </c>
      <c r="O29" s="4" t="s">
        <v>136</v>
      </c>
    </row>
    <row r="30" spans="1:15" s="13" customFormat="1" ht="71.25" x14ac:dyDescent="0.2">
      <c r="A30" s="7" t="s">
        <v>154</v>
      </c>
      <c r="B30" s="4" t="s">
        <v>102</v>
      </c>
      <c r="C30" s="28" t="str">
        <f ca="1">"[" &amp; GetParamValue("CELL_RATE_ENERGY") * GetParamValue("CELL_PARALLEL_NUMBER_PER_RACK_BMS") * GetParamValue("CELL_PARALLEL_NUMBER_INTERNAL_MODULE") * GetParamValue("TOTAL_SERIES_CELL_NUMBER_PER_RACK_BMS") &amp; "]"</f>
        <v>[1564.16]</v>
      </c>
      <c r="D30" s="4" t="s">
        <v>14</v>
      </c>
      <c r="E30" s="4" t="s">
        <v>15</v>
      </c>
      <c r="F30" s="20" t="s">
        <v>16</v>
      </c>
      <c r="G30" s="20" t="s">
        <v>16</v>
      </c>
      <c r="H30" s="20" t="s">
        <v>16</v>
      </c>
      <c r="I30" s="2" t="s">
        <v>62</v>
      </c>
      <c r="J30" s="4" t="s">
        <v>18</v>
      </c>
      <c r="K30" s="4" t="s">
        <v>18</v>
      </c>
      <c r="L30" s="4" t="s">
        <v>43</v>
      </c>
      <c r="M30" s="4" t="s">
        <v>25</v>
      </c>
      <c r="N30" s="7" t="s">
        <v>26</v>
      </c>
      <c r="O30" s="4" t="s">
        <v>68</v>
      </c>
    </row>
    <row r="31" spans="1:15" x14ac:dyDescent="0.2">
      <c r="A31" s="22" t="s">
        <v>169</v>
      </c>
      <c r="B31" s="22" t="s">
        <v>102</v>
      </c>
      <c r="C31" s="34" t="str">
        <f ca="1">"[" &amp; GetParamValue("RACK_AFE_NUMBER_MAX")/GetParamValue("MODULE_AFE_NUMBER") &amp; "]"</f>
        <v>[8]</v>
      </c>
      <c r="D31" s="22" t="s">
        <v>14</v>
      </c>
      <c r="E31" s="22" t="s">
        <v>15</v>
      </c>
      <c r="F31" s="22" t="s">
        <v>16</v>
      </c>
      <c r="G31" s="22" t="s">
        <v>16</v>
      </c>
      <c r="H31" s="22" t="s">
        <v>16</v>
      </c>
      <c r="I31" s="22" t="s">
        <v>17</v>
      </c>
      <c r="J31" s="22" t="s">
        <v>27</v>
      </c>
      <c r="K31" s="22" t="s">
        <v>140</v>
      </c>
      <c r="L31" s="22" t="s">
        <v>107</v>
      </c>
      <c r="M31" s="22" t="s">
        <v>19</v>
      </c>
      <c r="N31" s="22" t="s">
        <v>170</v>
      </c>
      <c r="O31" s="22" t="s">
        <v>171</v>
      </c>
    </row>
    <row r="32" spans="1:15" x14ac:dyDescent="0.2">
      <c r="A32" s="22" t="s">
        <v>129</v>
      </c>
      <c r="B32" s="22" t="s">
        <v>102</v>
      </c>
      <c r="C32" s="34" t="str">
        <f ca="1">"[" &amp; GetParamValue("RACK_AFE_NUMBER_MAX") *GetParamValue("AFE_TEMPERATURE_SENSOR_MUX_NUMBER") &amp; "]"</f>
        <v>[64]</v>
      </c>
      <c r="D32" s="22" t="s">
        <v>14</v>
      </c>
      <c r="E32" s="22" t="s">
        <v>15</v>
      </c>
      <c r="F32" s="22" t="s">
        <v>16</v>
      </c>
      <c r="G32" s="22" t="s">
        <v>16</v>
      </c>
      <c r="H32" s="22" t="s">
        <v>16</v>
      </c>
      <c r="I32" s="22" t="s">
        <v>17</v>
      </c>
      <c r="J32" s="22" t="s">
        <v>18</v>
      </c>
      <c r="K32" s="22" t="s">
        <v>18</v>
      </c>
      <c r="L32" s="22" t="s">
        <v>107</v>
      </c>
      <c r="M32" s="22" t="s">
        <v>19</v>
      </c>
      <c r="N32" s="22" t="s">
        <v>130</v>
      </c>
      <c r="O32" s="22" t="s">
        <v>137</v>
      </c>
    </row>
    <row r="33" spans="1:15" x14ac:dyDescent="0.2">
      <c r="A33" s="22" t="s">
        <v>374</v>
      </c>
      <c r="B33" s="22" t="s">
        <v>102</v>
      </c>
      <c r="C33" s="34" t="str">
        <f ca="1">"[" &amp; TextJoinArrayCompat(" ", TRUE, AppendArray(SheetColumnContainsArray("FaultList","EnableFault", "0"), 1,GetParamValue("FAULT_NUMBER_RESERVED"))) &amp; "]"</f>
        <v>[0 0 0 0 1 1 0 0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1]</v>
      </c>
      <c r="D33" s="22" t="s">
        <v>14</v>
      </c>
      <c r="E33" s="22" t="s">
        <v>348</v>
      </c>
      <c r="I33" s="22" t="s">
        <v>370</v>
      </c>
      <c r="J33" s="22" t="s">
        <v>105</v>
      </c>
      <c r="K33" s="22" t="s">
        <v>27</v>
      </c>
      <c r="L33" s="22" t="s">
        <v>402</v>
      </c>
      <c r="M33" s="22" t="s">
        <v>372</v>
      </c>
      <c r="N33" s="22" t="s">
        <v>371</v>
      </c>
      <c r="O33" s="22" t="s">
        <v>373</v>
      </c>
    </row>
    <row r="34" spans="1:15" x14ac:dyDescent="0.2">
      <c r="A34" s="22" t="s">
        <v>377</v>
      </c>
      <c r="B34" s="22" t="s">
        <v>102</v>
      </c>
      <c r="C34" s="34" t="str">
        <f ca="1">"[" &amp; TextJoinArrayCompat(" ", TRUE, AppendArray(SheetColumnContainsArray("FaultList","EnableFault", "0"), 1,GetParamValue("FAULT_NUMBER_RESERVED"))) &amp; "]"</f>
        <v>[0 0 0 0 1 1 0 0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 1]</v>
      </c>
      <c r="D34" s="22" t="s">
        <v>14</v>
      </c>
      <c r="E34" s="22" t="s">
        <v>375</v>
      </c>
      <c r="I34" s="22" t="s">
        <v>370</v>
      </c>
      <c r="J34" s="22" t="s">
        <v>105</v>
      </c>
      <c r="K34" s="22" t="s">
        <v>27</v>
      </c>
      <c r="L34" s="22" t="s">
        <v>403</v>
      </c>
      <c r="M34" s="22" t="s">
        <v>372</v>
      </c>
      <c r="N34" s="22" t="s">
        <v>376</v>
      </c>
      <c r="O34" s="22" t="s">
        <v>373</v>
      </c>
    </row>
    <row r="35" spans="1:15" x14ac:dyDescent="0.2">
      <c r="A35" s="22" t="s">
        <v>380</v>
      </c>
      <c r="B35" s="22" t="s">
        <v>102</v>
      </c>
      <c r="C35" s="34" t="str">
        <f ca="1">"[" &amp; TextJoinArrayCompat(" ", TRUE, AppendArray(SheetColumnContainsArray("FaultList","FaultDeassertCriteria", "下电"), 0,GetParamValue("FAULT_NUMBER_RESERVED"))) &amp; "]"</f>
        <v>[0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0]</v>
      </c>
      <c r="D35" s="22" t="s">
        <v>14</v>
      </c>
      <c r="E35" s="22" t="s">
        <v>348</v>
      </c>
      <c r="I35" s="22" t="s">
        <v>370</v>
      </c>
      <c r="J35" s="22" t="s">
        <v>105</v>
      </c>
      <c r="K35" s="22" t="s">
        <v>27</v>
      </c>
      <c r="L35" s="22" t="s">
        <v>403</v>
      </c>
      <c r="M35" s="22" t="s">
        <v>372</v>
      </c>
      <c r="N35" s="22" t="s">
        <v>378</v>
      </c>
      <c r="O35" s="22" t="s">
        <v>379</v>
      </c>
    </row>
    <row r="36" spans="1:15" x14ac:dyDescent="0.2">
      <c r="A36" s="22" t="s">
        <v>382</v>
      </c>
      <c r="B36" s="22" t="s">
        <v>102</v>
      </c>
      <c r="C36" s="34" t="str">
        <f ca="1">"[" &amp; TextJoinArrayCompat(" ", TRUE, AppendArray(SheetColumnContainsArray("FaultList","FaultDeassertCriteria", "下电"), 0,GetParamValue("FAULT_NUMBER_RESERVED"))) &amp; "]"</f>
        <v>[0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 0]</v>
      </c>
      <c r="D36" s="22" t="s">
        <v>14</v>
      </c>
      <c r="E36" s="22" t="s">
        <v>375</v>
      </c>
      <c r="I36" s="22" t="s">
        <v>370</v>
      </c>
      <c r="J36" s="22" t="s">
        <v>105</v>
      </c>
      <c r="K36" s="22" t="s">
        <v>27</v>
      </c>
      <c r="L36" s="22" t="s">
        <v>404</v>
      </c>
      <c r="M36" s="22" t="s">
        <v>372</v>
      </c>
      <c r="N36" s="22" t="s">
        <v>381</v>
      </c>
      <c r="O36" s="22" t="s">
        <v>379</v>
      </c>
    </row>
    <row r="37" spans="1:15" x14ac:dyDescent="0.2">
      <c r="A37" s="22" t="s">
        <v>387</v>
      </c>
      <c r="B37" s="22" t="s">
        <v>102</v>
      </c>
      <c r="C37" s="34" t="str">
        <f>"[" &amp; TextJoinArrayCompat(" ", TRUE,GetColumnArray("FaultList","ChargeSOPCoef(%)")) &amp; "]"</f>
        <v>[100 100 100 100 100 100 100 100]</v>
      </c>
      <c r="D37" s="22" t="s">
        <v>14</v>
      </c>
      <c r="E37" s="22" t="s">
        <v>348</v>
      </c>
      <c r="I37" s="22" t="s">
        <v>92</v>
      </c>
      <c r="J37" s="22" t="s">
        <v>105</v>
      </c>
      <c r="K37" s="22" t="s">
        <v>140</v>
      </c>
      <c r="L37" s="22" t="s">
        <v>384</v>
      </c>
      <c r="M37" s="22" t="s">
        <v>385</v>
      </c>
      <c r="N37" s="22" t="s">
        <v>383</v>
      </c>
      <c r="O37" s="22" t="s">
        <v>386</v>
      </c>
    </row>
    <row r="38" spans="1:15" x14ac:dyDescent="0.2">
      <c r="A38" s="22" t="s">
        <v>390</v>
      </c>
      <c r="B38" s="22" t="s">
        <v>102</v>
      </c>
      <c r="C38" s="34" t="str">
        <f>"[" &amp; TextJoinArrayCompat(" ",TRUE, GetColumnArray("FaultList","DischargeSOPCoef(%)")) &amp; "]"</f>
        <v>[100 100 100 100 100 100 100 100]</v>
      </c>
      <c r="D38" s="22" t="s">
        <v>14</v>
      </c>
      <c r="E38" s="22" t="s">
        <v>348</v>
      </c>
      <c r="I38" s="22" t="s">
        <v>92</v>
      </c>
      <c r="J38" s="22" t="s">
        <v>105</v>
      </c>
      <c r="K38" s="22" t="s">
        <v>140</v>
      </c>
      <c r="L38" s="22" t="s">
        <v>384</v>
      </c>
      <c r="M38" s="22" t="s">
        <v>385</v>
      </c>
      <c r="N38" s="22" t="s">
        <v>388</v>
      </c>
      <c r="O38" s="22" t="s">
        <v>389</v>
      </c>
    </row>
    <row r="39" spans="1:15" x14ac:dyDescent="0.2">
      <c r="A39" s="22" t="s">
        <v>393</v>
      </c>
      <c r="B39" s="22" t="s">
        <v>102</v>
      </c>
      <c r="C39" s="34" t="str">
        <f>"[" &amp; TextJoinArrayCompat(" ", TRUE,GetColumnArray("FaultList","FaultLevel")) &amp; "]"</f>
        <v>[3 3 3 3 3 3 3 3]</v>
      </c>
      <c r="D39" s="22" t="s">
        <v>14</v>
      </c>
      <c r="E39" s="22" t="s">
        <v>348</v>
      </c>
      <c r="I39" s="22" t="s">
        <v>92</v>
      </c>
      <c r="J39" s="22" t="s">
        <v>105</v>
      </c>
      <c r="K39" s="22" t="s">
        <v>140</v>
      </c>
      <c r="L39" s="22" t="s">
        <v>384</v>
      </c>
      <c r="M39" s="22" t="s">
        <v>372</v>
      </c>
      <c r="N39" s="22" t="s">
        <v>391</v>
      </c>
      <c r="O39" s="22" t="s">
        <v>392</v>
      </c>
    </row>
    <row r="40" spans="1:15" x14ac:dyDescent="0.2">
      <c r="A40" s="22" t="s">
        <v>396</v>
      </c>
      <c r="B40" s="22" t="s">
        <v>102</v>
      </c>
      <c r="C40" s="34" t="str">
        <f>"[" &amp; COLUMNS(GetColumnArray("FaultList","FaultLevel") )&amp; "]"</f>
        <v>[8]</v>
      </c>
      <c r="D40" s="22" t="s">
        <v>14</v>
      </c>
      <c r="E40" s="22" t="s">
        <v>15</v>
      </c>
      <c r="I40" s="22" t="s">
        <v>17</v>
      </c>
      <c r="J40" s="22" t="s">
        <v>105</v>
      </c>
      <c r="K40" s="22" t="s">
        <v>96</v>
      </c>
      <c r="L40" s="22" t="s">
        <v>107</v>
      </c>
      <c r="M40" s="22" t="s">
        <v>19</v>
      </c>
      <c r="N40" s="22" t="s">
        <v>394</v>
      </c>
      <c r="O40" s="22" t="s">
        <v>395</v>
      </c>
    </row>
    <row r="41" spans="1:15" x14ac:dyDescent="0.2">
      <c r="A41" s="22" t="s">
        <v>399</v>
      </c>
      <c r="B41" s="22" t="s">
        <v>102</v>
      </c>
      <c r="C41" s="34" t="str">
        <f ca="1">"[" &amp; GetParamValue("FAULT_TOTAL_NUMBER") - GetParamValue("FAULT_NUMBER_USED") &amp; "]"</f>
        <v>[192]</v>
      </c>
      <c r="D41" s="22" t="s">
        <v>14</v>
      </c>
      <c r="E41" s="22" t="s">
        <v>15</v>
      </c>
      <c r="I41" s="22" t="s">
        <v>17</v>
      </c>
      <c r="J41" s="22" t="s">
        <v>105</v>
      </c>
      <c r="K41" s="22" t="s">
        <v>96</v>
      </c>
      <c r="L41" s="22" t="s">
        <v>107</v>
      </c>
      <c r="M41" s="22" t="s">
        <v>19</v>
      </c>
      <c r="N41" s="22" t="s">
        <v>397</v>
      </c>
      <c r="O41" s="22" t="s">
        <v>398</v>
      </c>
    </row>
    <row r="42" spans="1:15" ht="57" x14ac:dyDescent="0.2">
      <c r="A42" s="22" t="s">
        <v>415</v>
      </c>
      <c r="B42" s="22" t="s">
        <v>102</v>
      </c>
      <c r="C42" s="34" t="str">
        <f ca="1">"[" &amp; IF(GetParamValue("PCS_NUM")=1,1,GetParamValue("PCS_NUM")+1) &amp; "]"</f>
        <v>[1]</v>
      </c>
      <c r="D42" s="22" t="s">
        <v>14</v>
      </c>
      <c r="E42" s="22" t="s">
        <v>15</v>
      </c>
      <c r="F42" s="22" t="s">
        <v>16</v>
      </c>
      <c r="G42" s="22" t="s">
        <v>16</v>
      </c>
      <c r="H42" s="22" t="s">
        <v>16</v>
      </c>
      <c r="I42" s="22" t="s">
        <v>17</v>
      </c>
      <c r="J42" s="22" t="s">
        <v>105</v>
      </c>
      <c r="K42" s="22" t="s">
        <v>96</v>
      </c>
      <c r="L42" s="22" t="s">
        <v>107</v>
      </c>
      <c r="M42" s="22" t="s">
        <v>19</v>
      </c>
      <c r="N42" s="35" t="s">
        <v>411</v>
      </c>
      <c r="O42" s="35" t="s">
        <v>412</v>
      </c>
    </row>
  </sheetData>
  <protectedRanges>
    <protectedRange sqref="C15" name="可修改"/>
  </protectedRange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ColWidth="9" defaultRowHeight="14.25" x14ac:dyDescent="0.2"/>
  <cols>
    <col min="1" max="1" width="12" customWidth="1"/>
    <col min="2" max="2" width="98.375" customWidth="1"/>
    <col min="3" max="3" width="56" customWidth="1"/>
    <col min="4" max="4" width="22.5" customWidth="1"/>
    <col min="5" max="5" width="34" customWidth="1"/>
    <col min="6" max="6" width="50.625" style="5" customWidth="1"/>
    <col min="7" max="7" width="29.25" customWidth="1"/>
    <col min="8" max="8" width="50.5" customWidth="1"/>
    <col min="9" max="9" width="10.875" customWidth="1"/>
    <col min="10" max="10" width="7.125" style="6" customWidth="1"/>
    <col min="11" max="11" width="9.5" style="6" customWidth="1"/>
    <col min="12" max="12" width="16.75" customWidth="1"/>
    <col min="13" max="13" width="19.125" customWidth="1"/>
  </cols>
  <sheetData>
    <row r="1" spans="1:13" x14ac:dyDescent="0.2">
      <c r="A1" t="s">
        <v>177</v>
      </c>
      <c r="B1" t="s">
        <v>181</v>
      </c>
      <c r="C1" t="s">
        <v>190</v>
      </c>
      <c r="D1" t="s">
        <v>199</v>
      </c>
      <c r="E1" t="s">
        <v>202</v>
      </c>
      <c r="F1" s="5" t="s">
        <v>211</v>
      </c>
      <c r="G1" t="s">
        <v>218</v>
      </c>
      <c r="H1" t="s">
        <v>226</v>
      </c>
      <c r="I1" t="s">
        <v>233</v>
      </c>
      <c r="J1" s="6" t="s">
        <v>235</v>
      </c>
      <c r="K1" s="6" t="s">
        <v>236</v>
      </c>
      <c r="L1" t="s">
        <v>238</v>
      </c>
      <c r="M1" t="s">
        <v>240</v>
      </c>
    </row>
    <row r="2" spans="1:13" x14ac:dyDescent="0.2">
      <c r="A2" t="s">
        <v>178</v>
      </c>
      <c r="B2" t="s">
        <v>182</v>
      </c>
      <c r="C2" t="s">
        <v>191</v>
      </c>
      <c r="D2" t="s">
        <v>200</v>
      </c>
      <c r="E2" t="s">
        <v>203</v>
      </c>
      <c r="F2" s="5" t="s">
        <v>212</v>
      </c>
      <c r="G2" t="s">
        <v>219</v>
      </c>
      <c r="H2" t="s">
        <v>227</v>
      </c>
      <c r="I2" t="s">
        <v>234</v>
      </c>
      <c r="J2" s="6">
        <v>0</v>
      </c>
      <c r="K2" s="6" t="s">
        <v>237</v>
      </c>
      <c r="L2" t="s">
        <v>239</v>
      </c>
      <c r="M2" t="s">
        <v>241</v>
      </c>
    </row>
    <row r="3" spans="1:13" x14ac:dyDescent="0.2">
      <c r="A3" t="s">
        <v>178</v>
      </c>
      <c r="B3" t="s">
        <v>183</v>
      </c>
      <c r="C3" t="s">
        <v>192</v>
      </c>
      <c r="D3" t="s">
        <v>200</v>
      </c>
      <c r="E3" t="s">
        <v>204</v>
      </c>
      <c r="F3" s="5" t="s">
        <v>213</v>
      </c>
      <c r="G3" t="s">
        <v>220</v>
      </c>
      <c r="H3" t="s">
        <v>228</v>
      </c>
      <c r="I3" t="s">
        <v>234</v>
      </c>
      <c r="J3" s="6">
        <v>1</v>
      </c>
      <c r="K3" s="6" t="s">
        <v>237</v>
      </c>
      <c r="L3" t="s">
        <v>239</v>
      </c>
      <c r="M3" t="s">
        <v>241</v>
      </c>
    </row>
    <row r="4" spans="1:13" x14ac:dyDescent="0.2">
      <c r="A4" t="s">
        <v>178</v>
      </c>
      <c r="B4" t="s">
        <v>184</v>
      </c>
      <c r="C4" t="s">
        <v>193</v>
      </c>
      <c r="D4" t="s">
        <v>200</v>
      </c>
      <c r="E4" t="s">
        <v>205</v>
      </c>
      <c r="F4" s="5" t="s">
        <v>214</v>
      </c>
      <c r="G4" t="s">
        <v>221</v>
      </c>
      <c r="H4" t="s">
        <v>229</v>
      </c>
      <c r="I4" t="s">
        <v>234</v>
      </c>
      <c r="J4" s="6">
        <v>2</v>
      </c>
      <c r="K4" s="6" t="s">
        <v>237</v>
      </c>
      <c r="L4" t="s">
        <v>239</v>
      </c>
      <c r="M4" t="s">
        <v>241</v>
      </c>
    </row>
    <row r="5" spans="1:13" x14ac:dyDescent="0.2">
      <c r="A5" t="s">
        <v>179</v>
      </c>
      <c r="B5" t="s">
        <v>185</v>
      </c>
      <c r="C5" t="s">
        <v>194</v>
      </c>
      <c r="D5" t="s">
        <v>200</v>
      </c>
      <c r="E5" t="s">
        <v>206</v>
      </c>
      <c r="F5" s="5" t="s">
        <v>215</v>
      </c>
      <c r="G5" t="s">
        <v>222</v>
      </c>
      <c r="H5" t="s">
        <v>230</v>
      </c>
      <c r="I5" t="s">
        <v>234</v>
      </c>
      <c r="J5" s="6">
        <v>3</v>
      </c>
      <c r="K5" s="6" t="s">
        <v>237</v>
      </c>
      <c r="L5" t="s">
        <v>239</v>
      </c>
      <c r="M5" t="s">
        <v>241</v>
      </c>
    </row>
    <row r="6" spans="1:13" x14ac:dyDescent="0.2">
      <c r="A6" t="s">
        <v>180</v>
      </c>
      <c r="B6" t="s">
        <v>186</v>
      </c>
      <c r="C6" t="s">
        <v>195</v>
      </c>
      <c r="D6" t="s">
        <v>201</v>
      </c>
      <c r="E6" t="s">
        <v>207</v>
      </c>
      <c r="F6" s="5" t="s">
        <v>357</v>
      </c>
      <c r="G6" t="s">
        <v>223</v>
      </c>
      <c r="H6" t="s">
        <v>358</v>
      </c>
      <c r="I6">
        <v>0</v>
      </c>
      <c r="J6" s="6">
        <v>4</v>
      </c>
      <c r="K6" s="6" t="s">
        <v>237</v>
      </c>
      <c r="L6" t="s">
        <v>239</v>
      </c>
      <c r="M6" t="s">
        <v>241</v>
      </c>
    </row>
    <row r="7" spans="1:13" x14ac:dyDescent="0.2">
      <c r="A7" t="s">
        <v>180</v>
      </c>
      <c r="B7" t="s">
        <v>187</v>
      </c>
      <c r="C7" t="s">
        <v>196</v>
      </c>
      <c r="D7" t="s">
        <v>201</v>
      </c>
      <c r="E7" t="s">
        <v>208</v>
      </c>
      <c r="F7" s="5" t="s">
        <v>355</v>
      </c>
      <c r="G7" t="s">
        <v>224</v>
      </c>
      <c r="H7" t="s">
        <v>356</v>
      </c>
      <c r="I7">
        <v>0</v>
      </c>
      <c r="J7" s="6">
        <v>5</v>
      </c>
      <c r="K7" s="6" t="s">
        <v>237</v>
      </c>
      <c r="L7" t="s">
        <v>239</v>
      </c>
      <c r="M7" t="s">
        <v>241</v>
      </c>
    </row>
    <row r="8" spans="1:13" x14ac:dyDescent="0.2">
      <c r="A8" t="s">
        <v>180</v>
      </c>
      <c r="B8" t="s">
        <v>188</v>
      </c>
      <c r="C8" t="s">
        <v>197</v>
      </c>
      <c r="D8" t="s">
        <v>201</v>
      </c>
      <c r="E8" t="s">
        <v>209</v>
      </c>
      <c r="F8" s="5" t="s">
        <v>216</v>
      </c>
      <c r="G8" t="s">
        <v>225</v>
      </c>
      <c r="H8" t="s">
        <v>231</v>
      </c>
      <c r="I8" t="s">
        <v>234</v>
      </c>
      <c r="J8" s="6">
        <v>6</v>
      </c>
      <c r="K8" s="6" t="s">
        <v>237</v>
      </c>
      <c r="L8" t="s">
        <v>239</v>
      </c>
      <c r="M8" t="s">
        <v>241</v>
      </c>
    </row>
    <row r="9" spans="1:13" x14ac:dyDescent="0.2">
      <c r="A9" t="s">
        <v>180</v>
      </c>
      <c r="B9" t="s">
        <v>189</v>
      </c>
      <c r="C9" t="s">
        <v>198</v>
      </c>
      <c r="D9" t="s">
        <v>201</v>
      </c>
      <c r="E9" t="s">
        <v>210</v>
      </c>
      <c r="F9" s="5" t="s">
        <v>217</v>
      </c>
      <c r="G9" t="s">
        <v>225</v>
      </c>
      <c r="H9" t="s">
        <v>232</v>
      </c>
      <c r="I9" t="s">
        <v>234</v>
      </c>
      <c r="J9" s="6">
        <v>7</v>
      </c>
      <c r="K9" s="6" t="s">
        <v>237</v>
      </c>
      <c r="L9" t="s">
        <v>239</v>
      </c>
      <c r="M9" t="s">
        <v>241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showGridLines="0" tabSelected="1" zoomScale="115" zoomScaleNormal="115" workbookViewId="0">
      <selection activeCell="F12" sqref="F12"/>
    </sheetView>
  </sheetViews>
  <sheetFormatPr defaultColWidth="8.375" defaultRowHeight="14.25" x14ac:dyDescent="0.2"/>
  <cols>
    <col min="1" max="4" width="23.125" style="30" customWidth="1"/>
    <col min="5" max="16384" width="8.375" style="30"/>
  </cols>
  <sheetData>
    <row r="1" spans="1:4" x14ac:dyDescent="0.2">
      <c r="A1" s="29" t="s">
        <v>156</v>
      </c>
      <c r="B1" s="29" t="s">
        <v>157</v>
      </c>
      <c r="C1" s="29" t="s">
        <v>158</v>
      </c>
      <c r="D1" s="29" t="s">
        <v>159</v>
      </c>
    </row>
    <row r="2" spans="1:4" x14ac:dyDescent="0.2">
      <c r="A2" s="31" t="s">
        <v>343</v>
      </c>
      <c r="B2" s="31" t="s">
        <v>35</v>
      </c>
      <c r="C2" s="31" t="s">
        <v>161</v>
      </c>
      <c r="D2" s="31" t="s">
        <v>160</v>
      </c>
    </row>
    <row r="3" spans="1:4" x14ac:dyDescent="0.2">
      <c r="A3" s="31" t="s">
        <v>162</v>
      </c>
      <c r="B3" s="31" t="s">
        <v>35</v>
      </c>
      <c r="C3" s="31" t="s">
        <v>163</v>
      </c>
      <c r="D3" s="31" t="s">
        <v>164</v>
      </c>
    </row>
    <row r="4" spans="1:4" s="32" customFormat="1" ht="243.6" customHeight="1" x14ac:dyDescent="0.2">
      <c r="A4" s="36" t="s">
        <v>344</v>
      </c>
      <c r="B4" s="36"/>
      <c r="C4" s="36"/>
      <c r="D4" s="36"/>
    </row>
  </sheetData>
  <mergeCells count="1">
    <mergeCell ref="A4:D4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281f0c-7665-4bec-b410-2f4949496428">
      <Terms xmlns="http://schemas.microsoft.com/office/infopath/2007/PartnerControls"/>
    </lcf76f155ced4ddcb4097134ff3c332f>
    <TaxCatchAll xmlns="95b7a27d-1b81-43f0-b8c3-dfafd7208ff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8747F14778EC4F95189F16D09C2EA9" ma:contentTypeVersion="16" ma:contentTypeDescription="Create a new document." ma:contentTypeScope="" ma:versionID="a866cc32f5f411ab0e36b61dbdfa96db">
  <xsd:schema xmlns:xsd="http://www.w3.org/2001/XMLSchema" xmlns:xs="http://www.w3.org/2001/XMLSchema" xmlns:p="http://schemas.microsoft.com/office/2006/metadata/properties" xmlns:ns2="49281f0c-7665-4bec-b410-2f4949496428" xmlns:ns3="95b7a27d-1b81-43f0-b8c3-dfafd7208ff4" targetNamespace="http://schemas.microsoft.com/office/2006/metadata/properties" ma:root="true" ma:fieldsID="4a8a8dd306016dc94ae07149d12f9eb2" ns2:_="" ns3:_="">
    <xsd:import namespace="49281f0c-7665-4bec-b410-2f4949496428"/>
    <xsd:import namespace="95b7a27d-1b81-43f0-b8c3-dfafd7208ff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281f0c-7665-4bec-b410-2f49494964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3f0b306-5c8f-44a5-9de7-bb42e716fd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7a27d-1b81-43f0-b8c3-dfafd7208ff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31e378a-822d-4c91-ac2f-ecc5b37a1d1b}" ma:internalName="TaxCatchAll" ma:showField="CatchAllData" ma:web="95b7a27d-1b81-43f0-b8c3-dfafd7208ff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D5B1D3-B402-489F-A57E-1BA69E81FEBD}">
  <ds:schemaRefs>
    <ds:schemaRef ds:uri="http://www.w3.org/XML/1998/namespace"/>
    <ds:schemaRef ds:uri="http://schemas.microsoft.com/office/2006/documentManagement/types"/>
    <ds:schemaRef ds:uri="http://purl.org/dc/dcmitype/"/>
    <ds:schemaRef ds:uri="49281f0c-7665-4bec-b410-2f4949496428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5b7a27d-1b81-43f0-b8c3-dfafd7208ff4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0CE1F38-7AFF-4134-AB0C-C257F22229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281f0c-7665-4bec-b410-2f4949496428"/>
    <ds:schemaRef ds:uri="95b7a27d-1b81-43f0-b8c3-dfafd7208f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3DE488-5C40-4E15-81CB-834FEE7EF4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History</vt:lpstr>
      <vt:lpstr>SystemParameter</vt:lpstr>
      <vt:lpstr>FaultList</vt:lpstr>
      <vt:lpstr>Fault 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xuc01</cp:lastModifiedBy>
  <cp:revision/>
  <dcterms:created xsi:type="dcterms:W3CDTF">2015-06-05T18:19:34Z</dcterms:created>
  <dcterms:modified xsi:type="dcterms:W3CDTF">2026-03-24T09:56:27Z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0x010100058747F14778EC4F95189F16D09C2EA9</vt:lpwstr>
  </property>
  <property fmtid="{D5CDD505-2E9C-101B-9397-08002B2CF9AE}" pid="3" name="MediaServiceImageTags">
    <vt:lpwstr/>
  </property>
</Properties>
</file>